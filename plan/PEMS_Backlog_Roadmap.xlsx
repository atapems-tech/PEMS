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Licensing Design" sheetId="7" state="visible" r:id="rId7"/>
    <sheet xmlns:r="http://schemas.openxmlformats.org/officeDocument/2006/relationships" name="Capability Checklist" sheetId="8" state="visible" r:id="rId8"/>
    <sheet xmlns:r="http://schemas.openxmlformats.org/officeDocument/2006/relationships" name="Lessons" sheetId="9" state="visible" r:id="rId9"/>
    <sheet xmlns:r="http://schemas.openxmlformats.org/officeDocument/2006/relationships" name="Supportability Matrix" sheetId="10" state="visible" r:id="rId10"/>
    <sheet xmlns:r="http://schemas.openxmlformats.org/officeDocument/2006/relationships" name="Old to New Map" sheetId="11" state="visible" r:id="rId11"/>
    <sheet xmlns:r="http://schemas.openxmlformats.org/officeDocument/2006/relationships" name="Summary" sheetId="12" state="visible" r:id="rId12"/>
  </sheets>
  <definedNames>
    <definedName name="_xlnm._FilterDatabase" localSheetId="3" hidden="1">'Backlog'!$A$1:$S$315</definedName>
    <definedName name="_xlnm._FilterDatabase" localSheetId="4" hidden="1">'Test Plan'!$A$1:$H$29</definedName>
    <definedName name="_xlnm._FilterDatabase" localSheetId="5" hidden="1">'Roadmap'!$A$1:$F$8</definedName>
    <definedName name="_xlnm._FilterDatabase" localSheetId="7" hidden="1">'Capability Checklist'!$A$1:$H$37</definedName>
    <definedName name="_xlnm._FilterDatabase" localSheetId="8" hidden="1">'Lessons'!$A$10:$E$35</definedName>
    <definedName name="_xlnm._FilterDatabase" localSheetId="9" hidden="1">'Supportability Matrix'!$A$4:$I$33</definedName>
    <definedName name="_xlnm._FilterDatabase" localSheetId="10"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2"/>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4"/>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7"/>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0"/>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3"/>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6"/>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19"/>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2"/>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1"/>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3"/>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8"/>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Group</t>
        </is>
      </c>
      <c r="B27" s="8" t="inlineStr">
        <is>
          <t>Related tasks grouped into one workstream; filter on this column to see and decide a whole group together.</t>
        </is>
      </c>
    </row>
    <row r="28">
      <c r="A28" s="8" t="inlineStr">
        <is>
          <t>Priority</t>
        </is>
      </c>
      <c r="B28" s="8" t="inlineStr">
        <is>
          <t>P0 sales blocker/dynamic core, P1 needed for commercial 1.0, P2 competitive, P3 later.</t>
        </is>
      </c>
    </row>
    <row r="29">
      <c r="A29" s="8" t="inlineStr">
        <is>
          <t>Evidence</t>
        </is>
      </c>
      <c r="B29" s="8" t="inlineStr">
        <is>
          <t>What was seen in code/documents today (or a known pitfall).</t>
        </is>
      </c>
    </row>
    <row r="30">
      <c r="A30" s="8" t="inlineStr">
        <is>
          <t>Prompt</t>
        </is>
      </c>
      <c r="B30" s="8" t="inlineStr">
        <is>
          <t>An executable instruction for one session.</t>
        </is>
      </c>
    </row>
    <row r="31">
      <c r="A31" s="8" t="inlineStr">
        <is>
          <t>Requirement</t>
        </is>
      </c>
      <c r="B31" s="8" t="inlineStr">
        <is>
          <t>A testable acceptance criterion.</t>
        </is>
      </c>
    </row>
    <row r="32">
      <c r="A32" s="8" t="inlineStr">
        <is>
          <t>Report</t>
        </is>
      </c>
      <c r="B32" s="8" t="inlineStr">
        <is>
          <t>After completion: the commit message and version (Instructions rule 7).</t>
        </is>
      </c>
    </row>
    <row r="33">
      <c r="A33" s="8" t="inlineStr">
        <is>
          <t>Milestone</t>
        </is>
      </c>
      <c r="B33" s="8" t="inlineStr">
        <is>
          <t>M0...M6 per Roadmap.</t>
        </is>
      </c>
    </row>
    <row r="34">
      <c r="A34" s="8" t="inlineStr">
        <is>
          <t>Effort</t>
        </is>
      </c>
      <c r="B34" s="8" t="inlineStr">
        <is>
          <t>S up to 1 day, M about 1 week, L about 2-3 weeks, XL over 3 weeks (first estimate).</t>
        </is>
      </c>
    </row>
    <row r="35">
      <c r="A35" s="8" t="inlineStr">
        <is>
          <t>Commercial</t>
        </is>
      </c>
      <c r="B35" s="8" t="inlineStr">
        <is>
          <t>Commercial impact: Sales blocker, High, Medium, Low.</t>
        </is>
      </c>
    </row>
    <row r="36">
      <c r="A36" s="8" t="inlineStr">
        <is>
          <t>Depends</t>
        </is>
      </c>
      <c r="B36" s="8" t="inlineStr">
        <is>
          <t>Dependencies by row number (#).</t>
        </is>
      </c>
    </row>
    <row r="37">
      <c r="A37" s="8" t="inlineStr">
        <is>
          <t>Reference (Titan)</t>
        </is>
      </c>
      <c r="B37" s="8" t="inlineStr">
        <is>
          <t>Related row number in the reference platform's backlog (Titan); shown as # numbers.</t>
        </is>
      </c>
    </row>
    <row r="38">
      <c r="A38" s="8" t="inlineStr">
        <is>
          <t>Old Ref</t>
        </is>
      </c>
      <c r="B38" s="8" t="inlineStr">
        <is>
          <t>Related row in the old audit (OLD-n) or OLD-Dn for existing capabilities.</t>
        </is>
      </c>
    </row>
    <row r="39"/>
    <row r="40">
      <c r="A40" s="6" t="inlineStr">
        <is>
          <t>Components and versions (bill of materials)</t>
        </is>
      </c>
    </row>
    <row r="41">
      <c r="A41" s="7" t="inlineStr">
        <is>
          <t>Component</t>
        </is>
      </c>
      <c r="B41" s="7" t="inlineStr">
        <is>
          <t>Version / status</t>
        </is>
      </c>
    </row>
    <row r="42">
      <c r="A42" s="8" t="inlineStr">
        <is>
          <t>PEMS (system)</t>
        </is>
      </c>
      <c r="B42" s="8" t="inlineStr">
        <is>
          <t>No official version defined - action: F_CI</t>
        </is>
      </c>
    </row>
    <row r="43">
      <c r="A43" s="8" t="inlineStr">
        <is>
          <t>PEMS.Web / Application / Domain / Persistence / WorkflowPlatform / AI</t>
        </is>
      </c>
      <c r="B43" s="8" t="inlineStr">
        <is>
          <t>.NET 10 SDK, EF Core 10.0.10</t>
        </is>
      </c>
    </row>
    <row r="44">
      <c r="A44" s="8" t="inlineStr">
        <is>
          <t>Workbook</t>
        </is>
      </c>
      <c r="B44" s="8" t="inlineStr">
        <is>
          <t>1.2 - 2026-10-22 (English edition; lives in the repository at plan/PEMS_Backlog_Roadmap.xlsx)</t>
        </is>
      </c>
    </row>
    <row r="45"/>
    <row r="46">
      <c r="A46" s="6" t="inlineStr">
        <is>
          <t>Priorities</t>
        </is>
      </c>
    </row>
    <row r="47">
      <c r="A47" s="7" t="inlineStr">
        <is>
          <t>Priority</t>
        </is>
      </c>
      <c r="B47" s="7" t="inlineStr">
        <is>
          <t>Definition</t>
        </is>
      </c>
    </row>
    <row r="48">
      <c r="A48" s="8" t="inlineStr">
        <is>
          <t>P0</t>
        </is>
      </c>
      <c r="B48" s="8" t="inlineStr">
        <is>
          <t>Sales blocker or dynamic core - nothing proceeds without it</t>
        </is>
      </c>
    </row>
    <row r="49">
      <c r="A49" s="8" t="inlineStr">
        <is>
          <t>P1</t>
        </is>
      </c>
      <c r="B49" s="8" t="inlineStr">
        <is>
          <t>Needed for commercial release 1.0</t>
        </is>
      </c>
    </row>
    <row r="50">
      <c r="A50" s="8" t="inlineStr">
        <is>
          <t>P2</t>
        </is>
      </c>
      <c r="B50" s="8" t="inlineStr">
        <is>
          <t>Competitive / next stage</t>
        </is>
      </c>
    </row>
    <row r="51">
      <c r="A51" s="8" t="inlineStr">
        <is>
          <t>P3</t>
        </is>
      </c>
      <c r="B51" s="8" t="inlineStr">
        <is>
          <t>Later or uncertain</t>
        </is>
      </c>
    </row>
    <row r="52"/>
    <row r="53">
      <c r="A53" s="6" t="inlineStr">
        <is>
          <t>Areas</t>
        </is>
      </c>
    </row>
    <row r="54">
      <c r="A54" s="7" t="inlineStr">
        <is>
          <t>Area</t>
        </is>
      </c>
      <c r="B54" s="7" t="inlineStr">
        <is>
          <t>Internal code</t>
        </is>
      </c>
    </row>
    <row r="55">
      <c r="A55" s="8" t="inlineStr">
        <is>
          <t>Foundation, Architecture Decisions &amp; Baseline</t>
        </is>
      </c>
      <c r="B55" s="8" t="inlineStr">
        <is>
          <t>FND</t>
        </is>
      </c>
    </row>
    <row r="56">
      <c r="A56" s="8" t="inlineStr">
        <is>
          <t>Metadata Core &amp; Dynamic Platform</t>
        </is>
      </c>
      <c r="B56" s="8" t="inlineStr">
        <is>
          <t>DYN</t>
        </is>
      </c>
    </row>
    <row r="57">
      <c r="A57" s="8" t="inlineStr">
        <is>
          <t>Component Library &amp; Design System</t>
        </is>
      </c>
      <c r="B57" s="8" t="inlineStr">
        <is>
          <t>CMP</t>
        </is>
      </c>
    </row>
    <row r="58">
      <c r="A58" s="8" t="inlineStr">
        <is>
          <t>Dynamic Form Builder</t>
        </is>
      </c>
      <c r="B58" s="8" t="inlineStr">
        <is>
          <t>FRM</t>
        </is>
      </c>
    </row>
    <row r="59">
      <c r="A59" s="8" t="inlineStr">
        <is>
          <t>Dynamic Module Builder</t>
        </is>
      </c>
      <c r="B59" s="8" t="inlineStr">
        <is>
          <t>MOD</t>
        </is>
      </c>
    </row>
    <row r="60">
      <c r="A60" s="8" t="inlineStr">
        <is>
          <t>Workflow Studio &amp; BPMS</t>
        </is>
      </c>
      <c r="B60" s="8" t="inlineStr">
        <is>
          <t>WFL</t>
        </is>
      </c>
    </row>
    <row r="61">
      <c r="A61" s="8" t="inlineStr">
        <is>
          <t>Static-to-Dynamic Module Migration</t>
        </is>
      </c>
      <c r="B61" s="8" t="inlineStr">
        <is>
          <t>MIG</t>
        </is>
      </c>
    </row>
    <row r="62">
      <c r="A62" s="8" t="inlineStr">
        <is>
          <t>Licensing &amp; Protection</t>
        </is>
      </c>
      <c r="B62" s="8" t="inlineStr">
        <is>
          <t>LIC</t>
        </is>
      </c>
    </row>
    <row r="63">
      <c r="A63" s="8" t="inlineStr">
        <is>
          <t>Company, Brand &amp; Commercial Packaging</t>
        </is>
      </c>
      <c r="B63" s="8" t="inlineStr">
        <is>
          <t>BRD</t>
        </is>
      </c>
    </row>
    <row r="64">
      <c r="A64" s="8" t="inlineStr">
        <is>
          <t>Online Demo</t>
        </is>
      </c>
      <c r="B64" s="8" t="inlineStr">
        <is>
          <t>DEM</t>
        </is>
      </c>
    </row>
    <row r="65">
      <c r="A65" s="8" t="inlineStr">
        <is>
          <t>Commercial Website</t>
        </is>
      </c>
      <c r="B65" s="8" t="inlineStr">
        <is>
          <t>WEB</t>
        </is>
      </c>
    </row>
    <row r="66">
      <c r="A66" s="8" t="inlineStr">
        <is>
          <t>Installation, Deployment &amp; Updates</t>
        </is>
      </c>
      <c r="B66" s="8" t="inlineStr">
        <is>
          <t>INS</t>
        </is>
      </c>
    </row>
    <row r="67">
      <c r="A67" s="8" t="inlineStr">
        <is>
          <t>Access, RLS, Sessions &amp; Security</t>
        </is>
      </c>
      <c r="B67" s="8" t="inlineStr">
        <is>
          <t>SEC</t>
        </is>
      </c>
    </row>
    <row r="68">
      <c r="A68" s="8" t="inlineStr">
        <is>
          <t>Integration, Events &amp; API</t>
        </is>
      </c>
      <c r="B68" s="8" t="inlineStr">
        <is>
          <t>INT</t>
        </is>
      </c>
    </row>
    <row r="69">
      <c r="A69" s="8" t="inlineStr">
        <is>
          <t>Quality, Testing &amp; Performance</t>
        </is>
      </c>
      <c r="B69" s="8" t="inlineStr">
        <is>
          <t>QA</t>
        </is>
      </c>
    </row>
    <row r="70">
      <c r="A70" s="8" t="inlineStr">
        <is>
          <t>Persian Localization, RTL &amp; Jalali Calendar</t>
        </is>
      </c>
      <c r="B70" s="8" t="inlineStr">
        <is>
          <t>LOC</t>
        </is>
      </c>
    </row>
    <row r="71">
      <c r="A71" s="8" t="inlineStr">
        <is>
          <t>Reporting, Dashboards &amp; Export</t>
        </is>
      </c>
      <c r="B71" s="8" t="inlineStr">
        <is>
          <t>RPT</t>
        </is>
      </c>
    </row>
    <row r="72">
      <c r="A72" s="8" t="inlineStr">
        <is>
          <t>Artificial Intelligence</t>
        </is>
      </c>
      <c r="B72" s="8" t="inlineStr">
        <is>
          <t>AI</t>
        </is>
      </c>
    </row>
    <row r="73">
      <c r="A73" s="8" t="inlineStr">
        <is>
          <t>Domain: Engineering, EDMS/VDR &amp; Records</t>
        </is>
      </c>
      <c r="B73" s="8" t="inlineStr">
        <is>
          <t>EDM</t>
        </is>
      </c>
    </row>
    <row r="74">
      <c r="A74" s="8" t="inlineStr">
        <is>
          <t>Domain: CMMS/EAM &amp; Field Operations</t>
        </is>
      </c>
      <c r="B74" s="8" t="inlineStr">
        <is>
          <t>EAM</t>
        </is>
      </c>
    </row>
    <row r="75">
      <c r="A75" s="8" t="inlineStr">
        <is>
          <t>Domain: HR, Projects, Finance &amp; Procurement</t>
        </is>
      </c>
      <c r="B75" s="8" t="inlineStr">
        <is>
          <t>BIZ</t>
        </is>
      </c>
    </row>
    <row r="76">
      <c r="A76" s="8" t="inlineStr">
        <is>
          <t>Support, Operations &amp; Documentation</t>
        </is>
      </c>
      <c r="B76" s="8" t="inlineStr">
        <is>
          <t>OPS</t>
        </is>
      </c>
    </row>
    <row r="77">
      <c r="A77" s="8" t="inlineStr">
        <is>
          <t>Existing PEMS Capabilities (estimated from code)</t>
        </is>
      </c>
      <c r="B77" s="8" t="inlineStr">
        <is>
          <t>DONE</t>
        </is>
      </c>
    </row>
    <row r="78">
      <c r="A78" s="8" t="inlineStr">
        <is>
          <t>DevOps, Source Control &amp; Release Management</t>
        </is>
      </c>
      <c r="B78" s="8" t="inlineStr">
        <is>
          <t>DEV</t>
        </is>
      </c>
    </row>
    <row r="79">
      <c r="A79" s="8" t="inlineStr">
        <is>
          <t>Customer Version &amp; Deployment Management</t>
        </is>
      </c>
      <c r="B79" s="8" t="inlineStr">
        <is>
          <t>CVM</t>
        </is>
      </c>
    </row>
    <row r="80">
      <c r="A80" s="8" t="inlineStr">
        <is>
          <t>Supportability Matrix &amp; Module Versioning</t>
        </is>
      </c>
      <c r="B80" s="8" t="inlineStr">
        <is>
          <t>SUP</t>
        </is>
      </c>
    </row>
    <row r="81">
      <c r="A81" s="8" t="inlineStr">
        <is>
          <t>Main Host: Landing &amp; Demo Deployment</t>
        </is>
      </c>
      <c r="B81"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7"/>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3"/>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15"/>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row>
    <row r="2">
      <c r="A2" s="10" t="n">
        <v>1</v>
      </c>
      <c r="B2" s="10" t="inlineStr">
        <is>
          <t>Claude</t>
        </is>
      </c>
      <c r="C2" s="8" t="inlineStr">
        <is>
          <t>Foundation, Architecture Decisions &amp; Baseline</t>
        </is>
      </c>
      <c r="D2" s="8" t="inlineStr">
        <is>
          <t>Run the official build/test pass and record a quality baseline (dotnet restore/build/test)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Run restore/build/test on PEMS.slnx, store the output with SDK/SQL versions, and list every failing test.</t>
        </is>
      </c>
      <c r="J2" s="8" t="inlineStr">
        <is>
          <t>A baseline report (pass/fail/skip counts, duration, environment) is stored under plan/baseline and each red test has its own backlog row.</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row>
    <row r="3">
      <c r="A3" s="10" t="n">
        <v>2</v>
      </c>
      <c r="B3" s="10" t="inlineStr">
        <is>
          <t>Claude</t>
        </is>
      </c>
      <c r="C3" s="8" t="inlineStr">
        <is>
          <t>Foundation, Architecture Decisions &amp; Baseline</t>
        </is>
      </c>
      <c r="D3" s="8" t="inlineStr">
        <is>
          <t>Create the architecture decision record (ADR) log and record the foundation decisions</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Create plan/adr with a fixed template (context/options/decision/consequences) and write ADRs for F_STORE, F_UI, F_LIBS and L_MODEL first.</t>
        </is>
      </c>
      <c r="J3" s="8" t="inlineStr">
        <is>
          <t>Every Decision Needed row in this backlog has a numbered ADR once closed.</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row>
    <row r="4">
      <c r="A4" s="10" t="n">
        <v>3</v>
      </c>
      <c r="B4" s="10" t="inlineStr">
        <is>
          <t>Claude</t>
        </is>
      </c>
      <c r="C4" s="8" t="inlineStr">
        <is>
          <t>Foundation, Architecture Decisions &amp; Baseline</t>
        </is>
      </c>
      <c r="D4" s="8" t="inlineStr">
        <is>
          <t>Define the platform operating model: PEMS = dynamic engine + Domain Packs</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Write a one-page statement of which capabilities only shared engines own (metadata, forms, workflow, access, events, reporting) and which stay in Domain Packs (EDMS, CMMS, PTW...).</t>
        </is>
      </c>
      <c r="J4" s="8" t="inlineStr">
        <is>
          <t>The document is approved by the product owner and is the basis of every dynamicization epic.</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row>
    <row r="8">
      <c r="A8" s="10" t="n">
        <v>7</v>
      </c>
      <c r="B8" s="10" t="inlineStr">
        <is>
          <t>Claude</t>
        </is>
      </c>
      <c r="C8" s="8" t="inlineStr">
        <is>
          <t>Foundation, Architecture Decisions &amp; Baseline</t>
        </is>
      </c>
      <c r="D8" s="8" t="inlineStr">
        <is>
          <t>Product repository (pems) GitHub Actions: build and test on every push and pull request (main and demo branches) and publish a versioned deployable artifact on tags (signed installer pipeline later)</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In the pems repository add a basic GitHub Actions workflow that restores, builds and tests on every push and pull request to main and demo, and on a version tag publishes a versioned deployable artifact (zip or container image) with version, commit and build number. Adopt the shared reusable workflows of HST_ACTIONS when they exist. Signed installers and the full release pipeline stay in PROD_PIPE.</t>
        </is>
      </c>
      <c r="J8" s="8" t="inlineStr">
        <is>
          <t>Every push is built and tested; a version tag publishes an artifact; the demo pipeline reuses the same build workflow once the shared templates exist; no secrets are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row>
    <row r="10">
      <c r="A10" s="10" t="n">
        <v>9</v>
      </c>
      <c r="B10" s="10" t="inlineStr">
        <is>
          <t>Claude</t>
        </is>
      </c>
      <c r="C10" s="8" t="inlineStr">
        <is>
          <t>Foundation, Architecture Decisions &amp; Baseline</t>
        </is>
      </c>
      <c r="D10" s="8" t="inlineStr">
        <is>
          <t>Audit secrets and unsafe defaults in appsettings*.json and Dockerfile</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Review all configuration files; move every secret to environment variables or an encrypted install-time file, and clean git history (or rotate keys).</t>
        </is>
      </c>
      <c r="J10" s="8" t="inlineStr">
        <is>
          <t>No real secret, key or connection string is in the repo or release package; secret scanning is enabled in CI.</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row>
    <row r="30">
      <c r="A30" s="10" t="n">
        <v>29</v>
      </c>
      <c r="B30" s="10" t="inlineStr">
        <is>
          <t>Claude</t>
        </is>
      </c>
      <c r="C30" s="8" t="inlineStr">
        <is>
          <t>Component Library &amp; Design System</t>
        </is>
      </c>
      <c r="D30" s="8" t="inlineStr">
        <is>
          <t>Audit 225 views / 91 view folders: find repeated patterns (list, form, detail, filter) and map them to components</t>
        </is>
      </c>
      <c r="E30" s="10" t="inlineStr">
        <is>
          <t>Research</t>
        </is>
      </c>
      <c r="F30" s="10" t="inlineStr">
        <is>
          <t>Not Started</t>
        </is>
      </c>
      <c r="G30" s="10" t="inlineStr">
        <is>
          <t>P0</t>
        </is>
      </c>
      <c r="H30" s="8" t="inlineStr">
        <is>
          <t>Views are page-specific, with separate CSS/JS (pems-data-grid, pems-vdr, pems-global-search). No pattern inventory exists.</t>
        </is>
      </c>
      <c r="I30" s="8" t="inlineStr">
        <is>
          <t>Map every view to a pattern using scripts plus manual review and report the convertible percentage.</t>
        </is>
      </c>
      <c r="J30" s="8" t="inlineStr">
        <is>
          <t>A table 'view -&gt; pattern -&gt; target component -&gt; migration wave' is built and linked to M_AUDIT.</t>
        </is>
      </c>
      <c r="K30" s="8" t="n"/>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row>
    <row r="31">
      <c r="A31" s="10" t="n">
        <v>30</v>
      </c>
      <c r="B31" s="10" t="inlineStr">
        <is>
          <t>Claude</t>
        </is>
      </c>
      <c r="C31" s="8" t="inlineStr">
        <is>
          <t>Component Library &amp; Design System</t>
        </is>
      </c>
      <c r="D31" s="8" t="inlineStr">
        <is>
          <t>Design tokens (color, Persian typography, spacing, elevation, density, status, chart palette) and light/dark/brand themes</t>
        </is>
      </c>
      <c r="E31" s="10" t="inlineStr">
        <is>
          <t>Feature</t>
        </is>
      </c>
      <c r="F31" s="10" t="inlineStr">
        <is>
          <t>Not Started</t>
        </is>
      </c>
      <c r="G31" s="10" t="inlineStr">
        <is>
          <t>P0</t>
        </is>
      </c>
      <c r="H31" s="8" t="inlineStr">
        <is>
          <t>Foundation for white-labeling (BRD) and UI consistency; content density should be configurable.</t>
        </is>
      </c>
      <c r="I31" s="8" t="inlineStr">
        <is>
          <t>A single token file plus a local Persian font (no CDN); at least two themes and live switching.</t>
        </is>
      </c>
      <c r="J31" s="8" t="inlineStr">
        <is>
          <t>Changing one brand color token changes every component; no hard-coded colors in components.</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t>
        </is>
      </c>
      <c r="P32" s="10" t="inlineStr">
        <is>
          <t>Titan #41 #121 #122 #244</t>
        </is>
      </c>
      <c r="Q32" s="10" t="inlineStr">
        <is>
          <t>OLD-96</t>
        </is>
      </c>
      <c r="R32" s="8" t="inlineStr">
        <is>
          <t>UI component library</t>
        </is>
      </c>
      <c r="S32" s="10" t="inlineStr">
        <is>
          <t>No</t>
        </is>
      </c>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row>
    <row r="43">
      <c r="A43" s="10" t="n">
        <v>42</v>
      </c>
      <c r="B43" s="10" t="inlineStr">
        <is>
          <t>Claude</t>
        </is>
      </c>
      <c r="C43" s="8" t="inlineStr">
        <is>
          <t>Component Library &amp; Design System</t>
        </is>
      </c>
      <c r="D43" s="8" t="inlineStr">
        <is>
          <t>Audit CDN/internet dependencies in UI and install package (fully offline operation)</t>
        </is>
      </c>
      <c r="E43" s="10" t="inlineStr">
        <is>
          <t>Tech Debt</t>
        </is>
      </c>
      <c r="F43" s="10" t="inlineStr">
        <is>
          <t>Not Started</t>
        </is>
      </c>
      <c r="G43" s="10" t="inlineStr">
        <is>
          <t>P0</t>
        </is>
      </c>
      <c r="H43" s="8" t="inlineStr">
        <is>
          <t>Production has no internet. wwwroot/lib is local but scripts and fonts have not been checked.</t>
        </is>
      </c>
      <c r="I43" s="8" t="inlineStr">
        <is>
          <t>Grep for http(s) links in views and CSS and fix every hit.</t>
        </is>
      </c>
      <c r="J43" s="8" t="inlineStr">
        <is>
          <t>Install on a closed network runs without a single 404/timeout.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row>
    <row r="108">
      <c r="A108" s="10" t="n">
        <v>107</v>
      </c>
      <c r="B108" s="10" t="inlineStr">
        <is>
          <t>User</t>
        </is>
      </c>
      <c r="C108" s="8" t="inlineStr">
        <is>
          <t>Licensing &amp; Protection</t>
        </is>
      </c>
      <c r="D108" s="8" t="inlineStr">
        <is>
          <t>Signing-key management: key ceremony, offline/HSM storage, backup, rotation and compromise procedure</t>
        </is>
      </c>
      <c r="E108" s="10" t="inlineStr">
        <is>
          <t>Ops Process</t>
        </is>
      </c>
      <c r="F108" s="10" t="inlineStr">
        <is>
          <t>Not Started</t>
        </is>
      </c>
      <c r="G108" s="10" t="inlineStr">
        <is>
          <t>P0</t>
        </is>
      </c>
      <c r="H108" s="8" t="inlineStr">
        <is>
          <t>Leaking the private signing key ends licensing.</t>
        </is>
      </c>
      <c r="I108" s="8" t="inlineStr">
        <is>
          <t>Keep the signing key on an offline machine or HSM/token with two-person control; the key ceremony (generation, backup export, rotation) runs through the vendor tool's offline-mode UI, with no manual command-line steps; key rotation plan via update package.</t>
        </is>
      </c>
      <c r="J108" s="8" t="inlineStr">
        <is>
          <t>A written key procedure plus a recovery drill; the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Set the price per core edition and per module, the annual maintenance percentage and the implementation-services rates; write the proposal template.</t>
        </is>
      </c>
      <c r="J131" s="8" t="inlineStr">
        <is>
          <t>Price list v1 and a proposal template approved by the owner.</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row>
    <row r="258">
      <c r="A258" s="10" t="n">
        <v>257</v>
      </c>
      <c r="B258" s="10" t="inlineStr">
        <is>
          <t>User</t>
        </is>
      </c>
      <c r="C258" s="8" t="inlineStr">
        <is>
          <t>DevOps, Source Control &amp; Release Management</t>
        </is>
      </c>
      <c r="D258" s="8" t="inlineStr">
        <is>
          <t>Move the source to a private company-owned GitHub organization with access control and backups (decided: hosted GitHub for now)</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Create the company GitHub organization, move the product repository to private, rotate any secret found in history (F_SECRET), enable named accounts, 2FA and protected branches, and set up scheduled backups. The organization also holds the landing website repository pems-landing (HST_REPOS); the demo lives in a branch of the product repository.</t>
        </is>
      </c>
      <c r="J258" s="8" t="inlineStr">
        <is>
          <t>The company-owned private repository is the only source of truth; protected branches and review are enforced; every contributor has a named account; a backup exists.</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row>
  </sheetData>
  <autoFilter ref="A1:S315"/>
  <conditionalFormatting sqref="F2:F315">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15">
    <cfRule type="cellIs" priority="8" operator="equal" dxfId="6">
      <formula>"P0"</formula>
    </cfRule>
    <cfRule type="cellIs" priority="9" operator="equal" dxfId="7">
      <formula>"P1"</formula>
    </cfRule>
  </conditionalFormatting>
  <conditionalFormatting sqref="S2:S315">
    <cfRule type="cellIs" priority="10" operator="equal" dxfId="8">
      <formula>"Yes"</formula>
    </cfRule>
  </conditionalFormatting>
  <conditionalFormatting sqref="N2:N315">
    <cfRule type="cellIs" priority="11" operator="equal" dxfId="6">
      <formula>"Sales blocker"</formula>
    </cfRule>
  </conditionalFormatting>
  <dataValidations count="4">
    <dataValidation sqref="F2:F315" showDropDown="0" showInputMessage="0" showErrorMessage="0" allowBlank="0" type="list">
      <formula1>"Not Started,In Progress,Partial,Done,Hold,Later,Cancelled,Obsolete"</formula1>
    </dataValidation>
    <dataValidation sqref="G2:G315" showDropDown="0" showInputMessage="0" showErrorMessage="0" allowBlank="0" type="list">
      <formula1>"P0,P1,P2,P3"</formula1>
    </dataValidation>
    <dataValidation sqref="B2:B315" showDropDown="0" showInputMessage="0" showErrorMessage="0" allowBlank="0" type="list">
      <formula1>"Claude,User,N/A"</formula1>
    </dataValidation>
    <dataValidation sqref="S2:S315"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sheetData>
  <autoFilter ref="A1:H29"/>
  <dataValidations count="1">
    <dataValidation sqref="H2:H29"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COUNTIF(Backlog!$L$2:$L$315,"M0")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COUNTIF(Backlog!$L$2:$L$315,"M1")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COUNTIF(Backlog!$L$2:$L$315,"M2")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COUNTIF(Backlog!$L$2:$L$315,"M3")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COUNTIF(Backlog!$L$2:$L$315,"M4")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COUNTIF(Backlog!$L$2:$L$315,"M5")</f>
        <v/>
      </c>
    </row>
    <row r="8">
      <c r="A8" s="8" t="inlineStr">
        <is>
          <t>M6 - Later (P3)</t>
        </is>
      </c>
      <c r="B8" s="10" t="inlineStr">
        <is>
          <t>Later</t>
        </is>
      </c>
      <c r="C8" s="10" t="inlineStr">
        <is>
          <t>P3</t>
        </is>
      </c>
      <c r="D8" s="8" t="inlineStr">
        <is>
          <t>All</t>
        </is>
      </c>
      <c r="E8" s="8" t="inlineStr">
        <is>
          <t>Highest uncertainty and lowest sales impact.</t>
        </is>
      </c>
      <c r="F8" s="10">
        <f>COUNTIF(Backlog!$L$2:$L$315,"M6")</f>
        <v/>
      </c>
    </row>
    <row r="9"/>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3"/>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2"/>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38"/>
    <row r="39"/>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2"/>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9"/>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sheetData>
  <autoFilter ref="A10:E35"/>
  <mergeCells count="6">
    <mergeCell ref="B8:E8"/>
    <mergeCell ref="B4:E4"/>
    <mergeCell ref="B6:E6"/>
    <mergeCell ref="B7:E7"/>
    <mergeCell ref="B3:E3"/>
    <mergeCell ref="B5:E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sheetData>
  <autoFilter ref="A4:I33"/>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2"/>
    <row r="3">
      <c r="A3" s="13" t="inlineStr">
        <is>
          <t>Total tasks</t>
        </is>
      </c>
      <c r="B3" s="12">
        <f>COUNTA(Backlog!$D$2:$D$315)</f>
        <v/>
      </c>
      <c r="C3" s="12" t="n"/>
      <c r="D3" s="12" t="n"/>
      <c r="E3" s="12" t="n"/>
      <c r="F3" s="12" t="n"/>
      <c r="G3" s="12" t="n"/>
      <c r="H3" s="12" t="n"/>
    </row>
    <row r="4">
      <c r="A4" s="13" t="inlineStr">
        <is>
          <t>Owner tasks (Doer = User)</t>
        </is>
      </c>
      <c r="B4" s="12">
        <f>COUNTIF(Backlog!$B$2:$B$315,"User")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COUNTIFS(Backlog!$F$2:$F$315,$A8,Backlog!$G$2:$G$315,"P0")</f>
        <v/>
      </c>
      <c r="C8" s="12">
        <f>COUNTIFS(Backlog!$F$2:$F$315,$A8,Backlog!$G$2:$G$315,"P1")</f>
        <v/>
      </c>
      <c r="D8" s="12">
        <f>COUNTIFS(Backlog!$F$2:$F$315,$A8,Backlog!$G$2:$G$315,"P2")</f>
        <v/>
      </c>
      <c r="E8" s="12">
        <f>COUNTIFS(Backlog!$F$2:$F$315,$A8,Backlog!$G$2:$G$315,"P3")</f>
        <v/>
      </c>
      <c r="F8" s="12">
        <f>SUM(B8:E8)</f>
        <v/>
      </c>
      <c r="G8" s="12" t="n"/>
      <c r="H8" s="12" t="n"/>
    </row>
    <row r="9">
      <c r="A9" s="5" t="inlineStr">
        <is>
          <t>In Progress</t>
        </is>
      </c>
      <c r="B9" s="12">
        <f>COUNTIFS(Backlog!$F$2:$F$315,$A9,Backlog!$G$2:$G$315,"P0")</f>
        <v/>
      </c>
      <c r="C9" s="12">
        <f>COUNTIFS(Backlog!$F$2:$F$315,$A9,Backlog!$G$2:$G$315,"P1")</f>
        <v/>
      </c>
      <c r="D9" s="12">
        <f>COUNTIFS(Backlog!$F$2:$F$315,$A9,Backlog!$G$2:$G$315,"P2")</f>
        <v/>
      </c>
      <c r="E9" s="12">
        <f>COUNTIFS(Backlog!$F$2:$F$315,$A9,Backlog!$G$2:$G$315,"P3")</f>
        <v/>
      </c>
      <c r="F9" s="12">
        <f>SUM(B9:E9)</f>
        <v/>
      </c>
      <c r="G9" s="12" t="n"/>
      <c r="H9" s="12" t="n"/>
    </row>
    <row r="10">
      <c r="A10" s="5" t="inlineStr">
        <is>
          <t>Partial</t>
        </is>
      </c>
      <c r="B10" s="12">
        <f>COUNTIFS(Backlog!$F$2:$F$315,$A10,Backlog!$G$2:$G$315,"P0")</f>
        <v/>
      </c>
      <c r="C10" s="12">
        <f>COUNTIFS(Backlog!$F$2:$F$315,$A10,Backlog!$G$2:$G$315,"P1")</f>
        <v/>
      </c>
      <c r="D10" s="12">
        <f>COUNTIFS(Backlog!$F$2:$F$315,$A10,Backlog!$G$2:$G$315,"P2")</f>
        <v/>
      </c>
      <c r="E10" s="12">
        <f>COUNTIFS(Backlog!$F$2:$F$315,$A10,Backlog!$G$2:$G$315,"P3")</f>
        <v/>
      </c>
      <c r="F10" s="12">
        <f>SUM(B10:E10)</f>
        <v/>
      </c>
      <c r="G10" s="12" t="n"/>
      <c r="H10" s="12" t="n"/>
    </row>
    <row r="11">
      <c r="A11" s="5" t="inlineStr">
        <is>
          <t>Done</t>
        </is>
      </c>
      <c r="B11" s="12">
        <f>COUNTIFS(Backlog!$F$2:$F$315,$A11,Backlog!$G$2:$G$315,"P0")</f>
        <v/>
      </c>
      <c r="C11" s="12">
        <f>COUNTIFS(Backlog!$F$2:$F$315,$A11,Backlog!$G$2:$G$315,"P1")</f>
        <v/>
      </c>
      <c r="D11" s="12">
        <f>COUNTIFS(Backlog!$F$2:$F$315,$A11,Backlog!$G$2:$G$315,"P2")</f>
        <v/>
      </c>
      <c r="E11" s="12">
        <f>COUNTIFS(Backlog!$F$2:$F$315,$A11,Backlog!$G$2:$G$315,"P3")</f>
        <v/>
      </c>
      <c r="F11" s="12">
        <f>SUM(B11:E11)</f>
        <v/>
      </c>
      <c r="G11" s="12" t="n"/>
      <c r="H11" s="12" t="n"/>
    </row>
    <row r="12">
      <c r="A12" s="5" t="inlineStr">
        <is>
          <t>Hold</t>
        </is>
      </c>
      <c r="B12" s="12">
        <f>COUNTIFS(Backlog!$F$2:$F$315,$A12,Backlog!$G$2:$G$315,"P0")</f>
        <v/>
      </c>
      <c r="C12" s="12">
        <f>COUNTIFS(Backlog!$F$2:$F$315,$A12,Backlog!$G$2:$G$315,"P1")</f>
        <v/>
      </c>
      <c r="D12" s="12">
        <f>COUNTIFS(Backlog!$F$2:$F$315,$A12,Backlog!$G$2:$G$315,"P2")</f>
        <v/>
      </c>
      <c r="E12" s="12">
        <f>COUNTIFS(Backlog!$F$2:$F$315,$A12,Backlog!$G$2:$G$315,"P3")</f>
        <v/>
      </c>
      <c r="F12" s="12">
        <f>SUM(B12:E12)</f>
        <v/>
      </c>
      <c r="G12" s="12" t="n"/>
      <c r="H12" s="12" t="n"/>
    </row>
    <row r="13">
      <c r="A13" s="5" t="inlineStr">
        <is>
          <t>Later</t>
        </is>
      </c>
      <c r="B13" s="12">
        <f>COUNTIFS(Backlog!$F$2:$F$315,$A13,Backlog!$G$2:$G$315,"P0")</f>
        <v/>
      </c>
      <c r="C13" s="12">
        <f>COUNTIFS(Backlog!$F$2:$F$315,$A13,Backlog!$G$2:$G$315,"P1")</f>
        <v/>
      </c>
      <c r="D13" s="12">
        <f>COUNTIFS(Backlog!$F$2:$F$315,$A13,Backlog!$G$2:$G$315,"P2")</f>
        <v/>
      </c>
      <c r="E13" s="12">
        <f>COUNTIFS(Backlog!$F$2:$F$315,$A13,Backlog!$G$2:$G$315,"P3")</f>
        <v/>
      </c>
      <c r="F13" s="12">
        <f>SUM(B13:E13)</f>
        <v/>
      </c>
      <c r="G13" s="12" t="n"/>
      <c r="H13" s="12" t="n"/>
    </row>
    <row r="14">
      <c r="A14" s="5" t="inlineStr">
        <is>
          <t>Cancelled</t>
        </is>
      </c>
      <c r="B14" s="12">
        <f>COUNTIFS(Backlog!$F$2:$F$315,$A14,Backlog!$G$2:$G$315,"P0")</f>
        <v/>
      </c>
      <c r="C14" s="12">
        <f>COUNTIFS(Backlog!$F$2:$F$315,$A14,Backlog!$G$2:$G$315,"P1")</f>
        <v/>
      </c>
      <c r="D14" s="12">
        <f>COUNTIFS(Backlog!$F$2:$F$315,$A14,Backlog!$G$2:$G$315,"P2")</f>
        <v/>
      </c>
      <c r="E14" s="12">
        <f>COUNTIFS(Backlog!$F$2:$F$315,$A14,Backlog!$G$2:$G$315,"P3")</f>
        <v/>
      </c>
      <c r="F14" s="12">
        <f>SUM(B14:E14)</f>
        <v/>
      </c>
      <c r="G14" s="12" t="n"/>
      <c r="H14" s="12" t="n"/>
    </row>
    <row r="15">
      <c r="A15" s="5" t="inlineStr">
        <is>
          <t>Obsolete</t>
        </is>
      </c>
      <c r="B15" s="12">
        <f>COUNTIFS(Backlog!$F$2:$F$315,$A15,Backlog!$G$2:$G$315,"P0")</f>
        <v/>
      </c>
      <c r="C15" s="12">
        <f>COUNTIFS(Backlog!$F$2:$F$315,$A15,Backlog!$G$2:$G$315,"P1")</f>
        <v/>
      </c>
      <c r="D15" s="12">
        <f>COUNTIFS(Backlog!$F$2:$F$315,$A15,Backlog!$G$2:$G$315,"P2")</f>
        <v/>
      </c>
      <c r="E15" s="12">
        <f>COUNTIFS(Backlog!$F$2:$F$315,$A15,Backlog!$G$2:$G$315,"P3")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COUNTIF(Backlog!$C$2:$C$315,$A20)</f>
        <v/>
      </c>
      <c r="C20" s="12">
        <f>COUNTIFS(Backlog!$C$2:$C$315,$A20,Backlog!$G$2:$G$315,"P0")</f>
        <v/>
      </c>
      <c r="D20" s="12">
        <f>COUNTIFS(Backlog!$C$2:$C$315,$A20,Backlog!$G$2:$G$315,"P1")</f>
        <v/>
      </c>
      <c r="E20" s="12">
        <f>COUNTIFS(Backlog!$C$2:$C$315,$A20,Backlog!$G$2:$G$315,"P2")</f>
        <v/>
      </c>
      <c r="F20" s="12">
        <f>COUNTIFS(Backlog!$C$2:$C$315,$A20,Backlog!$G$2:$G$315,"P3")</f>
        <v/>
      </c>
      <c r="G20" s="12">
        <f>B20-H20-COUNTIFS(Backlog!$C$2:$C$315,$A20,Backlog!$F$2:$F$315,"Cancelled")-COUNTIFS(Backlog!$C$2:$C$315,$A20,Backlog!$F$2:$F$315,"Obsolete")-COUNTIFS(Backlog!$C$2:$C$315,$A20,Backlog!$F$2:$F$315,"Later")</f>
        <v/>
      </c>
      <c r="H20" s="12">
        <f>COUNTIFS(Backlog!$C$2:$C$315,$A20,Backlog!$F$2:$F$315,"Done")</f>
        <v/>
      </c>
    </row>
    <row r="21">
      <c r="A21" s="5" t="inlineStr">
        <is>
          <t>Metadata Core &amp; Dynamic Platform</t>
        </is>
      </c>
      <c r="B21" s="12">
        <f>COUNTIF(Backlog!$C$2:$C$315,$A21)</f>
        <v/>
      </c>
      <c r="C21" s="12">
        <f>COUNTIFS(Backlog!$C$2:$C$315,$A21,Backlog!$G$2:$G$315,"P0")</f>
        <v/>
      </c>
      <c r="D21" s="12">
        <f>COUNTIFS(Backlog!$C$2:$C$315,$A21,Backlog!$G$2:$G$315,"P1")</f>
        <v/>
      </c>
      <c r="E21" s="12">
        <f>COUNTIFS(Backlog!$C$2:$C$315,$A21,Backlog!$G$2:$G$315,"P2")</f>
        <v/>
      </c>
      <c r="F21" s="12">
        <f>COUNTIFS(Backlog!$C$2:$C$315,$A21,Backlog!$G$2:$G$315,"P3")</f>
        <v/>
      </c>
      <c r="G21" s="12">
        <f>B21-H21-COUNTIFS(Backlog!$C$2:$C$315,$A21,Backlog!$F$2:$F$315,"Cancelled")-COUNTIFS(Backlog!$C$2:$C$315,$A21,Backlog!$F$2:$F$315,"Obsolete")-COUNTIFS(Backlog!$C$2:$C$315,$A21,Backlog!$F$2:$F$315,"Later")</f>
        <v/>
      </c>
      <c r="H21" s="12">
        <f>COUNTIFS(Backlog!$C$2:$C$315,$A21,Backlog!$F$2:$F$315,"Done")</f>
        <v/>
      </c>
    </row>
    <row r="22">
      <c r="A22" s="5" t="inlineStr">
        <is>
          <t>Component Library &amp; Design System</t>
        </is>
      </c>
      <c r="B22" s="12">
        <f>COUNTIF(Backlog!$C$2:$C$315,$A22)</f>
        <v/>
      </c>
      <c r="C22" s="12">
        <f>COUNTIFS(Backlog!$C$2:$C$315,$A22,Backlog!$G$2:$G$315,"P0")</f>
        <v/>
      </c>
      <c r="D22" s="12">
        <f>COUNTIFS(Backlog!$C$2:$C$315,$A22,Backlog!$G$2:$G$315,"P1")</f>
        <v/>
      </c>
      <c r="E22" s="12">
        <f>COUNTIFS(Backlog!$C$2:$C$315,$A22,Backlog!$G$2:$G$315,"P2")</f>
        <v/>
      </c>
      <c r="F22" s="12">
        <f>COUNTIFS(Backlog!$C$2:$C$315,$A22,Backlog!$G$2:$G$315,"P3")</f>
        <v/>
      </c>
      <c r="G22" s="12">
        <f>B22-H22-COUNTIFS(Backlog!$C$2:$C$315,$A22,Backlog!$F$2:$F$315,"Cancelled")-COUNTIFS(Backlog!$C$2:$C$315,$A22,Backlog!$F$2:$F$315,"Obsolete")-COUNTIFS(Backlog!$C$2:$C$315,$A22,Backlog!$F$2:$F$315,"Later")</f>
        <v/>
      </c>
      <c r="H22" s="12">
        <f>COUNTIFS(Backlog!$C$2:$C$315,$A22,Backlog!$F$2:$F$315,"Done")</f>
        <v/>
      </c>
    </row>
    <row r="23">
      <c r="A23" s="5" t="inlineStr">
        <is>
          <t>Dynamic Form Builder</t>
        </is>
      </c>
      <c r="B23" s="12">
        <f>COUNTIF(Backlog!$C$2:$C$315,$A23)</f>
        <v/>
      </c>
      <c r="C23" s="12">
        <f>COUNTIFS(Backlog!$C$2:$C$315,$A23,Backlog!$G$2:$G$315,"P0")</f>
        <v/>
      </c>
      <c r="D23" s="12">
        <f>COUNTIFS(Backlog!$C$2:$C$315,$A23,Backlog!$G$2:$G$315,"P1")</f>
        <v/>
      </c>
      <c r="E23" s="12">
        <f>COUNTIFS(Backlog!$C$2:$C$315,$A23,Backlog!$G$2:$G$315,"P2")</f>
        <v/>
      </c>
      <c r="F23" s="12">
        <f>COUNTIFS(Backlog!$C$2:$C$315,$A23,Backlog!$G$2:$G$315,"P3")</f>
        <v/>
      </c>
      <c r="G23" s="12">
        <f>B23-H23-COUNTIFS(Backlog!$C$2:$C$315,$A23,Backlog!$F$2:$F$315,"Cancelled")-COUNTIFS(Backlog!$C$2:$C$315,$A23,Backlog!$F$2:$F$315,"Obsolete")-COUNTIFS(Backlog!$C$2:$C$315,$A23,Backlog!$F$2:$F$315,"Later")</f>
        <v/>
      </c>
      <c r="H23" s="12">
        <f>COUNTIFS(Backlog!$C$2:$C$315,$A23,Backlog!$F$2:$F$315,"Done")</f>
        <v/>
      </c>
    </row>
    <row r="24">
      <c r="A24" s="5" t="inlineStr">
        <is>
          <t>Dynamic Module Builder</t>
        </is>
      </c>
      <c r="B24" s="12">
        <f>COUNTIF(Backlog!$C$2:$C$315,$A24)</f>
        <v/>
      </c>
      <c r="C24" s="12">
        <f>COUNTIFS(Backlog!$C$2:$C$315,$A24,Backlog!$G$2:$G$315,"P0")</f>
        <v/>
      </c>
      <c r="D24" s="12">
        <f>COUNTIFS(Backlog!$C$2:$C$315,$A24,Backlog!$G$2:$G$315,"P1")</f>
        <v/>
      </c>
      <c r="E24" s="12">
        <f>COUNTIFS(Backlog!$C$2:$C$315,$A24,Backlog!$G$2:$G$315,"P2")</f>
        <v/>
      </c>
      <c r="F24" s="12">
        <f>COUNTIFS(Backlog!$C$2:$C$315,$A24,Backlog!$G$2:$G$315,"P3")</f>
        <v/>
      </c>
      <c r="G24" s="12">
        <f>B24-H24-COUNTIFS(Backlog!$C$2:$C$315,$A24,Backlog!$F$2:$F$315,"Cancelled")-COUNTIFS(Backlog!$C$2:$C$315,$A24,Backlog!$F$2:$F$315,"Obsolete")-COUNTIFS(Backlog!$C$2:$C$315,$A24,Backlog!$F$2:$F$315,"Later")</f>
        <v/>
      </c>
      <c r="H24" s="12">
        <f>COUNTIFS(Backlog!$C$2:$C$315,$A24,Backlog!$F$2:$F$315,"Done")</f>
        <v/>
      </c>
    </row>
    <row r="25">
      <c r="A25" s="5" t="inlineStr">
        <is>
          <t>Workflow Studio &amp; BPMS</t>
        </is>
      </c>
      <c r="B25" s="12">
        <f>COUNTIF(Backlog!$C$2:$C$315,$A25)</f>
        <v/>
      </c>
      <c r="C25" s="12">
        <f>COUNTIFS(Backlog!$C$2:$C$315,$A25,Backlog!$G$2:$G$315,"P0")</f>
        <v/>
      </c>
      <c r="D25" s="12">
        <f>COUNTIFS(Backlog!$C$2:$C$315,$A25,Backlog!$G$2:$G$315,"P1")</f>
        <v/>
      </c>
      <c r="E25" s="12">
        <f>COUNTIFS(Backlog!$C$2:$C$315,$A25,Backlog!$G$2:$G$315,"P2")</f>
        <v/>
      </c>
      <c r="F25" s="12">
        <f>COUNTIFS(Backlog!$C$2:$C$315,$A25,Backlog!$G$2:$G$315,"P3")</f>
        <v/>
      </c>
      <c r="G25" s="12">
        <f>B25-H25-COUNTIFS(Backlog!$C$2:$C$315,$A25,Backlog!$F$2:$F$315,"Cancelled")-COUNTIFS(Backlog!$C$2:$C$315,$A25,Backlog!$F$2:$F$315,"Obsolete")-COUNTIFS(Backlog!$C$2:$C$315,$A25,Backlog!$F$2:$F$315,"Later")</f>
        <v/>
      </c>
      <c r="H25" s="12">
        <f>COUNTIFS(Backlog!$C$2:$C$315,$A25,Backlog!$F$2:$F$315,"Done")</f>
        <v/>
      </c>
    </row>
    <row r="26">
      <c r="A26" s="5" t="inlineStr">
        <is>
          <t>Static-to-Dynamic Module Migration</t>
        </is>
      </c>
      <c r="B26" s="12">
        <f>COUNTIF(Backlog!$C$2:$C$315,$A26)</f>
        <v/>
      </c>
      <c r="C26" s="12">
        <f>COUNTIFS(Backlog!$C$2:$C$315,$A26,Backlog!$G$2:$G$315,"P0")</f>
        <v/>
      </c>
      <c r="D26" s="12">
        <f>COUNTIFS(Backlog!$C$2:$C$315,$A26,Backlog!$G$2:$G$315,"P1")</f>
        <v/>
      </c>
      <c r="E26" s="12">
        <f>COUNTIFS(Backlog!$C$2:$C$315,$A26,Backlog!$G$2:$G$315,"P2")</f>
        <v/>
      </c>
      <c r="F26" s="12">
        <f>COUNTIFS(Backlog!$C$2:$C$315,$A26,Backlog!$G$2:$G$315,"P3")</f>
        <v/>
      </c>
      <c r="G26" s="12">
        <f>B26-H26-COUNTIFS(Backlog!$C$2:$C$315,$A26,Backlog!$F$2:$F$315,"Cancelled")-COUNTIFS(Backlog!$C$2:$C$315,$A26,Backlog!$F$2:$F$315,"Obsolete")-COUNTIFS(Backlog!$C$2:$C$315,$A26,Backlog!$F$2:$F$315,"Later")</f>
        <v/>
      </c>
      <c r="H26" s="12">
        <f>COUNTIFS(Backlog!$C$2:$C$315,$A26,Backlog!$F$2:$F$315,"Done")</f>
        <v/>
      </c>
    </row>
    <row r="27">
      <c r="A27" s="5" t="inlineStr">
        <is>
          <t>Licensing &amp; Protection</t>
        </is>
      </c>
      <c r="B27" s="12">
        <f>COUNTIF(Backlog!$C$2:$C$315,$A27)</f>
        <v/>
      </c>
      <c r="C27" s="12">
        <f>COUNTIFS(Backlog!$C$2:$C$315,$A27,Backlog!$G$2:$G$315,"P0")</f>
        <v/>
      </c>
      <c r="D27" s="12">
        <f>COUNTIFS(Backlog!$C$2:$C$315,$A27,Backlog!$G$2:$G$315,"P1")</f>
        <v/>
      </c>
      <c r="E27" s="12">
        <f>COUNTIFS(Backlog!$C$2:$C$315,$A27,Backlog!$G$2:$G$315,"P2")</f>
        <v/>
      </c>
      <c r="F27" s="12">
        <f>COUNTIFS(Backlog!$C$2:$C$315,$A27,Backlog!$G$2:$G$315,"P3")</f>
        <v/>
      </c>
      <c r="G27" s="12">
        <f>B27-H27-COUNTIFS(Backlog!$C$2:$C$315,$A27,Backlog!$F$2:$F$315,"Cancelled")-COUNTIFS(Backlog!$C$2:$C$315,$A27,Backlog!$F$2:$F$315,"Obsolete")-COUNTIFS(Backlog!$C$2:$C$315,$A27,Backlog!$F$2:$F$315,"Later")</f>
        <v/>
      </c>
      <c r="H27" s="12">
        <f>COUNTIFS(Backlog!$C$2:$C$315,$A27,Backlog!$F$2:$F$315,"Done")</f>
        <v/>
      </c>
    </row>
    <row r="28">
      <c r="A28" s="5" t="inlineStr">
        <is>
          <t>Company, Brand &amp; Commercial Packaging</t>
        </is>
      </c>
      <c r="B28" s="12">
        <f>COUNTIF(Backlog!$C$2:$C$315,$A28)</f>
        <v/>
      </c>
      <c r="C28" s="12">
        <f>COUNTIFS(Backlog!$C$2:$C$315,$A28,Backlog!$G$2:$G$315,"P0")</f>
        <v/>
      </c>
      <c r="D28" s="12">
        <f>COUNTIFS(Backlog!$C$2:$C$315,$A28,Backlog!$G$2:$G$315,"P1")</f>
        <v/>
      </c>
      <c r="E28" s="12">
        <f>COUNTIFS(Backlog!$C$2:$C$315,$A28,Backlog!$G$2:$G$315,"P2")</f>
        <v/>
      </c>
      <c r="F28" s="12">
        <f>COUNTIFS(Backlog!$C$2:$C$315,$A28,Backlog!$G$2:$G$315,"P3")</f>
        <v/>
      </c>
      <c r="G28" s="12">
        <f>B28-H28-COUNTIFS(Backlog!$C$2:$C$315,$A28,Backlog!$F$2:$F$315,"Cancelled")-COUNTIFS(Backlog!$C$2:$C$315,$A28,Backlog!$F$2:$F$315,"Obsolete")-COUNTIFS(Backlog!$C$2:$C$315,$A28,Backlog!$F$2:$F$315,"Later")</f>
        <v/>
      </c>
      <c r="H28" s="12">
        <f>COUNTIFS(Backlog!$C$2:$C$315,$A28,Backlog!$F$2:$F$315,"Done")</f>
        <v/>
      </c>
    </row>
    <row r="29">
      <c r="A29" s="5" t="inlineStr">
        <is>
          <t>Online Demo</t>
        </is>
      </c>
      <c r="B29" s="12">
        <f>COUNTIF(Backlog!$C$2:$C$315,$A29)</f>
        <v/>
      </c>
      <c r="C29" s="12">
        <f>COUNTIFS(Backlog!$C$2:$C$315,$A29,Backlog!$G$2:$G$315,"P0")</f>
        <v/>
      </c>
      <c r="D29" s="12">
        <f>COUNTIFS(Backlog!$C$2:$C$315,$A29,Backlog!$G$2:$G$315,"P1")</f>
        <v/>
      </c>
      <c r="E29" s="12">
        <f>COUNTIFS(Backlog!$C$2:$C$315,$A29,Backlog!$G$2:$G$315,"P2")</f>
        <v/>
      </c>
      <c r="F29" s="12">
        <f>COUNTIFS(Backlog!$C$2:$C$315,$A29,Backlog!$G$2:$G$315,"P3")</f>
        <v/>
      </c>
      <c r="G29" s="12">
        <f>B29-H29-COUNTIFS(Backlog!$C$2:$C$315,$A29,Backlog!$F$2:$F$315,"Cancelled")-COUNTIFS(Backlog!$C$2:$C$315,$A29,Backlog!$F$2:$F$315,"Obsolete")-COUNTIFS(Backlog!$C$2:$C$315,$A29,Backlog!$F$2:$F$315,"Later")</f>
        <v/>
      </c>
      <c r="H29" s="12">
        <f>COUNTIFS(Backlog!$C$2:$C$315,$A29,Backlog!$F$2:$F$315,"Done")</f>
        <v/>
      </c>
    </row>
    <row r="30">
      <c r="A30" s="5" t="inlineStr">
        <is>
          <t>Commercial Website</t>
        </is>
      </c>
      <c r="B30" s="12">
        <f>COUNTIF(Backlog!$C$2:$C$315,$A30)</f>
        <v/>
      </c>
      <c r="C30" s="12">
        <f>COUNTIFS(Backlog!$C$2:$C$315,$A30,Backlog!$G$2:$G$315,"P0")</f>
        <v/>
      </c>
      <c r="D30" s="12">
        <f>COUNTIFS(Backlog!$C$2:$C$315,$A30,Backlog!$G$2:$G$315,"P1")</f>
        <v/>
      </c>
      <c r="E30" s="12">
        <f>COUNTIFS(Backlog!$C$2:$C$315,$A30,Backlog!$G$2:$G$315,"P2")</f>
        <v/>
      </c>
      <c r="F30" s="12">
        <f>COUNTIFS(Backlog!$C$2:$C$315,$A30,Backlog!$G$2:$G$315,"P3")</f>
        <v/>
      </c>
      <c r="G30" s="12">
        <f>B30-H30-COUNTIFS(Backlog!$C$2:$C$315,$A30,Backlog!$F$2:$F$315,"Cancelled")-COUNTIFS(Backlog!$C$2:$C$315,$A30,Backlog!$F$2:$F$315,"Obsolete")-COUNTIFS(Backlog!$C$2:$C$315,$A30,Backlog!$F$2:$F$315,"Later")</f>
        <v/>
      </c>
      <c r="H30" s="12">
        <f>COUNTIFS(Backlog!$C$2:$C$315,$A30,Backlog!$F$2:$F$315,"Done")</f>
        <v/>
      </c>
    </row>
    <row r="31">
      <c r="A31" s="5" t="inlineStr">
        <is>
          <t>Installation, Deployment &amp; Updates</t>
        </is>
      </c>
      <c r="B31" s="12">
        <f>COUNTIF(Backlog!$C$2:$C$315,$A31)</f>
        <v/>
      </c>
      <c r="C31" s="12">
        <f>COUNTIFS(Backlog!$C$2:$C$315,$A31,Backlog!$G$2:$G$315,"P0")</f>
        <v/>
      </c>
      <c r="D31" s="12">
        <f>COUNTIFS(Backlog!$C$2:$C$315,$A31,Backlog!$G$2:$G$315,"P1")</f>
        <v/>
      </c>
      <c r="E31" s="12">
        <f>COUNTIFS(Backlog!$C$2:$C$315,$A31,Backlog!$G$2:$G$315,"P2")</f>
        <v/>
      </c>
      <c r="F31" s="12">
        <f>COUNTIFS(Backlog!$C$2:$C$315,$A31,Backlog!$G$2:$G$315,"P3")</f>
        <v/>
      </c>
      <c r="G31" s="12">
        <f>B31-H31-COUNTIFS(Backlog!$C$2:$C$315,$A31,Backlog!$F$2:$F$315,"Cancelled")-COUNTIFS(Backlog!$C$2:$C$315,$A31,Backlog!$F$2:$F$315,"Obsolete")-COUNTIFS(Backlog!$C$2:$C$315,$A31,Backlog!$F$2:$F$315,"Later")</f>
        <v/>
      </c>
      <c r="H31" s="12">
        <f>COUNTIFS(Backlog!$C$2:$C$315,$A31,Backlog!$F$2:$F$315,"Done")</f>
        <v/>
      </c>
    </row>
    <row r="32">
      <c r="A32" s="5" t="inlineStr">
        <is>
          <t>Access, RLS, Sessions &amp; Security</t>
        </is>
      </c>
      <c r="B32" s="12">
        <f>COUNTIF(Backlog!$C$2:$C$315,$A32)</f>
        <v/>
      </c>
      <c r="C32" s="12">
        <f>COUNTIFS(Backlog!$C$2:$C$315,$A32,Backlog!$G$2:$G$315,"P0")</f>
        <v/>
      </c>
      <c r="D32" s="12">
        <f>COUNTIFS(Backlog!$C$2:$C$315,$A32,Backlog!$G$2:$G$315,"P1")</f>
        <v/>
      </c>
      <c r="E32" s="12">
        <f>COUNTIFS(Backlog!$C$2:$C$315,$A32,Backlog!$G$2:$G$315,"P2")</f>
        <v/>
      </c>
      <c r="F32" s="12">
        <f>COUNTIFS(Backlog!$C$2:$C$315,$A32,Backlog!$G$2:$G$315,"P3")</f>
        <v/>
      </c>
      <c r="G32" s="12">
        <f>B32-H32-COUNTIFS(Backlog!$C$2:$C$315,$A32,Backlog!$F$2:$F$315,"Cancelled")-COUNTIFS(Backlog!$C$2:$C$315,$A32,Backlog!$F$2:$F$315,"Obsolete")-COUNTIFS(Backlog!$C$2:$C$315,$A32,Backlog!$F$2:$F$315,"Later")</f>
        <v/>
      </c>
      <c r="H32" s="12">
        <f>COUNTIFS(Backlog!$C$2:$C$315,$A32,Backlog!$F$2:$F$315,"Done")</f>
        <v/>
      </c>
    </row>
    <row r="33">
      <c r="A33" s="5" t="inlineStr">
        <is>
          <t>Integration, Events &amp; API</t>
        </is>
      </c>
      <c r="B33" s="12">
        <f>COUNTIF(Backlog!$C$2:$C$315,$A33)</f>
        <v/>
      </c>
      <c r="C33" s="12">
        <f>COUNTIFS(Backlog!$C$2:$C$315,$A33,Backlog!$G$2:$G$315,"P0")</f>
        <v/>
      </c>
      <c r="D33" s="12">
        <f>COUNTIFS(Backlog!$C$2:$C$315,$A33,Backlog!$G$2:$G$315,"P1")</f>
        <v/>
      </c>
      <c r="E33" s="12">
        <f>COUNTIFS(Backlog!$C$2:$C$315,$A33,Backlog!$G$2:$G$315,"P2")</f>
        <v/>
      </c>
      <c r="F33" s="12">
        <f>COUNTIFS(Backlog!$C$2:$C$315,$A33,Backlog!$G$2:$G$315,"P3")</f>
        <v/>
      </c>
      <c r="G33" s="12">
        <f>B33-H33-COUNTIFS(Backlog!$C$2:$C$315,$A33,Backlog!$F$2:$F$315,"Cancelled")-COUNTIFS(Backlog!$C$2:$C$315,$A33,Backlog!$F$2:$F$315,"Obsolete")-COUNTIFS(Backlog!$C$2:$C$315,$A33,Backlog!$F$2:$F$315,"Later")</f>
        <v/>
      </c>
      <c r="H33" s="12">
        <f>COUNTIFS(Backlog!$C$2:$C$315,$A33,Backlog!$F$2:$F$315,"Done")</f>
        <v/>
      </c>
    </row>
    <row r="34">
      <c r="A34" s="5" t="inlineStr">
        <is>
          <t>Quality, Testing &amp; Performance</t>
        </is>
      </c>
      <c r="B34" s="12">
        <f>COUNTIF(Backlog!$C$2:$C$315,$A34)</f>
        <v/>
      </c>
      <c r="C34" s="12">
        <f>COUNTIFS(Backlog!$C$2:$C$315,$A34,Backlog!$G$2:$G$315,"P0")</f>
        <v/>
      </c>
      <c r="D34" s="12">
        <f>COUNTIFS(Backlog!$C$2:$C$315,$A34,Backlog!$G$2:$G$315,"P1")</f>
        <v/>
      </c>
      <c r="E34" s="12">
        <f>COUNTIFS(Backlog!$C$2:$C$315,$A34,Backlog!$G$2:$G$315,"P2")</f>
        <v/>
      </c>
      <c r="F34" s="12">
        <f>COUNTIFS(Backlog!$C$2:$C$315,$A34,Backlog!$G$2:$G$315,"P3")</f>
        <v/>
      </c>
      <c r="G34" s="12">
        <f>B34-H34-COUNTIFS(Backlog!$C$2:$C$315,$A34,Backlog!$F$2:$F$315,"Cancelled")-COUNTIFS(Backlog!$C$2:$C$315,$A34,Backlog!$F$2:$F$315,"Obsolete")-COUNTIFS(Backlog!$C$2:$C$315,$A34,Backlog!$F$2:$F$315,"Later")</f>
        <v/>
      </c>
      <c r="H34" s="12">
        <f>COUNTIFS(Backlog!$C$2:$C$315,$A34,Backlog!$F$2:$F$315,"Done")</f>
        <v/>
      </c>
    </row>
    <row r="35">
      <c r="A35" s="5" t="inlineStr">
        <is>
          <t>Persian Localization, RTL &amp; Jalali Calendar</t>
        </is>
      </c>
      <c r="B35" s="12">
        <f>COUNTIF(Backlog!$C$2:$C$315,$A35)</f>
        <v/>
      </c>
      <c r="C35" s="12">
        <f>COUNTIFS(Backlog!$C$2:$C$315,$A35,Backlog!$G$2:$G$315,"P0")</f>
        <v/>
      </c>
      <c r="D35" s="12">
        <f>COUNTIFS(Backlog!$C$2:$C$315,$A35,Backlog!$G$2:$G$315,"P1")</f>
        <v/>
      </c>
      <c r="E35" s="12">
        <f>COUNTIFS(Backlog!$C$2:$C$315,$A35,Backlog!$G$2:$G$315,"P2")</f>
        <v/>
      </c>
      <c r="F35" s="12">
        <f>COUNTIFS(Backlog!$C$2:$C$315,$A35,Backlog!$G$2:$G$315,"P3")</f>
        <v/>
      </c>
      <c r="G35" s="12">
        <f>B35-H35-COUNTIFS(Backlog!$C$2:$C$315,$A35,Backlog!$F$2:$F$315,"Cancelled")-COUNTIFS(Backlog!$C$2:$C$315,$A35,Backlog!$F$2:$F$315,"Obsolete")-COUNTIFS(Backlog!$C$2:$C$315,$A35,Backlog!$F$2:$F$315,"Later")</f>
        <v/>
      </c>
      <c r="H35" s="12">
        <f>COUNTIFS(Backlog!$C$2:$C$315,$A35,Backlog!$F$2:$F$315,"Done")</f>
        <v/>
      </c>
    </row>
    <row r="36">
      <c r="A36" s="5" t="inlineStr">
        <is>
          <t>Reporting, Dashboards &amp; Export</t>
        </is>
      </c>
      <c r="B36" s="12">
        <f>COUNTIF(Backlog!$C$2:$C$315,$A36)</f>
        <v/>
      </c>
      <c r="C36" s="12">
        <f>COUNTIFS(Backlog!$C$2:$C$315,$A36,Backlog!$G$2:$G$315,"P0")</f>
        <v/>
      </c>
      <c r="D36" s="12">
        <f>COUNTIFS(Backlog!$C$2:$C$315,$A36,Backlog!$G$2:$G$315,"P1")</f>
        <v/>
      </c>
      <c r="E36" s="12">
        <f>COUNTIFS(Backlog!$C$2:$C$315,$A36,Backlog!$G$2:$G$315,"P2")</f>
        <v/>
      </c>
      <c r="F36" s="12">
        <f>COUNTIFS(Backlog!$C$2:$C$315,$A36,Backlog!$G$2:$G$315,"P3")</f>
        <v/>
      </c>
      <c r="G36" s="12">
        <f>B36-H36-COUNTIFS(Backlog!$C$2:$C$315,$A36,Backlog!$F$2:$F$315,"Cancelled")-COUNTIFS(Backlog!$C$2:$C$315,$A36,Backlog!$F$2:$F$315,"Obsolete")-COUNTIFS(Backlog!$C$2:$C$315,$A36,Backlog!$F$2:$F$315,"Later")</f>
        <v/>
      </c>
      <c r="H36" s="12">
        <f>COUNTIFS(Backlog!$C$2:$C$315,$A36,Backlog!$F$2:$F$315,"Done")</f>
        <v/>
      </c>
    </row>
    <row r="37">
      <c r="A37" s="5" t="inlineStr">
        <is>
          <t>Artificial Intelligence</t>
        </is>
      </c>
      <c r="B37" s="12">
        <f>COUNTIF(Backlog!$C$2:$C$315,$A37)</f>
        <v/>
      </c>
      <c r="C37" s="12">
        <f>COUNTIFS(Backlog!$C$2:$C$315,$A37,Backlog!$G$2:$G$315,"P0")</f>
        <v/>
      </c>
      <c r="D37" s="12">
        <f>COUNTIFS(Backlog!$C$2:$C$315,$A37,Backlog!$G$2:$G$315,"P1")</f>
        <v/>
      </c>
      <c r="E37" s="12">
        <f>COUNTIFS(Backlog!$C$2:$C$315,$A37,Backlog!$G$2:$G$315,"P2")</f>
        <v/>
      </c>
      <c r="F37" s="12">
        <f>COUNTIFS(Backlog!$C$2:$C$315,$A37,Backlog!$G$2:$G$315,"P3")</f>
        <v/>
      </c>
      <c r="G37" s="12">
        <f>B37-H37-COUNTIFS(Backlog!$C$2:$C$315,$A37,Backlog!$F$2:$F$315,"Cancelled")-COUNTIFS(Backlog!$C$2:$C$315,$A37,Backlog!$F$2:$F$315,"Obsolete")-COUNTIFS(Backlog!$C$2:$C$315,$A37,Backlog!$F$2:$F$315,"Later")</f>
        <v/>
      </c>
      <c r="H37" s="12">
        <f>COUNTIFS(Backlog!$C$2:$C$315,$A37,Backlog!$F$2:$F$315,"Done")</f>
        <v/>
      </c>
    </row>
    <row r="38">
      <c r="A38" s="5" t="inlineStr">
        <is>
          <t>Domain: Engineering, EDMS/VDR &amp; Records</t>
        </is>
      </c>
      <c r="B38" s="12">
        <f>COUNTIF(Backlog!$C$2:$C$315,$A38)</f>
        <v/>
      </c>
      <c r="C38" s="12">
        <f>COUNTIFS(Backlog!$C$2:$C$315,$A38,Backlog!$G$2:$G$315,"P0")</f>
        <v/>
      </c>
      <c r="D38" s="12">
        <f>COUNTIFS(Backlog!$C$2:$C$315,$A38,Backlog!$G$2:$G$315,"P1")</f>
        <v/>
      </c>
      <c r="E38" s="12">
        <f>COUNTIFS(Backlog!$C$2:$C$315,$A38,Backlog!$G$2:$G$315,"P2")</f>
        <v/>
      </c>
      <c r="F38" s="12">
        <f>COUNTIFS(Backlog!$C$2:$C$315,$A38,Backlog!$G$2:$G$315,"P3")</f>
        <v/>
      </c>
      <c r="G38" s="12">
        <f>B38-H38-COUNTIFS(Backlog!$C$2:$C$315,$A38,Backlog!$F$2:$F$315,"Cancelled")-COUNTIFS(Backlog!$C$2:$C$315,$A38,Backlog!$F$2:$F$315,"Obsolete")-COUNTIFS(Backlog!$C$2:$C$315,$A38,Backlog!$F$2:$F$315,"Later")</f>
        <v/>
      </c>
      <c r="H38" s="12">
        <f>COUNTIFS(Backlog!$C$2:$C$315,$A38,Backlog!$F$2:$F$315,"Done")</f>
        <v/>
      </c>
    </row>
    <row r="39">
      <c r="A39" s="5" t="inlineStr">
        <is>
          <t>Domain: CMMS/EAM &amp; Field Operations</t>
        </is>
      </c>
      <c r="B39" s="12">
        <f>COUNTIF(Backlog!$C$2:$C$315,$A39)</f>
        <v/>
      </c>
      <c r="C39" s="12">
        <f>COUNTIFS(Backlog!$C$2:$C$315,$A39,Backlog!$G$2:$G$315,"P0")</f>
        <v/>
      </c>
      <c r="D39" s="12">
        <f>COUNTIFS(Backlog!$C$2:$C$315,$A39,Backlog!$G$2:$G$315,"P1")</f>
        <v/>
      </c>
      <c r="E39" s="12">
        <f>COUNTIFS(Backlog!$C$2:$C$315,$A39,Backlog!$G$2:$G$315,"P2")</f>
        <v/>
      </c>
      <c r="F39" s="12">
        <f>COUNTIFS(Backlog!$C$2:$C$315,$A39,Backlog!$G$2:$G$315,"P3")</f>
        <v/>
      </c>
      <c r="G39" s="12">
        <f>B39-H39-COUNTIFS(Backlog!$C$2:$C$315,$A39,Backlog!$F$2:$F$315,"Cancelled")-COUNTIFS(Backlog!$C$2:$C$315,$A39,Backlog!$F$2:$F$315,"Obsolete")-COUNTIFS(Backlog!$C$2:$C$315,$A39,Backlog!$F$2:$F$315,"Later")</f>
        <v/>
      </c>
      <c r="H39" s="12">
        <f>COUNTIFS(Backlog!$C$2:$C$315,$A39,Backlog!$F$2:$F$315,"Done")</f>
        <v/>
      </c>
    </row>
    <row r="40">
      <c r="A40" s="5" t="inlineStr">
        <is>
          <t>Domain: HR, Projects, Finance &amp; Procurement</t>
        </is>
      </c>
      <c r="B40" s="12">
        <f>COUNTIF(Backlog!$C$2:$C$315,$A40)</f>
        <v/>
      </c>
      <c r="C40" s="12">
        <f>COUNTIFS(Backlog!$C$2:$C$315,$A40,Backlog!$G$2:$G$315,"P0")</f>
        <v/>
      </c>
      <c r="D40" s="12">
        <f>COUNTIFS(Backlog!$C$2:$C$315,$A40,Backlog!$G$2:$G$315,"P1")</f>
        <v/>
      </c>
      <c r="E40" s="12">
        <f>COUNTIFS(Backlog!$C$2:$C$315,$A40,Backlog!$G$2:$G$315,"P2")</f>
        <v/>
      </c>
      <c r="F40" s="12">
        <f>COUNTIFS(Backlog!$C$2:$C$315,$A40,Backlog!$G$2:$G$315,"P3")</f>
        <v/>
      </c>
      <c r="G40" s="12">
        <f>B40-H40-COUNTIFS(Backlog!$C$2:$C$315,$A40,Backlog!$F$2:$F$315,"Cancelled")-COUNTIFS(Backlog!$C$2:$C$315,$A40,Backlog!$F$2:$F$315,"Obsolete")-COUNTIFS(Backlog!$C$2:$C$315,$A40,Backlog!$F$2:$F$315,"Later")</f>
        <v/>
      </c>
      <c r="H40" s="12">
        <f>COUNTIFS(Backlog!$C$2:$C$315,$A40,Backlog!$F$2:$F$315,"Done")</f>
        <v/>
      </c>
    </row>
    <row r="41">
      <c r="A41" s="5" t="inlineStr">
        <is>
          <t>Support, Operations &amp; Documentation</t>
        </is>
      </c>
      <c r="B41" s="12">
        <f>COUNTIF(Backlog!$C$2:$C$315,$A41)</f>
        <v/>
      </c>
      <c r="C41" s="12">
        <f>COUNTIFS(Backlog!$C$2:$C$315,$A41,Backlog!$G$2:$G$315,"P0")</f>
        <v/>
      </c>
      <c r="D41" s="12">
        <f>COUNTIFS(Backlog!$C$2:$C$315,$A41,Backlog!$G$2:$G$315,"P1")</f>
        <v/>
      </c>
      <c r="E41" s="12">
        <f>COUNTIFS(Backlog!$C$2:$C$315,$A41,Backlog!$G$2:$G$315,"P2")</f>
        <v/>
      </c>
      <c r="F41" s="12">
        <f>COUNTIFS(Backlog!$C$2:$C$315,$A41,Backlog!$G$2:$G$315,"P3")</f>
        <v/>
      </c>
      <c r="G41" s="12">
        <f>B41-H41-COUNTIFS(Backlog!$C$2:$C$315,$A41,Backlog!$F$2:$F$315,"Cancelled")-COUNTIFS(Backlog!$C$2:$C$315,$A41,Backlog!$F$2:$F$315,"Obsolete")-COUNTIFS(Backlog!$C$2:$C$315,$A41,Backlog!$F$2:$F$315,"Later")</f>
        <v/>
      </c>
      <c r="H41" s="12">
        <f>COUNTIFS(Backlog!$C$2:$C$315,$A41,Backlog!$F$2:$F$315,"Done")</f>
        <v/>
      </c>
    </row>
    <row r="42">
      <c r="A42" s="5" t="inlineStr">
        <is>
          <t>Existing PEMS Capabilities (estimated from code)</t>
        </is>
      </c>
      <c r="B42" s="12">
        <f>COUNTIF(Backlog!$C$2:$C$315,$A42)</f>
        <v/>
      </c>
      <c r="C42" s="12">
        <f>COUNTIFS(Backlog!$C$2:$C$315,$A42,Backlog!$G$2:$G$315,"P0")</f>
        <v/>
      </c>
      <c r="D42" s="12">
        <f>COUNTIFS(Backlog!$C$2:$C$315,$A42,Backlog!$G$2:$G$315,"P1")</f>
        <v/>
      </c>
      <c r="E42" s="12">
        <f>COUNTIFS(Backlog!$C$2:$C$315,$A42,Backlog!$G$2:$G$315,"P2")</f>
        <v/>
      </c>
      <c r="F42" s="12">
        <f>COUNTIFS(Backlog!$C$2:$C$315,$A42,Backlog!$G$2:$G$315,"P3")</f>
        <v/>
      </c>
      <c r="G42" s="12">
        <f>B42-H42-COUNTIFS(Backlog!$C$2:$C$315,$A42,Backlog!$F$2:$F$315,"Cancelled")-COUNTIFS(Backlog!$C$2:$C$315,$A42,Backlog!$F$2:$F$315,"Obsolete")-COUNTIFS(Backlog!$C$2:$C$315,$A42,Backlog!$F$2:$F$315,"Later")</f>
        <v/>
      </c>
      <c r="H42" s="12">
        <f>COUNTIFS(Backlog!$C$2:$C$315,$A42,Backlog!$F$2:$F$315,"Done")</f>
        <v/>
      </c>
    </row>
    <row r="43">
      <c r="A43" s="5" t="inlineStr">
        <is>
          <t>DevOps, Source Control &amp; Release Management</t>
        </is>
      </c>
      <c r="B43" s="12">
        <f>COUNTIF(Backlog!$C$2:$C$315,$A43)</f>
        <v/>
      </c>
      <c r="C43" s="12">
        <f>COUNTIFS(Backlog!$C$2:$C$315,$A43,Backlog!$G$2:$G$315,"P0")</f>
        <v/>
      </c>
      <c r="D43" s="12">
        <f>COUNTIFS(Backlog!$C$2:$C$315,$A43,Backlog!$G$2:$G$315,"P1")</f>
        <v/>
      </c>
      <c r="E43" s="12">
        <f>COUNTIFS(Backlog!$C$2:$C$315,$A43,Backlog!$G$2:$G$315,"P2")</f>
        <v/>
      </c>
      <c r="F43" s="12">
        <f>COUNTIFS(Backlog!$C$2:$C$315,$A43,Backlog!$G$2:$G$315,"P3")</f>
        <v/>
      </c>
      <c r="G43" s="12">
        <f>B43-H43-COUNTIFS(Backlog!$C$2:$C$315,$A43,Backlog!$F$2:$F$315,"Cancelled")-COUNTIFS(Backlog!$C$2:$C$315,$A43,Backlog!$F$2:$F$315,"Obsolete")-COUNTIFS(Backlog!$C$2:$C$315,$A43,Backlog!$F$2:$F$315,"Later")</f>
        <v/>
      </c>
      <c r="H43" s="12">
        <f>COUNTIFS(Backlog!$C$2:$C$315,$A43,Backlog!$F$2:$F$315,"Done")</f>
        <v/>
      </c>
    </row>
    <row r="44">
      <c r="A44" s="5" t="inlineStr">
        <is>
          <t>Customer Version &amp; Deployment Management</t>
        </is>
      </c>
      <c r="B44" s="12">
        <f>COUNTIF(Backlog!$C$2:$C$315,$A44)</f>
        <v/>
      </c>
      <c r="C44" s="12">
        <f>COUNTIFS(Backlog!$C$2:$C$315,$A44,Backlog!$G$2:$G$315,"P0")</f>
        <v/>
      </c>
      <c r="D44" s="12">
        <f>COUNTIFS(Backlog!$C$2:$C$315,$A44,Backlog!$G$2:$G$315,"P1")</f>
        <v/>
      </c>
      <c r="E44" s="12">
        <f>COUNTIFS(Backlog!$C$2:$C$315,$A44,Backlog!$G$2:$G$315,"P2")</f>
        <v/>
      </c>
      <c r="F44" s="12">
        <f>COUNTIFS(Backlog!$C$2:$C$315,$A44,Backlog!$G$2:$G$315,"P3")</f>
        <v/>
      </c>
      <c r="G44" s="12">
        <f>B44-H44-COUNTIFS(Backlog!$C$2:$C$315,$A44,Backlog!$F$2:$F$315,"Cancelled")-COUNTIFS(Backlog!$C$2:$C$315,$A44,Backlog!$F$2:$F$315,"Obsolete")-COUNTIFS(Backlog!$C$2:$C$315,$A44,Backlog!$F$2:$F$315,"Later")</f>
        <v/>
      </c>
      <c r="H44" s="12">
        <f>COUNTIFS(Backlog!$C$2:$C$315,$A44,Backlog!$F$2:$F$315,"Done")</f>
        <v/>
      </c>
    </row>
    <row r="45">
      <c r="A45" s="5" t="inlineStr">
        <is>
          <t>Supportability Matrix &amp; Module Versioning</t>
        </is>
      </c>
      <c r="B45" s="12">
        <f>COUNTIF(Backlog!$C$2:$C$315,$A45)</f>
        <v/>
      </c>
      <c r="C45" s="12">
        <f>COUNTIFS(Backlog!$C$2:$C$315,$A45,Backlog!$G$2:$G$315,"P0")</f>
        <v/>
      </c>
      <c r="D45" s="12">
        <f>COUNTIFS(Backlog!$C$2:$C$315,$A45,Backlog!$G$2:$G$315,"P1")</f>
        <v/>
      </c>
      <c r="E45" s="12">
        <f>COUNTIFS(Backlog!$C$2:$C$315,$A45,Backlog!$G$2:$G$315,"P2")</f>
        <v/>
      </c>
      <c r="F45" s="12">
        <f>COUNTIFS(Backlog!$C$2:$C$315,$A45,Backlog!$G$2:$G$315,"P3")</f>
        <v/>
      </c>
      <c r="G45" s="12">
        <f>B45-H45-COUNTIFS(Backlog!$C$2:$C$315,$A45,Backlog!$F$2:$F$315,"Cancelled")-COUNTIFS(Backlog!$C$2:$C$315,$A45,Backlog!$F$2:$F$315,"Obsolete")-COUNTIFS(Backlog!$C$2:$C$315,$A45,Backlog!$F$2:$F$315,"Later")</f>
        <v/>
      </c>
      <c r="H45" s="12">
        <f>COUNTIFS(Backlog!$C$2:$C$315,$A45,Backlog!$F$2:$F$315,"Done")</f>
        <v/>
      </c>
    </row>
    <row r="46">
      <c r="A46" s="5" t="inlineStr">
        <is>
          <t>Main Host: Landing &amp; Demo Deployment</t>
        </is>
      </c>
      <c r="B46" s="12">
        <f>COUNTIF(Backlog!$C$2:$C$315,$A46)</f>
        <v/>
      </c>
      <c r="C46" s="12">
        <f>COUNTIFS(Backlog!$C$2:$C$315,$A46,Backlog!$G$2:$G$315,"P0")</f>
        <v/>
      </c>
      <c r="D46" s="12">
        <f>COUNTIFS(Backlog!$C$2:$C$315,$A46,Backlog!$G$2:$G$315,"P1")</f>
        <v/>
      </c>
      <c r="E46" s="12">
        <f>COUNTIFS(Backlog!$C$2:$C$315,$A46,Backlog!$G$2:$G$315,"P2")</f>
        <v/>
      </c>
      <c r="F46" s="12">
        <f>COUNTIFS(Backlog!$C$2:$C$315,$A46,Backlog!$G$2:$G$315,"P3")</f>
        <v/>
      </c>
      <c r="G46" s="12">
        <f>B46-H46-COUNTIFS(Backlog!$C$2:$C$315,$A46,Backlog!$F$2:$F$315,"Cancelled")-COUNTIFS(Backlog!$C$2:$C$315,$A46,Backlog!$F$2:$F$315,"Obsolete")-COUNTIFS(Backlog!$C$2:$C$315,$A46,Backlog!$F$2:$F$315,"Later")</f>
        <v/>
      </c>
      <c r="H46" s="12">
        <f>COUNTIFS(Backlog!$C$2:$C$315,$A46,Backlog!$F$2:$F$315,"Done")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COUNTIF(Backlog!$R$2:$R$315,$A50)</f>
        <v/>
      </c>
      <c r="C50" s="12">
        <f>COUNTIFS(Backlog!$R$2:$R$315,$A50,Backlog!$F$2:$F$315,"Done")</f>
        <v/>
      </c>
      <c r="D50" s="12">
        <f>COUNTIFS(Backlog!$R$2:$R$315,$A50,Backlog!$F$2:$F$315,"Later")</f>
        <v/>
      </c>
      <c r="E50" s="12">
        <f>B50-C50-D50-COUNTIFS(Backlog!$R$2:$R$315,$A50,Backlog!$F$2:$F$315,"Cancelled")-COUNTIFS(Backlog!$R$2:$R$315,$A50,Backlog!$F$2:$F$315,"Obsolete")</f>
        <v/>
      </c>
      <c r="F50" s="12">
        <f>COUNTIFS(Backlog!$R$2:$R$315,$A50,Backlog!$S$2:$S$315,"Yes")</f>
        <v/>
      </c>
      <c r="G50" s="12" t="n"/>
      <c r="H50" s="12" t="n"/>
    </row>
    <row r="51">
      <c r="A51" s="5" t="inlineStr">
        <is>
          <t>Dynamic data core</t>
        </is>
      </c>
      <c r="B51" s="12">
        <f>COUNTIF(Backlog!$R$2:$R$315,$A51)</f>
        <v/>
      </c>
      <c r="C51" s="12">
        <f>COUNTIFS(Backlog!$R$2:$R$315,$A51,Backlog!$F$2:$F$315,"Done")</f>
        <v/>
      </c>
      <c r="D51" s="12">
        <f>COUNTIFS(Backlog!$R$2:$R$315,$A51,Backlog!$F$2:$F$315,"Later")</f>
        <v/>
      </c>
      <c r="E51" s="12">
        <f>B51-C51-D51-COUNTIFS(Backlog!$R$2:$R$315,$A51,Backlog!$F$2:$F$315,"Cancelled")-COUNTIFS(Backlog!$R$2:$R$315,$A51,Backlog!$F$2:$F$315,"Obsolete")</f>
        <v/>
      </c>
      <c r="F51" s="12">
        <f>COUNTIFS(Backlog!$R$2:$R$315,$A51,Backlog!$S$2:$S$315,"Yes")</f>
        <v/>
      </c>
      <c r="G51" s="12" t="n"/>
      <c r="H51" s="12" t="n"/>
    </row>
    <row r="52">
      <c r="A52" s="5" t="inlineStr">
        <is>
          <t>UI component library</t>
        </is>
      </c>
      <c r="B52" s="12">
        <f>COUNTIF(Backlog!$R$2:$R$315,$A52)</f>
        <v/>
      </c>
      <c r="C52" s="12">
        <f>COUNTIFS(Backlog!$R$2:$R$315,$A52,Backlog!$F$2:$F$315,"Done")</f>
        <v/>
      </c>
      <c r="D52" s="12">
        <f>COUNTIFS(Backlog!$R$2:$R$315,$A52,Backlog!$F$2:$F$315,"Later")</f>
        <v/>
      </c>
      <c r="E52" s="12">
        <f>B52-C52-D52-COUNTIFS(Backlog!$R$2:$R$315,$A52,Backlog!$F$2:$F$315,"Cancelled")-COUNTIFS(Backlog!$R$2:$R$315,$A52,Backlog!$F$2:$F$315,"Obsolete")</f>
        <v/>
      </c>
      <c r="F52" s="12">
        <f>COUNTIFS(Backlog!$R$2:$R$315,$A52,Backlog!$S$2:$S$315,"Yes")</f>
        <v/>
      </c>
      <c r="G52" s="12" t="n"/>
      <c r="H52" s="12" t="n"/>
    </row>
    <row r="53">
      <c r="A53" s="5" t="inlineStr">
        <is>
          <t>Form builder</t>
        </is>
      </c>
      <c r="B53" s="12">
        <f>COUNTIF(Backlog!$R$2:$R$315,$A53)</f>
        <v/>
      </c>
      <c r="C53" s="12">
        <f>COUNTIFS(Backlog!$R$2:$R$315,$A53,Backlog!$F$2:$F$315,"Done")</f>
        <v/>
      </c>
      <c r="D53" s="12">
        <f>COUNTIFS(Backlog!$R$2:$R$315,$A53,Backlog!$F$2:$F$315,"Later")</f>
        <v/>
      </c>
      <c r="E53" s="12">
        <f>B53-C53-D53-COUNTIFS(Backlog!$R$2:$R$315,$A53,Backlog!$F$2:$F$315,"Cancelled")-COUNTIFS(Backlog!$R$2:$R$315,$A53,Backlog!$F$2:$F$315,"Obsolete")</f>
        <v/>
      </c>
      <c r="F53" s="12">
        <f>COUNTIFS(Backlog!$R$2:$R$315,$A53,Backlog!$S$2:$S$315,"Yes")</f>
        <v/>
      </c>
      <c r="G53" s="12" t="n"/>
      <c r="H53" s="12" t="n"/>
    </row>
    <row r="54">
      <c r="A54" s="5" t="inlineStr">
        <is>
          <t>Module builder</t>
        </is>
      </c>
      <c r="B54" s="12">
        <f>COUNTIF(Backlog!$R$2:$R$315,$A54)</f>
        <v/>
      </c>
      <c r="C54" s="12">
        <f>COUNTIFS(Backlog!$R$2:$R$315,$A54,Backlog!$F$2:$F$315,"Done")</f>
        <v/>
      </c>
      <c r="D54" s="12">
        <f>COUNTIFS(Backlog!$R$2:$R$315,$A54,Backlog!$F$2:$F$315,"Later")</f>
        <v/>
      </c>
      <c r="E54" s="12">
        <f>B54-C54-D54-COUNTIFS(Backlog!$R$2:$R$315,$A54,Backlog!$F$2:$F$315,"Cancelled")-COUNTIFS(Backlog!$R$2:$R$315,$A54,Backlog!$F$2:$F$315,"Obsolete")</f>
        <v/>
      </c>
      <c r="F54" s="12">
        <f>COUNTIFS(Backlog!$R$2:$R$315,$A54,Backlog!$S$2:$S$315,"Yes")</f>
        <v/>
      </c>
      <c r="G54" s="12" t="n"/>
      <c r="H54" s="12" t="n"/>
    </row>
    <row r="55">
      <c r="A55" s="5" t="inlineStr">
        <is>
          <t>Workflow studio &amp; BPMS</t>
        </is>
      </c>
      <c r="B55" s="12">
        <f>COUNTIF(Backlog!$R$2:$R$315,$A55)</f>
        <v/>
      </c>
      <c r="C55" s="12">
        <f>COUNTIFS(Backlog!$R$2:$R$315,$A55,Backlog!$F$2:$F$315,"Done")</f>
        <v/>
      </c>
      <c r="D55" s="12">
        <f>COUNTIFS(Backlog!$R$2:$R$315,$A55,Backlog!$F$2:$F$315,"Later")</f>
        <v/>
      </c>
      <c r="E55" s="12">
        <f>B55-C55-D55-COUNTIFS(Backlog!$R$2:$R$315,$A55,Backlog!$F$2:$F$315,"Cancelled")-COUNTIFS(Backlog!$R$2:$R$315,$A55,Backlog!$F$2:$F$315,"Obsolete")</f>
        <v/>
      </c>
      <c r="F55" s="12">
        <f>COUNTIFS(Backlog!$R$2:$R$315,$A55,Backlog!$S$2:$S$315,"Yes")</f>
        <v/>
      </c>
      <c r="G55" s="12" t="n"/>
      <c r="H55" s="12" t="n"/>
    </row>
    <row r="56">
      <c r="A56" s="5" t="inlineStr">
        <is>
          <t>Static-to-dynamic migration</t>
        </is>
      </c>
      <c r="B56" s="12">
        <f>COUNTIF(Backlog!$R$2:$R$315,$A56)</f>
        <v/>
      </c>
      <c r="C56" s="12">
        <f>COUNTIFS(Backlog!$R$2:$R$315,$A56,Backlog!$F$2:$F$315,"Done")</f>
        <v/>
      </c>
      <c r="D56" s="12">
        <f>COUNTIFS(Backlog!$R$2:$R$315,$A56,Backlog!$F$2:$F$315,"Later")</f>
        <v/>
      </c>
      <c r="E56" s="12">
        <f>B56-C56-D56-COUNTIFS(Backlog!$R$2:$R$315,$A56,Backlog!$F$2:$F$315,"Cancelled")-COUNTIFS(Backlog!$R$2:$R$315,$A56,Backlog!$F$2:$F$315,"Obsolete")</f>
        <v/>
      </c>
      <c r="F56" s="12">
        <f>COUNTIFS(Backlog!$R$2:$R$315,$A56,Backlog!$S$2:$S$315,"Yes")</f>
        <v/>
      </c>
      <c r="G56" s="12" t="n"/>
      <c r="H56" s="12" t="n"/>
    </row>
    <row r="57">
      <c r="A57" s="5" t="inlineStr">
        <is>
          <t>Licensing chain</t>
        </is>
      </c>
      <c r="B57" s="12">
        <f>COUNTIF(Backlog!$R$2:$R$315,$A57)</f>
        <v/>
      </c>
      <c r="C57" s="12">
        <f>COUNTIFS(Backlog!$R$2:$R$315,$A57,Backlog!$F$2:$F$315,"Done")</f>
        <v/>
      </c>
      <c r="D57" s="12">
        <f>COUNTIFS(Backlog!$R$2:$R$315,$A57,Backlog!$F$2:$F$315,"Later")</f>
        <v/>
      </c>
      <c r="E57" s="12">
        <f>B57-C57-D57-COUNTIFS(Backlog!$R$2:$R$315,$A57,Backlog!$F$2:$F$315,"Cancelled")-COUNTIFS(Backlog!$R$2:$R$315,$A57,Backlog!$F$2:$F$315,"Obsolete")</f>
        <v/>
      </c>
      <c r="F57" s="12">
        <f>COUNTIFS(Backlog!$R$2:$R$315,$A57,Backlog!$S$2:$S$315,"Yes")</f>
        <v/>
      </c>
      <c r="G57" s="12" t="n"/>
      <c r="H57" s="12" t="n"/>
    </row>
    <row r="58">
      <c r="A58" s="5" t="inlineStr">
        <is>
          <t>Company, brand &amp; legal</t>
        </is>
      </c>
      <c r="B58" s="12">
        <f>COUNTIF(Backlog!$R$2:$R$315,$A58)</f>
        <v/>
      </c>
      <c r="C58" s="12">
        <f>COUNTIFS(Backlog!$R$2:$R$315,$A58,Backlog!$F$2:$F$315,"Done")</f>
        <v/>
      </c>
      <c r="D58" s="12">
        <f>COUNTIFS(Backlog!$R$2:$R$315,$A58,Backlog!$F$2:$F$315,"Later")</f>
        <v/>
      </c>
      <c r="E58" s="12">
        <f>B58-C58-D58-COUNTIFS(Backlog!$R$2:$R$315,$A58,Backlog!$F$2:$F$315,"Cancelled")-COUNTIFS(Backlog!$R$2:$R$315,$A58,Backlog!$F$2:$F$315,"Obsolete")</f>
        <v/>
      </c>
      <c r="F58" s="12">
        <f>COUNTIFS(Backlog!$R$2:$R$315,$A58,Backlog!$S$2:$S$315,"Yes")</f>
        <v/>
      </c>
      <c r="G58" s="12" t="n"/>
      <c r="H58" s="12" t="n"/>
    </row>
    <row r="59">
      <c r="A59" s="5" t="inlineStr">
        <is>
          <t>Online demo</t>
        </is>
      </c>
      <c r="B59" s="12">
        <f>COUNTIF(Backlog!$R$2:$R$315,$A59)</f>
        <v/>
      </c>
      <c r="C59" s="12">
        <f>COUNTIFS(Backlog!$R$2:$R$315,$A59,Backlog!$F$2:$F$315,"Done")</f>
        <v/>
      </c>
      <c r="D59" s="12">
        <f>COUNTIFS(Backlog!$R$2:$R$315,$A59,Backlog!$F$2:$F$315,"Later")</f>
        <v/>
      </c>
      <c r="E59" s="12">
        <f>B59-C59-D59-COUNTIFS(Backlog!$R$2:$R$315,$A59,Backlog!$F$2:$F$315,"Cancelled")-COUNTIFS(Backlog!$R$2:$R$315,$A59,Backlog!$F$2:$F$315,"Obsolete")</f>
        <v/>
      </c>
      <c r="F59" s="12">
        <f>COUNTIFS(Backlog!$R$2:$R$315,$A59,Backlog!$S$2:$S$315,"Yes")</f>
        <v/>
      </c>
      <c r="G59" s="12" t="n"/>
      <c r="H59" s="12" t="n"/>
    </row>
    <row r="60">
      <c r="A60" s="5" t="inlineStr">
        <is>
          <t>Commercial website</t>
        </is>
      </c>
      <c r="B60" s="12">
        <f>COUNTIF(Backlog!$R$2:$R$315,$A60)</f>
        <v/>
      </c>
      <c r="C60" s="12">
        <f>COUNTIFS(Backlog!$R$2:$R$315,$A60,Backlog!$F$2:$F$315,"Done")</f>
        <v/>
      </c>
      <c r="D60" s="12">
        <f>COUNTIFS(Backlog!$R$2:$R$315,$A60,Backlog!$F$2:$F$315,"Later")</f>
        <v/>
      </c>
      <c r="E60" s="12">
        <f>B60-C60-D60-COUNTIFS(Backlog!$R$2:$R$315,$A60,Backlog!$F$2:$F$315,"Cancelled")-COUNTIFS(Backlog!$R$2:$R$315,$A60,Backlog!$F$2:$F$315,"Obsolete")</f>
        <v/>
      </c>
      <c r="F60" s="12">
        <f>COUNTIFS(Backlog!$R$2:$R$315,$A60,Backlog!$S$2:$S$315,"Yes")</f>
        <v/>
      </c>
      <c r="G60" s="12" t="n"/>
      <c r="H60" s="12" t="n"/>
    </row>
    <row r="61">
      <c r="A61" s="5" t="inlineStr">
        <is>
          <t>Install &amp; update</t>
        </is>
      </c>
      <c r="B61" s="12">
        <f>COUNTIF(Backlog!$R$2:$R$315,$A61)</f>
        <v/>
      </c>
      <c r="C61" s="12">
        <f>COUNTIFS(Backlog!$R$2:$R$315,$A61,Backlog!$F$2:$F$315,"Done")</f>
        <v/>
      </c>
      <c r="D61" s="12">
        <f>COUNTIFS(Backlog!$R$2:$R$315,$A61,Backlog!$F$2:$F$315,"Later")</f>
        <v/>
      </c>
      <c r="E61" s="12">
        <f>B61-C61-D61-COUNTIFS(Backlog!$R$2:$R$315,$A61,Backlog!$F$2:$F$315,"Cancelled")-COUNTIFS(Backlog!$R$2:$R$315,$A61,Backlog!$F$2:$F$315,"Obsolete")</f>
        <v/>
      </c>
      <c r="F61" s="12">
        <f>COUNTIFS(Backlog!$R$2:$R$315,$A61,Backlog!$S$2:$S$315,"Yes")</f>
        <v/>
      </c>
      <c r="G61" s="12" t="n"/>
      <c r="H61" s="12" t="n"/>
    </row>
    <row r="62">
      <c r="A62" s="5" t="inlineStr">
        <is>
          <t>Security &amp; access</t>
        </is>
      </c>
      <c r="B62" s="12">
        <f>COUNTIF(Backlog!$R$2:$R$315,$A62)</f>
        <v/>
      </c>
      <c r="C62" s="12">
        <f>COUNTIFS(Backlog!$R$2:$R$315,$A62,Backlog!$F$2:$F$315,"Done")</f>
        <v/>
      </c>
      <c r="D62" s="12">
        <f>COUNTIFS(Backlog!$R$2:$R$315,$A62,Backlog!$F$2:$F$315,"Later")</f>
        <v/>
      </c>
      <c r="E62" s="12">
        <f>B62-C62-D62-COUNTIFS(Backlog!$R$2:$R$315,$A62,Backlog!$F$2:$F$315,"Cancelled")-COUNTIFS(Backlog!$R$2:$R$315,$A62,Backlog!$F$2:$F$315,"Obsolete")</f>
        <v/>
      </c>
      <c r="F62" s="12">
        <f>COUNTIFS(Backlog!$R$2:$R$315,$A62,Backlog!$S$2:$S$315,"Yes")</f>
        <v/>
      </c>
      <c r="G62" s="12" t="n"/>
      <c r="H62" s="12" t="n"/>
    </row>
    <row r="63">
      <c r="A63" s="5" t="inlineStr">
        <is>
          <t>Integration &amp; API</t>
        </is>
      </c>
      <c r="B63" s="12">
        <f>COUNTIF(Backlog!$R$2:$R$315,$A63)</f>
        <v/>
      </c>
      <c r="C63" s="12">
        <f>COUNTIFS(Backlog!$R$2:$R$315,$A63,Backlog!$F$2:$F$315,"Done")</f>
        <v/>
      </c>
      <c r="D63" s="12">
        <f>COUNTIFS(Backlog!$R$2:$R$315,$A63,Backlog!$F$2:$F$315,"Later")</f>
        <v/>
      </c>
      <c r="E63" s="12">
        <f>B63-C63-D63-COUNTIFS(Backlog!$R$2:$R$315,$A63,Backlog!$F$2:$F$315,"Cancelled")-COUNTIFS(Backlog!$R$2:$R$315,$A63,Backlog!$F$2:$F$315,"Obsolete")</f>
        <v/>
      </c>
      <c r="F63" s="12">
        <f>COUNTIFS(Backlog!$R$2:$R$315,$A63,Backlog!$S$2:$S$315,"Yes")</f>
        <v/>
      </c>
      <c r="G63" s="12" t="n"/>
      <c r="H63" s="12" t="n"/>
    </row>
    <row r="64">
      <c r="A64" s="5" t="inlineStr">
        <is>
          <t>Quality &amp; performance</t>
        </is>
      </c>
      <c r="B64" s="12">
        <f>COUNTIF(Backlog!$R$2:$R$315,$A64)</f>
        <v/>
      </c>
      <c r="C64" s="12">
        <f>COUNTIFS(Backlog!$R$2:$R$315,$A64,Backlog!$F$2:$F$315,"Done")</f>
        <v/>
      </c>
      <c r="D64" s="12">
        <f>COUNTIFS(Backlog!$R$2:$R$315,$A64,Backlog!$F$2:$F$315,"Later")</f>
        <v/>
      </c>
      <c r="E64" s="12">
        <f>B64-C64-D64-COUNTIFS(Backlog!$R$2:$R$315,$A64,Backlog!$F$2:$F$315,"Cancelled")-COUNTIFS(Backlog!$R$2:$R$315,$A64,Backlog!$F$2:$F$315,"Obsolete")</f>
        <v/>
      </c>
      <c r="F64" s="12">
        <f>COUNTIFS(Backlog!$R$2:$R$315,$A64,Backlog!$S$2:$S$315,"Yes")</f>
        <v/>
      </c>
      <c r="G64" s="12" t="n"/>
      <c r="H64" s="12" t="n"/>
    </row>
    <row r="65">
      <c r="A65" s="5" t="inlineStr">
        <is>
          <t>Persian localization</t>
        </is>
      </c>
      <c r="B65" s="12">
        <f>COUNTIF(Backlog!$R$2:$R$315,$A65)</f>
        <v/>
      </c>
      <c r="C65" s="12">
        <f>COUNTIFS(Backlog!$R$2:$R$315,$A65,Backlog!$F$2:$F$315,"Done")</f>
        <v/>
      </c>
      <c r="D65" s="12">
        <f>COUNTIFS(Backlog!$R$2:$R$315,$A65,Backlog!$F$2:$F$315,"Later")</f>
        <v/>
      </c>
      <c r="E65" s="12">
        <f>B65-C65-D65-COUNTIFS(Backlog!$R$2:$R$315,$A65,Backlog!$F$2:$F$315,"Cancelled")-COUNTIFS(Backlog!$R$2:$R$315,$A65,Backlog!$F$2:$F$315,"Obsolete")</f>
        <v/>
      </c>
      <c r="F65" s="12">
        <f>COUNTIFS(Backlog!$R$2:$R$315,$A65,Backlog!$S$2:$S$315,"Yes")</f>
        <v/>
      </c>
      <c r="G65" s="12" t="n"/>
      <c r="H65" s="12" t="n"/>
    </row>
    <row r="66">
      <c r="A66" s="5" t="inlineStr">
        <is>
          <t>Reporting</t>
        </is>
      </c>
      <c r="B66" s="12">
        <f>COUNTIF(Backlog!$R$2:$R$315,$A66)</f>
        <v/>
      </c>
      <c r="C66" s="12">
        <f>COUNTIFS(Backlog!$R$2:$R$315,$A66,Backlog!$F$2:$F$315,"Done")</f>
        <v/>
      </c>
      <c r="D66" s="12">
        <f>COUNTIFS(Backlog!$R$2:$R$315,$A66,Backlog!$F$2:$F$315,"Later")</f>
        <v/>
      </c>
      <c r="E66" s="12">
        <f>B66-C66-D66-COUNTIFS(Backlog!$R$2:$R$315,$A66,Backlog!$F$2:$F$315,"Cancelled")-COUNTIFS(Backlog!$R$2:$R$315,$A66,Backlog!$F$2:$F$315,"Obsolete")</f>
        <v/>
      </c>
      <c r="F66" s="12">
        <f>COUNTIFS(Backlog!$R$2:$R$315,$A66,Backlog!$S$2:$S$315,"Yes")</f>
        <v/>
      </c>
      <c r="G66" s="12" t="n"/>
      <c r="H66" s="12" t="n"/>
    </row>
    <row r="67">
      <c r="A67" s="5" t="inlineStr">
        <is>
          <t>AI</t>
        </is>
      </c>
      <c r="B67" s="12">
        <f>COUNTIF(Backlog!$R$2:$R$315,$A67)</f>
        <v/>
      </c>
      <c r="C67" s="12">
        <f>COUNTIFS(Backlog!$R$2:$R$315,$A67,Backlog!$F$2:$F$315,"Done")</f>
        <v/>
      </c>
      <c r="D67" s="12">
        <f>COUNTIFS(Backlog!$R$2:$R$315,$A67,Backlog!$F$2:$F$315,"Later")</f>
        <v/>
      </c>
      <c r="E67" s="12">
        <f>B67-C67-D67-COUNTIFS(Backlog!$R$2:$R$315,$A67,Backlog!$F$2:$F$315,"Cancelled")-COUNTIFS(Backlog!$R$2:$R$315,$A67,Backlog!$F$2:$F$315,"Obsolete")</f>
        <v/>
      </c>
      <c r="F67" s="12">
        <f>COUNTIFS(Backlog!$R$2:$R$315,$A67,Backlog!$S$2:$S$315,"Yes")</f>
        <v/>
      </c>
      <c r="G67" s="12" t="n"/>
      <c r="H67" s="12" t="n"/>
    </row>
    <row r="68">
      <c r="A68" s="5" t="inlineStr">
        <is>
          <t>Domain modules</t>
        </is>
      </c>
      <c r="B68" s="12">
        <f>COUNTIF(Backlog!$R$2:$R$315,$A68)</f>
        <v/>
      </c>
      <c r="C68" s="12">
        <f>COUNTIFS(Backlog!$R$2:$R$315,$A68,Backlog!$F$2:$F$315,"Done")</f>
        <v/>
      </c>
      <c r="D68" s="12">
        <f>COUNTIFS(Backlog!$R$2:$R$315,$A68,Backlog!$F$2:$F$315,"Later")</f>
        <v/>
      </c>
      <c r="E68" s="12">
        <f>B68-C68-D68-COUNTIFS(Backlog!$R$2:$R$315,$A68,Backlog!$F$2:$F$315,"Cancelled")-COUNTIFS(Backlog!$R$2:$R$315,$A68,Backlog!$F$2:$F$315,"Obsolete")</f>
        <v/>
      </c>
      <c r="F68" s="12">
        <f>COUNTIFS(Backlog!$R$2:$R$315,$A68,Backlog!$S$2:$S$315,"Yes")</f>
        <v/>
      </c>
      <c r="G68" s="12" t="n"/>
      <c r="H68" s="12" t="n"/>
    </row>
    <row r="69">
      <c r="A69" s="5" t="inlineStr">
        <is>
          <t>Support &amp; documentation</t>
        </is>
      </c>
      <c r="B69" s="12">
        <f>COUNTIF(Backlog!$R$2:$R$315,$A69)</f>
        <v/>
      </c>
      <c r="C69" s="12">
        <f>COUNTIFS(Backlog!$R$2:$R$315,$A69,Backlog!$F$2:$F$315,"Done")</f>
        <v/>
      </c>
      <c r="D69" s="12">
        <f>COUNTIFS(Backlog!$R$2:$R$315,$A69,Backlog!$F$2:$F$315,"Later")</f>
        <v/>
      </c>
      <c r="E69" s="12">
        <f>B69-C69-D69-COUNTIFS(Backlog!$R$2:$R$315,$A69,Backlog!$F$2:$F$315,"Cancelled")-COUNTIFS(Backlog!$R$2:$R$315,$A69,Backlog!$F$2:$F$315,"Obsolete")</f>
        <v/>
      </c>
      <c r="F69" s="12">
        <f>COUNTIFS(Backlog!$R$2:$R$315,$A69,Backlog!$S$2:$S$315,"Yes")</f>
        <v/>
      </c>
      <c r="G69" s="12" t="n"/>
      <c r="H69" s="12" t="n"/>
    </row>
    <row r="70">
      <c r="A70" s="5" t="inlineStr">
        <is>
          <t>Existing capabilities</t>
        </is>
      </c>
      <c r="B70" s="12">
        <f>COUNTIF(Backlog!$R$2:$R$315,$A70)</f>
        <v/>
      </c>
      <c r="C70" s="12">
        <f>COUNTIFS(Backlog!$R$2:$R$315,$A70,Backlog!$F$2:$F$315,"Done")</f>
        <v/>
      </c>
      <c r="D70" s="12">
        <f>COUNTIFS(Backlog!$R$2:$R$315,$A70,Backlog!$F$2:$F$315,"Later")</f>
        <v/>
      </c>
      <c r="E70" s="12">
        <f>B70-C70-D70-COUNTIFS(Backlog!$R$2:$R$315,$A70,Backlog!$F$2:$F$315,"Cancelled")-COUNTIFS(Backlog!$R$2:$R$315,$A70,Backlog!$F$2:$F$315,"Obsolete")</f>
        <v/>
      </c>
      <c r="F70" s="12">
        <f>COUNTIFS(Backlog!$R$2:$R$315,$A70,Backlog!$S$2:$S$315,"Yes")</f>
        <v/>
      </c>
      <c r="G70" s="12" t="n"/>
      <c r="H70" s="12" t="n"/>
    </row>
    <row r="71">
      <c r="A71" s="5" t="inlineStr">
        <is>
          <t>DevOps &amp; release</t>
        </is>
      </c>
      <c r="B71" s="12">
        <f>COUNTIF(Backlog!$R$2:$R$315,$A71)</f>
        <v/>
      </c>
      <c r="C71" s="12">
        <f>COUNTIFS(Backlog!$R$2:$R$315,$A71,Backlog!$F$2:$F$315,"Done")</f>
        <v/>
      </c>
      <c r="D71" s="12">
        <f>COUNTIFS(Backlog!$R$2:$R$315,$A71,Backlog!$F$2:$F$315,"Later")</f>
        <v/>
      </c>
      <c r="E71" s="12">
        <f>B71-C71-D71-COUNTIFS(Backlog!$R$2:$R$315,$A71,Backlog!$F$2:$F$315,"Cancelled")-COUNTIFS(Backlog!$R$2:$R$315,$A71,Backlog!$F$2:$F$315,"Obsolete")</f>
        <v/>
      </c>
      <c r="F71" s="12">
        <f>COUNTIFS(Backlog!$R$2:$R$315,$A71,Backlog!$S$2:$S$315,"Yes")</f>
        <v/>
      </c>
      <c r="G71" s="12" t="n"/>
      <c r="H71" s="12" t="n"/>
    </row>
    <row r="72">
      <c r="A72" s="5" t="inlineStr">
        <is>
          <t>Customer &amp; module versions</t>
        </is>
      </c>
      <c r="B72" s="12">
        <f>COUNTIF(Backlog!$R$2:$R$315,$A72)</f>
        <v/>
      </c>
      <c r="C72" s="12">
        <f>COUNTIFS(Backlog!$R$2:$R$315,$A72,Backlog!$F$2:$F$315,"Done")</f>
        <v/>
      </c>
      <c r="D72" s="12">
        <f>COUNTIFS(Backlog!$R$2:$R$315,$A72,Backlog!$F$2:$F$315,"Later")</f>
        <v/>
      </c>
      <c r="E72" s="12">
        <f>B72-C72-D72-COUNTIFS(Backlog!$R$2:$R$315,$A72,Backlog!$F$2:$F$315,"Cancelled")-COUNTIFS(Backlog!$R$2:$R$315,$A72,Backlog!$F$2:$F$315,"Obsolete")</f>
        <v/>
      </c>
      <c r="F72" s="12">
        <f>COUNTIFS(Backlog!$R$2:$R$315,$A72,Backlog!$S$2:$S$315,"Yes")</f>
        <v/>
      </c>
      <c r="G72" s="12" t="n"/>
      <c r="H72" s="12" t="n"/>
    </row>
    <row r="73">
      <c r="A73" s="5" t="inlineStr">
        <is>
          <t>Main host: landing &amp; demo deployment</t>
        </is>
      </c>
      <c r="B73" s="12">
        <f>COUNTIF(Backlog!$R$2:$R$315,$A73)</f>
        <v/>
      </c>
      <c r="C73" s="12">
        <f>COUNTIFS(Backlog!$R$2:$R$315,$A73,Backlog!$F$2:$F$315,"Done")</f>
        <v/>
      </c>
      <c r="D73" s="12">
        <f>COUNTIFS(Backlog!$R$2:$R$315,$A73,Backlog!$F$2:$F$315,"Later")</f>
        <v/>
      </c>
      <c r="E73" s="12">
        <f>B73-C73-D73-COUNTIFS(Backlog!$R$2:$R$315,$A73,Backlog!$F$2:$F$315,"Cancelled")-COUNTIFS(Backlog!$R$2:$R$315,$A73,Backlog!$F$2:$F$315,"Obsolete")</f>
        <v/>
      </c>
      <c r="F73" s="12">
        <f>COUNTIFS(Backlog!$R$2:$R$315,$A73,Backlog!$S$2:$S$315,"Yes")</f>
        <v/>
      </c>
      <c r="G73" s="12" t="n"/>
      <c r="H73" s="12" t="n"/>
    </row>
    <row r="74">
      <c r="B74" s="12" t="n"/>
      <c r="C74" s="12" t="n"/>
      <c r="D74" s="12" t="n"/>
      <c r="E74" s="12" t="n"/>
      <c r="F74" s="12" t="n"/>
      <c r="G74" s="12" t="n"/>
      <c r="H74" s="12" t="n"/>
    </row>
    <row r="75">
      <c r="A75" s="13" t="inlineStr">
        <is>
          <t>Confirmed by PM (all rows)</t>
        </is>
      </c>
      <c r="B75" s="12">
        <f>COUNTIF(Backlog!$S$2:$S$315,"Yes")</f>
        <v/>
      </c>
      <c r="C75" s="12" t="n"/>
      <c r="D75" s="12" t="n"/>
      <c r="E75" s="12" t="n"/>
      <c r="F75" s="12" t="n"/>
      <c r="G75" s="12" t="n"/>
      <c r="H75" s="12" t="n"/>
    </row>
    <row r="76">
      <c r="A76" s="13" t="inlineStr">
        <is>
          <t>P0 rows confirmed by PM</t>
        </is>
      </c>
      <c r="B76" s="12">
        <f>COUNTIFS(Backlog!$S$2:$S$315,"Yes",Backlog!$G$2:$G$315,"P0")</f>
        <v/>
      </c>
      <c r="C76" s="12" t="n"/>
      <c r="D76" s="12" t="n"/>
      <c r="E76" s="12" t="n"/>
      <c r="F76" s="12" t="n"/>
      <c r="G76" s="12" t="n"/>
      <c r="H76" s="12" t="n"/>
    </row>
    <row r="77">
      <c r="A77" s="13" t="inlineStr">
        <is>
          <t>Open P0 rows not yet confirmed by PM</t>
        </is>
      </c>
      <c r="B77" s="12">
        <f>COUNTIFS(Backlog!$S$2:$S$315,"No",Backlog!$G$2:$G$315,"P0",Backlog!$F$2:$F$315,"&lt;&gt;Done",Backlog!$F$2:$F$315,"&lt;&gt;Later",Backlog!$F$2:$F$315,"&lt;&gt;Cancelled",Backlog!$F$2:$F$315,"&lt;&gt;Obsolete")</f>
        <v/>
      </c>
      <c r="C77" s="12" t="n"/>
      <c r="D77" s="12" t="n"/>
      <c r="E77" s="12" t="n"/>
      <c r="F77" s="12" t="n"/>
      <c r="G77" s="12" t="n"/>
      <c r="H77" s="12" t="n"/>
    </row>
    <row r="78">
      <c r="A78" s="13" t="inlineStr">
        <is>
          <t>Rows on Hold</t>
        </is>
      </c>
      <c r="B78" s="12">
        <f>COUNTIF(Backlog!$F$2:$F$315,"Hold")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COUNTIFS(Backlog!$G$2:$G$315,"P0",Backlog!$F$2:$F$315,"&lt;&gt;Done",Backlog!$F$2:$F$315,"&lt;&gt;Cancelled",Backlog!$F$2:$F$315,"&lt;&gt;Obsolete",Backlog!$F$2:$F$315,"&lt;&gt;Later")</f>
        <v/>
      </c>
      <c r="C80" s="12" t="n"/>
      <c r="D80" s="12" t="n"/>
      <c r="E80" s="12" t="n"/>
      <c r="F80" s="12" t="n"/>
      <c r="G80" s="12" t="n"/>
      <c r="H80" s="12" t="n"/>
    </row>
    <row r="81">
      <c r="A81" s="13" t="inlineStr">
        <is>
          <t>Remaining 'Sales blocker' tasks</t>
        </is>
      </c>
      <c r="B81" s="12">
        <f>COUNTIFS(Backlog!$N$2:$N$315,"Sales blocker",Backlog!$F$2:$F$315,"&lt;&gt;Done")</f>
        <v/>
      </c>
      <c r="C81" s="12" t="n"/>
      <c r="D81" s="12" t="n"/>
      <c r="E81" s="12" t="n"/>
      <c r="F81" s="12" t="n"/>
      <c r="G81" s="12" t="n"/>
      <c r="H81" s="12" t="n"/>
    </row>
    <row r="82">
      <c r="A82" s="13" t="inlineStr">
        <is>
          <t>Open decisions (Decision Needed)</t>
        </is>
      </c>
      <c r="B82" s="12">
        <f>COUNTIFS(Backlog!$E$2:$E$315,"Decision Needed",Backlog!$F$2:$F$315,"&lt;&gt;Done")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2026-10-23T13:05:01Z</dcterms:modified>
</cp:coreProperties>
</file>