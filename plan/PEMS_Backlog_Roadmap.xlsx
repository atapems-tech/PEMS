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'Backlog'!$A$1:$U$341</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is never on a development machine or in the repo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41"/>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n"/>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(offline machine or hardware token, never a development machine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not on any development machine.</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n"/>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sheetData>
  <autoFilter ref="A1:U341"/>
  <conditionalFormatting sqref="F2:F341">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41">
    <cfRule type="cellIs" priority="8" operator="equal" dxfId="6">
      <formula>"P0"</formula>
    </cfRule>
    <cfRule type="cellIs" priority="9" operator="equal" dxfId="7">
      <formula>"P1"</formula>
    </cfRule>
  </conditionalFormatting>
  <conditionalFormatting sqref="S2:S341">
    <cfRule type="cellIs" priority="10" operator="equal" dxfId="8">
      <formula>"Yes"</formula>
    </cfRule>
  </conditionalFormatting>
  <conditionalFormatting sqref="N2:N341">
    <cfRule type="cellIs" priority="11" operator="equal" dxfId="6">
      <formula>"Sales blocker"</formula>
    </cfRule>
  </conditionalFormatting>
  <dataValidations count="4">
    <dataValidation sqref="F2:F341" showDropDown="0" showInputMessage="0" showErrorMessage="0" allowBlank="0" type="list">
      <formula1>"Not Started,In Progress,Partial,Done,Hold,Later,Cancelled,Obsolete"</formula1>
    </dataValidation>
    <dataValidation sqref="G2:G341" showDropDown="0" showInputMessage="0" showErrorMessage="0" allowBlank="0" type="list">
      <formula1>"P0,P1,P2,P3"</formula1>
    </dataValidation>
    <dataValidation sqref="B2:B341" showDropDown="0" showInputMessage="0" showErrorMessage="0" allowBlank="0" type="list">
      <formula1>"Claude,User,N/A"</formula1>
    </dataValidation>
    <dataValidation sqref="S2:S341"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COUNTIF(Backlog!$L$2:$L$341,"M0")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COUNTIF(Backlog!$L$2:$L$341,"M1")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COUNTIF(Backlog!$L$2:$L$341,"M2")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COUNTIF(Backlog!$L$2:$L$341,"M3")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COUNTIF(Backlog!$L$2:$L$341,"M4")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COUNTIF(Backlog!$L$2:$L$341,"M5")</f>
        <v/>
      </c>
    </row>
    <row r="8">
      <c r="A8" s="8" t="inlineStr">
        <is>
          <t>M6 - Later (P3)</t>
        </is>
      </c>
      <c r="B8" s="10" t="inlineStr">
        <is>
          <t>Later</t>
        </is>
      </c>
      <c r="C8" s="10" t="inlineStr">
        <is>
          <t>P3</t>
        </is>
      </c>
      <c r="D8" s="8" t="inlineStr">
        <is>
          <t>All</t>
        </is>
      </c>
      <c r="E8" s="8" t="inlineStr">
        <is>
          <t>Highest uncertainty and lowest sales impact.</t>
        </is>
      </c>
      <c r="F8" s="10">
        <f>COUNTIF(Backlog!$L$2:$L$341,"M6")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COUNTA(Backlog!$D$2:$D$341)</f>
        <v/>
      </c>
      <c r="C3" s="12" t="n"/>
      <c r="D3" s="12" t="n"/>
      <c r="E3" s="12" t="n"/>
      <c r="F3" s="12" t="n"/>
      <c r="G3" s="12" t="n"/>
      <c r="H3" s="12" t="n"/>
    </row>
    <row r="4">
      <c r="A4" s="13" t="inlineStr">
        <is>
          <t>Owner tasks (Doer = User)</t>
        </is>
      </c>
      <c r="B4" s="12">
        <f>COUNTIF(Backlog!$B$2:$B$341,"User")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COUNTIFS(Backlog!$F$2:$F$341,$A8,Backlog!$G$2:$G$341,"P0")</f>
        <v/>
      </c>
      <c r="C8" s="12">
        <f>COUNTIFS(Backlog!$F$2:$F$341,$A8,Backlog!$G$2:$G$341,"P1")</f>
        <v/>
      </c>
      <c r="D8" s="12">
        <f>COUNTIFS(Backlog!$F$2:$F$341,$A8,Backlog!$G$2:$G$341,"P2")</f>
        <v/>
      </c>
      <c r="E8" s="12">
        <f>COUNTIFS(Backlog!$F$2:$F$341,$A8,Backlog!$G$2:$G$341,"P3")</f>
        <v/>
      </c>
      <c r="F8" s="12">
        <f>SUM(B8:E8)</f>
        <v/>
      </c>
      <c r="G8" s="12" t="n"/>
      <c r="H8" s="12" t="n"/>
    </row>
    <row r="9">
      <c r="A9" s="5" t="inlineStr">
        <is>
          <t>In Progress</t>
        </is>
      </c>
      <c r="B9" s="12">
        <f>COUNTIFS(Backlog!$F$2:$F$341,$A9,Backlog!$G$2:$G$341,"P0")</f>
        <v/>
      </c>
      <c r="C9" s="12">
        <f>COUNTIFS(Backlog!$F$2:$F$341,$A9,Backlog!$G$2:$G$341,"P1")</f>
        <v/>
      </c>
      <c r="D9" s="12">
        <f>COUNTIFS(Backlog!$F$2:$F$341,$A9,Backlog!$G$2:$G$341,"P2")</f>
        <v/>
      </c>
      <c r="E9" s="12">
        <f>COUNTIFS(Backlog!$F$2:$F$341,$A9,Backlog!$G$2:$G$341,"P3")</f>
        <v/>
      </c>
      <c r="F9" s="12">
        <f>SUM(B9:E9)</f>
        <v/>
      </c>
      <c r="G9" s="12" t="n"/>
      <c r="H9" s="12" t="n"/>
    </row>
    <row r="10">
      <c r="A10" s="5" t="inlineStr">
        <is>
          <t>Partial</t>
        </is>
      </c>
      <c r="B10" s="12">
        <f>COUNTIFS(Backlog!$F$2:$F$341,$A10,Backlog!$G$2:$G$341,"P0")</f>
        <v/>
      </c>
      <c r="C10" s="12">
        <f>COUNTIFS(Backlog!$F$2:$F$341,$A10,Backlog!$G$2:$G$341,"P1")</f>
        <v/>
      </c>
      <c r="D10" s="12">
        <f>COUNTIFS(Backlog!$F$2:$F$341,$A10,Backlog!$G$2:$G$341,"P2")</f>
        <v/>
      </c>
      <c r="E10" s="12">
        <f>COUNTIFS(Backlog!$F$2:$F$341,$A10,Backlog!$G$2:$G$341,"P3")</f>
        <v/>
      </c>
      <c r="F10" s="12">
        <f>SUM(B10:E10)</f>
        <v/>
      </c>
      <c r="G10" s="12" t="n"/>
      <c r="H10" s="12" t="n"/>
    </row>
    <row r="11">
      <c r="A11" s="5" t="inlineStr">
        <is>
          <t>Done</t>
        </is>
      </c>
      <c r="B11" s="12">
        <f>COUNTIFS(Backlog!$F$2:$F$341,$A11,Backlog!$G$2:$G$341,"P0")</f>
        <v/>
      </c>
      <c r="C11" s="12">
        <f>COUNTIFS(Backlog!$F$2:$F$341,$A11,Backlog!$G$2:$G$341,"P1")</f>
        <v/>
      </c>
      <c r="D11" s="12">
        <f>COUNTIFS(Backlog!$F$2:$F$341,$A11,Backlog!$G$2:$G$341,"P2")</f>
        <v/>
      </c>
      <c r="E11" s="12">
        <f>COUNTIFS(Backlog!$F$2:$F$341,$A11,Backlog!$G$2:$G$341,"P3")</f>
        <v/>
      </c>
      <c r="F11" s="12">
        <f>SUM(B11:E11)</f>
        <v/>
      </c>
      <c r="G11" s="12" t="n"/>
      <c r="H11" s="12" t="n"/>
    </row>
    <row r="12">
      <c r="A12" s="5" t="inlineStr">
        <is>
          <t>Hold</t>
        </is>
      </c>
      <c r="B12" s="12">
        <f>COUNTIFS(Backlog!$F$2:$F$341,$A12,Backlog!$G$2:$G$341,"P0")</f>
        <v/>
      </c>
      <c r="C12" s="12">
        <f>COUNTIFS(Backlog!$F$2:$F$341,$A12,Backlog!$G$2:$G$341,"P1")</f>
        <v/>
      </c>
      <c r="D12" s="12">
        <f>COUNTIFS(Backlog!$F$2:$F$341,$A12,Backlog!$G$2:$G$341,"P2")</f>
        <v/>
      </c>
      <c r="E12" s="12">
        <f>COUNTIFS(Backlog!$F$2:$F$341,$A12,Backlog!$G$2:$G$341,"P3")</f>
        <v/>
      </c>
      <c r="F12" s="12">
        <f>SUM(B12:E12)</f>
        <v/>
      </c>
      <c r="G12" s="12" t="n"/>
      <c r="H12" s="12" t="n"/>
    </row>
    <row r="13">
      <c r="A13" s="5" t="inlineStr">
        <is>
          <t>Later</t>
        </is>
      </c>
      <c r="B13" s="12">
        <f>COUNTIFS(Backlog!$F$2:$F$341,$A13,Backlog!$G$2:$G$341,"P0")</f>
        <v/>
      </c>
      <c r="C13" s="12">
        <f>COUNTIFS(Backlog!$F$2:$F$341,$A13,Backlog!$G$2:$G$341,"P1")</f>
        <v/>
      </c>
      <c r="D13" s="12">
        <f>COUNTIFS(Backlog!$F$2:$F$341,$A13,Backlog!$G$2:$G$341,"P2")</f>
        <v/>
      </c>
      <c r="E13" s="12">
        <f>COUNTIFS(Backlog!$F$2:$F$341,$A13,Backlog!$G$2:$G$341,"P3")</f>
        <v/>
      </c>
      <c r="F13" s="12">
        <f>SUM(B13:E13)</f>
        <v/>
      </c>
      <c r="G13" s="12" t="n"/>
      <c r="H13" s="12" t="n"/>
    </row>
    <row r="14">
      <c r="A14" s="5" t="inlineStr">
        <is>
          <t>Cancelled</t>
        </is>
      </c>
      <c r="B14" s="12">
        <f>COUNTIFS(Backlog!$F$2:$F$341,$A14,Backlog!$G$2:$G$341,"P0")</f>
        <v/>
      </c>
      <c r="C14" s="12">
        <f>COUNTIFS(Backlog!$F$2:$F$341,$A14,Backlog!$G$2:$G$341,"P1")</f>
        <v/>
      </c>
      <c r="D14" s="12">
        <f>COUNTIFS(Backlog!$F$2:$F$341,$A14,Backlog!$G$2:$G$341,"P2")</f>
        <v/>
      </c>
      <c r="E14" s="12">
        <f>COUNTIFS(Backlog!$F$2:$F$341,$A14,Backlog!$G$2:$G$341,"P3")</f>
        <v/>
      </c>
      <c r="F14" s="12">
        <f>SUM(B14:E14)</f>
        <v/>
      </c>
      <c r="G14" s="12" t="n"/>
      <c r="H14" s="12" t="n"/>
    </row>
    <row r="15">
      <c r="A15" s="5" t="inlineStr">
        <is>
          <t>Obsolete</t>
        </is>
      </c>
      <c r="B15" s="12">
        <f>COUNTIFS(Backlog!$F$2:$F$341,$A15,Backlog!$G$2:$G$341,"P0")</f>
        <v/>
      </c>
      <c r="C15" s="12">
        <f>COUNTIFS(Backlog!$F$2:$F$341,$A15,Backlog!$G$2:$G$341,"P1")</f>
        <v/>
      </c>
      <c r="D15" s="12">
        <f>COUNTIFS(Backlog!$F$2:$F$341,$A15,Backlog!$G$2:$G$341,"P2")</f>
        <v/>
      </c>
      <c r="E15" s="12">
        <f>COUNTIFS(Backlog!$F$2:$F$341,$A15,Backlog!$G$2:$G$341,"P3")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COUNTIF(Backlog!$C$2:$C$341,$A20)</f>
        <v/>
      </c>
      <c r="C20" s="12">
        <f>COUNTIFS(Backlog!$C$2:$C$341,$A20,Backlog!$G$2:$G$341,"P0")</f>
        <v/>
      </c>
      <c r="D20" s="12">
        <f>COUNTIFS(Backlog!$C$2:$C$341,$A20,Backlog!$G$2:$G$341,"P1")</f>
        <v/>
      </c>
      <c r="E20" s="12">
        <f>COUNTIFS(Backlog!$C$2:$C$341,$A20,Backlog!$G$2:$G$341,"P2")</f>
        <v/>
      </c>
      <c r="F20" s="12">
        <f>COUNTIFS(Backlog!$C$2:$C$341,$A20,Backlog!$G$2:$G$341,"P3")</f>
        <v/>
      </c>
      <c r="G20" s="12">
        <f>B20-H20-COUNTIFS(Backlog!$C$2:$C$341,$A20,Backlog!$F$2:$F$341,"Cancelled")-COUNTIFS(Backlog!$C$2:$C$341,$A20,Backlog!$F$2:$F$341,"Obsolete")-COUNTIFS(Backlog!$C$2:$C$341,$A20,Backlog!$F$2:$F$341,"Later")</f>
        <v/>
      </c>
      <c r="H20" s="12">
        <f>COUNTIFS(Backlog!$C$2:$C$341,$A20,Backlog!$F$2:$F$341,"Done")</f>
        <v/>
      </c>
    </row>
    <row r="21">
      <c r="A21" s="5" t="inlineStr">
        <is>
          <t>Metadata Core &amp; Dynamic Platform</t>
        </is>
      </c>
      <c r="B21" s="12">
        <f>COUNTIF(Backlog!$C$2:$C$341,$A21)</f>
        <v/>
      </c>
      <c r="C21" s="12">
        <f>COUNTIFS(Backlog!$C$2:$C$341,$A21,Backlog!$G$2:$G$341,"P0")</f>
        <v/>
      </c>
      <c r="D21" s="12">
        <f>COUNTIFS(Backlog!$C$2:$C$341,$A21,Backlog!$G$2:$G$341,"P1")</f>
        <v/>
      </c>
      <c r="E21" s="12">
        <f>COUNTIFS(Backlog!$C$2:$C$341,$A21,Backlog!$G$2:$G$341,"P2")</f>
        <v/>
      </c>
      <c r="F21" s="12">
        <f>COUNTIFS(Backlog!$C$2:$C$341,$A21,Backlog!$G$2:$G$341,"P3")</f>
        <v/>
      </c>
      <c r="G21" s="12">
        <f>B21-H21-COUNTIFS(Backlog!$C$2:$C$341,$A21,Backlog!$F$2:$F$341,"Cancelled")-COUNTIFS(Backlog!$C$2:$C$341,$A21,Backlog!$F$2:$F$341,"Obsolete")-COUNTIFS(Backlog!$C$2:$C$341,$A21,Backlog!$F$2:$F$341,"Later")</f>
        <v/>
      </c>
      <c r="H21" s="12">
        <f>COUNTIFS(Backlog!$C$2:$C$341,$A21,Backlog!$F$2:$F$341,"Done")</f>
        <v/>
      </c>
    </row>
    <row r="22">
      <c r="A22" s="5" t="inlineStr">
        <is>
          <t>Component Library &amp; Design System</t>
        </is>
      </c>
      <c r="B22" s="12">
        <f>COUNTIF(Backlog!$C$2:$C$341,$A22)</f>
        <v/>
      </c>
      <c r="C22" s="12">
        <f>COUNTIFS(Backlog!$C$2:$C$341,$A22,Backlog!$G$2:$G$341,"P0")</f>
        <v/>
      </c>
      <c r="D22" s="12">
        <f>COUNTIFS(Backlog!$C$2:$C$341,$A22,Backlog!$G$2:$G$341,"P1")</f>
        <v/>
      </c>
      <c r="E22" s="12">
        <f>COUNTIFS(Backlog!$C$2:$C$341,$A22,Backlog!$G$2:$G$341,"P2")</f>
        <v/>
      </c>
      <c r="F22" s="12">
        <f>COUNTIFS(Backlog!$C$2:$C$341,$A22,Backlog!$G$2:$G$341,"P3")</f>
        <v/>
      </c>
      <c r="G22" s="12">
        <f>B22-H22-COUNTIFS(Backlog!$C$2:$C$341,$A22,Backlog!$F$2:$F$341,"Cancelled")-COUNTIFS(Backlog!$C$2:$C$341,$A22,Backlog!$F$2:$F$341,"Obsolete")-COUNTIFS(Backlog!$C$2:$C$341,$A22,Backlog!$F$2:$F$341,"Later")</f>
        <v/>
      </c>
      <c r="H22" s="12">
        <f>COUNTIFS(Backlog!$C$2:$C$341,$A22,Backlog!$F$2:$F$341,"Done")</f>
        <v/>
      </c>
    </row>
    <row r="23">
      <c r="A23" s="5" t="inlineStr">
        <is>
          <t>Dynamic Form Builder</t>
        </is>
      </c>
      <c r="B23" s="12">
        <f>COUNTIF(Backlog!$C$2:$C$341,$A23)</f>
        <v/>
      </c>
      <c r="C23" s="12">
        <f>COUNTIFS(Backlog!$C$2:$C$341,$A23,Backlog!$G$2:$G$341,"P0")</f>
        <v/>
      </c>
      <c r="D23" s="12">
        <f>COUNTIFS(Backlog!$C$2:$C$341,$A23,Backlog!$G$2:$G$341,"P1")</f>
        <v/>
      </c>
      <c r="E23" s="12">
        <f>COUNTIFS(Backlog!$C$2:$C$341,$A23,Backlog!$G$2:$G$341,"P2")</f>
        <v/>
      </c>
      <c r="F23" s="12">
        <f>COUNTIFS(Backlog!$C$2:$C$341,$A23,Backlog!$G$2:$G$341,"P3")</f>
        <v/>
      </c>
      <c r="G23" s="12">
        <f>B23-H23-COUNTIFS(Backlog!$C$2:$C$341,$A23,Backlog!$F$2:$F$341,"Cancelled")-COUNTIFS(Backlog!$C$2:$C$341,$A23,Backlog!$F$2:$F$341,"Obsolete")-COUNTIFS(Backlog!$C$2:$C$341,$A23,Backlog!$F$2:$F$341,"Later")</f>
        <v/>
      </c>
      <c r="H23" s="12">
        <f>COUNTIFS(Backlog!$C$2:$C$341,$A23,Backlog!$F$2:$F$341,"Done")</f>
        <v/>
      </c>
    </row>
    <row r="24">
      <c r="A24" s="5" t="inlineStr">
        <is>
          <t>Dynamic Module Builder</t>
        </is>
      </c>
      <c r="B24" s="12">
        <f>COUNTIF(Backlog!$C$2:$C$341,$A24)</f>
        <v/>
      </c>
      <c r="C24" s="12">
        <f>COUNTIFS(Backlog!$C$2:$C$341,$A24,Backlog!$G$2:$G$341,"P0")</f>
        <v/>
      </c>
      <c r="D24" s="12">
        <f>COUNTIFS(Backlog!$C$2:$C$341,$A24,Backlog!$G$2:$G$341,"P1")</f>
        <v/>
      </c>
      <c r="E24" s="12">
        <f>COUNTIFS(Backlog!$C$2:$C$341,$A24,Backlog!$G$2:$G$341,"P2")</f>
        <v/>
      </c>
      <c r="F24" s="12">
        <f>COUNTIFS(Backlog!$C$2:$C$341,$A24,Backlog!$G$2:$G$341,"P3")</f>
        <v/>
      </c>
      <c r="G24" s="12">
        <f>B24-H24-COUNTIFS(Backlog!$C$2:$C$341,$A24,Backlog!$F$2:$F$341,"Cancelled")-COUNTIFS(Backlog!$C$2:$C$341,$A24,Backlog!$F$2:$F$341,"Obsolete")-COUNTIFS(Backlog!$C$2:$C$341,$A24,Backlog!$F$2:$F$341,"Later")</f>
        <v/>
      </c>
      <c r="H24" s="12">
        <f>COUNTIFS(Backlog!$C$2:$C$341,$A24,Backlog!$F$2:$F$341,"Done")</f>
        <v/>
      </c>
    </row>
    <row r="25">
      <c r="A25" s="5" t="inlineStr">
        <is>
          <t>Workflow Studio &amp; BPMS</t>
        </is>
      </c>
      <c r="B25" s="12">
        <f>COUNTIF(Backlog!$C$2:$C$341,$A25)</f>
        <v/>
      </c>
      <c r="C25" s="12">
        <f>COUNTIFS(Backlog!$C$2:$C$341,$A25,Backlog!$G$2:$G$341,"P0")</f>
        <v/>
      </c>
      <c r="D25" s="12">
        <f>COUNTIFS(Backlog!$C$2:$C$341,$A25,Backlog!$G$2:$G$341,"P1")</f>
        <v/>
      </c>
      <c r="E25" s="12">
        <f>COUNTIFS(Backlog!$C$2:$C$341,$A25,Backlog!$G$2:$G$341,"P2")</f>
        <v/>
      </c>
      <c r="F25" s="12">
        <f>COUNTIFS(Backlog!$C$2:$C$341,$A25,Backlog!$G$2:$G$341,"P3")</f>
        <v/>
      </c>
      <c r="G25" s="12">
        <f>B25-H25-COUNTIFS(Backlog!$C$2:$C$341,$A25,Backlog!$F$2:$F$341,"Cancelled")-COUNTIFS(Backlog!$C$2:$C$341,$A25,Backlog!$F$2:$F$341,"Obsolete")-COUNTIFS(Backlog!$C$2:$C$341,$A25,Backlog!$F$2:$F$341,"Later")</f>
        <v/>
      </c>
      <c r="H25" s="12">
        <f>COUNTIFS(Backlog!$C$2:$C$341,$A25,Backlog!$F$2:$F$341,"Done")</f>
        <v/>
      </c>
    </row>
    <row r="26">
      <c r="A26" s="5" t="inlineStr">
        <is>
          <t>Static-to-Dynamic Module Migration</t>
        </is>
      </c>
      <c r="B26" s="12">
        <f>COUNTIF(Backlog!$C$2:$C$341,$A26)</f>
        <v/>
      </c>
      <c r="C26" s="12">
        <f>COUNTIFS(Backlog!$C$2:$C$341,$A26,Backlog!$G$2:$G$341,"P0")</f>
        <v/>
      </c>
      <c r="D26" s="12">
        <f>COUNTIFS(Backlog!$C$2:$C$341,$A26,Backlog!$G$2:$G$341,"P1")</f>
        <v/>
      </c>
      <c r="E26" s="12">
        <f>COUNTIFS(Backlog!$C$2:$C$341,$A26,Backlog!$G$2:$G$341,"P2")</f>
        <v/>
      </c>
      <c r="F26" s="12">
        <f>COUNTIFS(Backlog!$C$2:$C$341,$A26,Backlog!$G$2:$G$341,"P3")</f>
        <v/>
      </c>
      <c r="G26" s="12">
        <f>B26-H26-COUNTIFS(Backlog!$C$2:$C$341,$A26,Backlog!$F$2:$F$341,"Cancelled")-COUNTIFS(Backlog!$C$2:$C$341,$A26,Backlog!$F$2:$F$341,"Obsolete")-COUNTIFS(Backlog!$C$2:$C$341,$A26,Backlog!$F$2:$F$341,"Later")</f>
        <v/>
      </c>
      <c r="H26" s="12">
        <f>COUNTIFS(Backlog!$C$2:$C$341,$A26,Backlog!$F$2:$F$341,"Done")</f>
        <v/>
      </c>
    </row>
    <row r="27">
      <c r="A27" s="5" t="inlineStr">
        <is>
          <t>Licensing &amp; Protection</t>
        </is>
      </c>
      <c r="B27" s="12">
        <f>COUNTIF(Backlog!$C$2:$C$341,$A27)</f>
        <v/>
      </c>
      <c r="C27" s="12">
        <f>COUNTIFS(Backlog!$C$2:$C$341,$A27,Backlog!$G$2:$G$341,"P0")</f>
        <v/>
      </c>
      <c r="D27" s="12">
        <f>COUNTIFS(Backlog!$C$2:$C$341,$A27,Backlog!$G$2:$G$341,"P1")</f>
        <v/>
      </c>
      <c r="E27" s="12">
        <f>COUNTIFS(Backlog!$C$2:$C$341,$A27,Backlog!$G$2:$G$341,"P2")</f>
        <v/>
      </c>
      <c r="F27" s="12">
        <f>COUNTIFS(Backlog!$C$2:$C$341,$A27,Backlog!$G$2:$G$341,"P3")</f>
        <v/>
      </c>
      <c r="G27" s="12">
        <f>B27-H27-COUNTIFS(Backlog!$C$2:$C$341,$A27,Backlog!$F$2:$F$341,"Cancelled")-COUNTIFS(Backlog!$C$2:$C$341,$A27,Backlog!$F$2:$F$341,"Obsolete")-COUNTIFS(Backlog!$C$2:$C$341,$A27,Backlog!$F$2:$F$341,"Later")</f>
        <v/>
      </c>
      <c r="H27" s="12">
        <f>COUNTIFS(Backlog!$C$2:$C$341,$A27,Backlog!$F$2:$F$341,"Done")</f>
        <v/>
      </c>
    </row>
    <row r="28">
      <c r="A28" s="5" t="inlineStr">
        <is>
          <t>Company, Brand &amp; Commercial Packaging</t>
        </is>
      </c>
      <c r="B28" s="12">
        <f>COUNTIF(Backlog!$C$2:$C$341,$A28)</f>
        <v/>
      </c>
      <c r="C28" s="12">
        <f>COUNTIFS(Backlog!$C$2:$C$341,$A28,Backlog!$G$2:$G$341,"P0")</f>
        <v/>
      </c>
      <c r="D28" s="12">
        <f>COUNTIFS(Backlog!$C$2:$C$341,$A28,Backlog!$G$2:$G$341,"P1")</f>
        <v/>
      </c>
      <c r="E28" s="12">
        <f>COUNTIFS(Backlog!$C$2:$C$341,$A28,Backlog!$G$2:$G$341,"P2")</f>
        <v/>
      </c>
      <c r="F28" s="12">
        <f>COUNTIFS(Backlog!$C$2:$C$341,$A28,Backlog!$G$2:$G$341,"P3")</f>
        <v/>
      </c>
      <c r="G28" s="12">
        <f>B28-H28-COUNTIFS(Backlog!$C$2:$C$341,$A28,Backlog!$F$2:$F$341,"Cancelled")-COUNTIFS(Backlog!$C$2:$C$341,$A28,Backlog!$F$2:$F$341,"Obsolete")-COUNTIFS(Backlog!$C$2:$C$341,$A28,Backlog!$F$2:$F$341,"Later")</f>
        <v/>
      </c>
      <c r="H28" s="12">
        <f>COUNTIFS(Backlog!$C$2:$C$341,$A28,Backlog!$F$2:$F$341,"Done")</f>
        <v/>
      </c>
    </row>
    <row r="29">
      <c r="A29" s="5" t="inlineStr">
        <is>
          <t>Online Demo</t>
        </is>
      </c>
      <c r="B29" s="12">
        <f>COUNTIF(Backlog!$C$2:$C$341,$A29)</f>
        <v/>
      </c>
      <c r="C29" s="12">
        <f>COUNTIFS(Backlog!$C$2:$C$341,$A29,Backlog!$G$2:$G$341,"P0")</f>
        <v/>
      </c>
      <c r="D29" s="12">
        <f>COUNTIFS(Backlog!$C$2:$C$341,$A29,Backlog!$G$2:$G$341,"P1")</f>
        <v/>
      </c>
      <c r="E29" s="12">
        <f>COUNTIFS(Backlog!$C$2:$C$341,$A29,Backlog!$G$2:$G$341,"P2")</f>
        <v/>
      </c>
      <c r="F29" s="12">
        <f>COUNTIFS(Backlog!$C$2:$C$341,$A29,Backlog!$G$2:$G$341,"P3")</f>
        <v/>
      </c>
      <c r="G29" s="12">
        <f>B29-H29-COUNTIFS(Backlog!$C$2:$C$341,$A29,Backlog!$F$2:$F$341,"Cancelled")-COUNTIFS(Backlog!$C$2:$C$341,$A29,Backlog!$F$2:$F$341,"Obsolete")-COUNTIFS(Backlog!$C$2:$C$341,$A29,Backlog!$F$2:$F$341,"Later")</f>
        <v/>
      </c>
      <c r="H29" s="12">
        <f>COUNTIFS(Backlog!$C$2:$C$341,$A29,Backlog!$F$2:$F$341,"Done")</f>
        <v/>
      </c>
    </row>
    <row r="30">
      <c r="A30" s="5" t="inlineStr">
        <is>
          <t>Commercial Website</t>
        </is>
      </c>
      <c r="B30" s="12">
        <f>COUNTIF(Backlog!$C$2:$C$341,$A30)</f>
        <v/>
      </c>
      <c r="C30" s="12">
        <f>COUNTIFS(Backlog!$C$2:$C$341,$A30,Backlog!$G$2:$G$341,"P0")</f>
        <v/>
      </c>
      <c r="D30" s="12">
        <f>COUNTIFS(Backlog!$C$2:$C$341,$A30,Backlog!$G$2:$G$341,"P1")</f>
        <v/>
      </c>
      <c r="E30" s="12">
        <f>COUNTIFS(Backlog!$C$2:$C$341,$A30,Backlog!$G$2:$G$341,"P2")</f>
        <v/>
      </c>
      <c r="F30" s="12">
        <f>COUNTIFS(Backlog!$C$2:$C$341,$A30,Backlog!$G$2:$G$341,"P3")</f>
        <v/>
      </c>
      <c r="G30" s="12">
        <f>B30-H30-COUNTIFS(Backlog!$C$2:$C$341,$A30,Backlog!$F$2:$F$341,"Cancelled")-COUNTIFS(Backlog!$C$2:$C$341,$A30,Backlog!$F$2:$F$341,"Obsolete")-COUNTIFS(Backlog!$C$2:$C$341,$A30,Backlog!$F$2:$F$341,"Later")</f>
        <v/>
      </c>
      <c r="H30" s="12">
        <f>COUNTIFS(Backlog!$C$2:$C$341,$A30,Backlog!$F$2:$F$341,"Done")</f>
        <v/>
      </c>
    </row>
    <row r="31">
      <c r="A31" s="5" t="inlineStr">
        <is>
          <t>Installation, Deployment &amp; Updates</t>
        </is>
      </c>
      <c r="B31" s="12">
        <f>COUNTIF(Backlog!$C$2:$C$341,$A31)</f>
        <v/>
      </c>
      <c r="C31" s="12">
        <f>COUNTIFS(Backlog!$C$2:$C$341,$A31,Backlog!$G$2:$G$341,"P0")</f>
        <v/>
      </c>
      <c r="D31" s="12">
        <f>COUNTIFS(Backlog!$C$2:$C$341,$A31,Backlog!$G$2:$G$341,"P1")</f>
        <v/>
      </c>
      <c r="E31" s="12">
        <f>COUNTIFS(Backlog!$C$2:$C$341,$A31,Backlog!$G$2:$G$341,"P2")</f>
        <v/>
      </c>
      <c r="F31" s="12">
        <f>COUNTIFS(Backlog!$C$2:$C$341,$A31,Backlog!$G$2:$G$341,"P3")</f>
        <v/>
      </c>
      <c r="G31" s="12">
        <f>B31-H31-COUNTIFS(Backlog!$C$2:$C$341,$A31,Backlog!$F$2:$F$341,"Cancelled")-COUNTIFS(Backlog!$C$2:$C$341,$A31,Backlog!$F$2:$F$341,"Obsolete")-COUNTIFS(Backlog!$C$2:$C$341,$A31,Backlog!$F$2:$F$341,"Later")</f>
        <v/>
      </c>
      <c r="H31" s="12">
        <f>COUNTIFS(Backlog!$C$2:$C$341,$A31,Backlog!$F$2:$F$341,"Done")</f>
        <v/>
      </c>
    </row>
    <row r="32">
      <c r="A32" s="5" t="inlineStr">
        <is>
          <t>Access, RLS, Sessions &amp; Security</t>
        </is>
      </c>
      <c r="B32" s="12">
        <f>COUNTIF(Backlog!$C$2:$C$341,$A32)</f>
        <v/>
      </c>
      <c r="C32" s="12">
        <f>COUNTIFS(Backlog!$C$2:$C$341,$A32,Backlog!$G$2:$G$341,"P0")</f>
        <v/>
      </c>
      <c r="D32" s="12">
        <f>COUNTIFS(Backlog!$C$2:$C$341,$A32,Backlog!$G$2:$G$341,"P1")</f>
        <v/>
      </c>
      <c r="E32" s="12">
        <f>COUNTIFS(Backlog!$C$2:$C$341,$A32,Backlog!$G$2:$G$341,"P2")</f>
        <v/>
      </c>
      <c r="F32" s="12">
        <f>COUNTIFS(Backlog!$C$2:$C$341,$A32,Backlog!$G$2:$G$341,"P3")</f>
        <v/>
      </c>
      <c r="G32" s="12">
        <f>B32-H32-COUNTIFS(Backlog!$C$2:$C$341,$A32,Backlog!$F$2:$F$341,"Cancelled")-COUNTIFS(Backlog!$C$2:$C$341,$A32,Backlog!$F$2:$F$341,"Obsolete")-COUNTIFS(Backlog!$C$2:$C$341,$A32,Backlog!$F$2:$F$341,"Later")</f>
        <v/>
      </c>
      <c r="H32" s="12">
        <f>COUNTIFS(Backlog!$C$2:$C$341,$A32,Backlog!$F$2:$F$341,"Done")</f>
        <v/>
      </c>
    </row>
    <row r="33">
      <c r="A33" s="5" t="inlineStr">
        <is>
          <t>Integration, Events &amp; API</t>
        </is>
      </c>
      <c r="B33" s="12">
        <f>COUNTIF(Backlog!$C$2:$C$341,$A33)</f>
        <v/>
      </c>
      <c r="C33" s="12">
        <f>COUNTIFS(Backlog!$C$2:$C$341,$A33,Backlog!$G$2:$G$341,"P0")</f>
        <v/>
      </c>
      <c r="D33" s="12">
        <f>COUNTIFS(Backlog!$C$2:$C$341,$A33,Backlog!$G$2:$G$341,"P1")</f>
        <v/>
      </c>
      <c r="E33" s="12">
        <f>COUNTIFS(Backlog!$C$2:$C$341,$A33,Backlog!$G$2:$G$341,"P2")</f>
        <v/>
      </c>
      <c r="F33" s="12">
        <f>COUNTIFS(Backlog!$C$2:$C$341,$A33,Backlog!$G$2:$G$341,"P3")</f>
        <v/>
      </c>
      <c r="G33" s="12">
        <f>B33-H33-COUNTIFS(Backlog!$C$2:$C$341,$A33,Backlog!$F$2:$F$341,"Cancelled")-COUNTIFS(Backlog!$C$2:$C$341,$A33,Backlog!$F$2:$F$341,"Obsolete")-COUNTIFS(Backlog!$C$2:$C$341,$A33,Backlog!$F$2:$F$341,"Later")</f>
        <v/>
      </c>
      <c r="H33" s="12">
        <f>COUNTIFS(Backlog!$C$2:$C$341,$A33,Backlog!$F$2:$F$341,"Done")</f>
        <v/>
      </c>
    </row>
    <row r="34">
      <c r="A34" s="5" t="inlineStr">
        <is>
          <t>Quality, Testing &amp; Performance</t>
        </is>
      </c>
      <c r="B34" s="12">
        <f>COUNTIF(Backlog!$C$2:$C$341,$A34)</f>
        <v/>
      </c>
      <c r="C34" s="12">
        <f>COUNTIFS(Backlog!$C$2:$C$341,$A34,Backlog!$G$2:$G$341,"P0")</f>
        <v/>
      </c>
      <c r="D34" s="12">
        <f>COUNTIFS(Backlog!$C$2:$C$341,$A34,Backlog!$G$2:$G$341,"P1")</f>
        <v/>
      </c>
      <c r="E34" s="12">
        <f>COUNTIFS(Backlog!$C$2:$C$341,$A34,Backlog!$G$2:$G$341,"P2")</f>
        <v/>
      </c>
      <c r="F34" s="12">
        <f>COUNTIFS(Backlog!$C$2:$C$341,$A34,Backlog!$G$2:$G$341,"P3")</f>
        <v/>
      </c>
      <c r="G34" s="12">
        <f>B34-H34-COUNTIFS(Backlog!$C$2:$C$341,$A34,Backlog!$F$2:$F$341,"Cancelled")-COUNTIFS(Backlog!$C$2:$C$341,$A34,Backlog!$F$2:$F$341,"Obsolete")-COUNTIFS(Backlog!$C$2:$C$341,$A34,Backlog!$F$2:$F$341,"Later")</f>
        <v/>
      </c>
      <c r="H34" s="12">
        <f>COUNTIFS(Backlog!$C$2:$C$341,$A34,Backlog!$F$2:$F$341,"Done")</f>
        <v/>
      </c>
    </row>
    <row r="35">
      <c r="A35" s="5" t="inlineStr">
        <is>
          <t>Persian Localization, RTL &amp; Jalali Calendar</t>
        </is>
      </c>
      <c r="B35" s="12">
        <f>COUNTIF(Backlog!$C$2:$C$341,$A35)</f>
        <v/>
      </c>
      <c r="C35" s="12">
        <f>COUNTIFS(Backlog!$C$2:$C$341,$A35,Backlog!$G$2:$G$341,"P0")</f>
        <v/>
      </c>
      <c r="D35" s="12">
        <f>COUNTIFS(Backlog!$C$2:$C$341,$A35,Backlog!$G$2:$G$341,"P1")</f>
        <v/>
      </c>
      <c r="E35" s="12">
        <f>COUNTIFS(Backlog!$C$2:$C$341,$A35,Backlog!$G$2:$G$341,"P2")</f>
        <v/>
      </c>
      <c r="F35" s="12">
        <f>COUNTIFS(Backlog!$C$2:$C$341,$A35,Backlog!$G$2:$G$341,"P3")</f>
        <v/>
      </c>
      <c r="G35" s="12">
        <f>B35-H35-COUNTIFS(Backlog!$C$2:$C$341,$A35,Backlog!$F$2:$F$341,"Cancelled")-COUNTIFS(Backlog!$C$2:$C$341,$A35,Backlog!$F$2:$F$341,"Obsolete")-COUNTIFS(Backlog!$C$2:$C$341,$A35,Backlog!$F$2:$F$341,"Later")</f>
        <v/>
      </c>
      <c r="H35" s="12">
        <f>COUNTIFS(Backlog!$C$2:$C$341,$A35,Backlog!$F$2:$F$341,"Done")</f>
        <v/>
      </c>
    </row>
    <row r="36">
      <c r="A36" s="5" t="inlineStr">
        <is>
          <t>Reporting, Dashboards &amp; Export</t>
        </is>
      </c>
      <c r="B36" s="12">
        <f>COUNTIF(Backlog!$C$2:$C$341,$A36)</f>
        <v/>
      </c>
      <c r="C36" s="12">
        <f>COUNTIFS(Backlog!$C$2:$C$341,$A36,Backlog!$G$2:$G$341,"P0")</f>
        <v/>
      </c>
      <c r="D36" s="12">
        <f>COUNTIFS(Backlog!$C$2:$C$341,$A36,Backlog!$G$2:$G$341,"P1")</f>
        <v/>
      </c>
      <c r="E36" s="12">
        <f>COUNTIFS(Backlog!$C$2:$C$341,$A36,Backlog!$G$2:$G$341,"P2")</f>
        <v/>
      </c>
      <c r="F36" s="12">
        <f>COUNTIFS(Backlog!$C$2:$C$341,$A36,Backlog!$G$2:$G$341,"P3")</f>
        <v/>
      </c>
      <c r="G36" s="12">
        <f>B36-H36-COUNTIFS(Backlog!$C$2:$C$341,$A36,Backlog!$F$2:$F$341,"Cancelled")-COUNTIFS(Backlog!$C$2:$C$341,$A36,Backlog!$F$2:$F$341,"Obsolete")-COUNTIFS(Backlog!$C$2:$C$341,$A36,Backlog!$F$2:$F$341,"Later")</f>
        <v/>
      </c>
      <c r="H36" s="12">
        <f>COUNTIFS(Backlog!$C$2:$C$341,$A36,Backlog!$F$2:$F$341,"Done")</f>
        <v/>
      </c>
    </row>
    <row r="37">
      <c r="A37" s="5" t="inlineStr">
        <is>
          <t>Artificial Intelligence</t>
        </is>
      </c>
      <c r="B37" s="12">
        <f>COUNTIF(Backlog!$C$2:$C$341,$A37)</f>
        <v/>
      </c>
      <c r="C37" s="12">
        <f>COUNTIFS(Backlog!$C$2:$C$341,$A37,Backlog!$G$2:$G$341,"P0")</f>
        <v/>
      </c>
      <c r="D37" s="12">
        <f>COUNTIFS(Backlog!$C$2:$C$341,$A37,Backlog!$G$2:$G$341,"P1")</f>
        <v/>
      </c>
      <c r="E37" s="12">
        <f>COUNTIFS(Backlog!$C$2:$C$341,$A37,Backlog!$G$2:$G$341,"P2")</f>
        <v/>
      </c>
      <c r="F37" s="12">
        <f>COUNTIFS(Backlog!$C$2:$C$341,$A37,Backlog!$G$2:$G$341,"P3")</f>
        <v/>
      </c>
      <c r="G37" s="12">
        <f>B37-H37-COUNTIFS(Backlog!$C$2:$C$341,$A37,Backlog!$F$2:$F$341,"Cancelled")-COUNTIFS(Backlog!$C$2:$C$341,$A37,Backlog!$F$2:$F$341,"Obsolete")-COUNTIFS(Backlog!$C$2:$C$341,$A37,Backlog!$F$2:$F$341,"Later")</f>
        <v/>
      </c>
      <c r="H37" s="12">
        <f>COUNTIFS(Backlog!$C$2:$C$341,$A37,Backlog!$F$2:$F$341,"Done")</f>
        <v/>
      </c>
    </row>
    <row r="38">
      <c r="A38" s="5" t="inlineStr">
        <is>
          <t>Domain: Engineering, EDMS/VDR &amp; Records</t>
        </is>
      </c>
      <c r="B38" s="12">
        <f>COUNTIF(Backlog!$C$2:$C$341,$A38)</f>
        <v/>
      </c>
      <c r="C38" s="12">
        <f>COUNTIFS(Backlog!$C$2:$C$341,$A38,Backlog!$G$2:$G$341,"P0")</f>
        <v/>
      </c>
      <c r="D38" s="12">
        <f>COUNTIFS(Backlog!$C$2:$C$341,$A38,Backlog!$G$2:$G$341,"P1")</f>
        <v/>
      </c>
      <c r="E38" s="12">
        <f>COUNTIFS(Backlog!$C$2:$C$341,$A38,Backlog!$G$2:$G$341,"P2")</f>
        <v/>
      </c>
      <c r="F38" s="12">
        <f>COUNTIFS(Backlog!$C$2:$C$341,$A38,Backlog!$G$2:$G$341,"P3")</f>
        <v/>
      </c>
      <c r="G38" s="12">
        <f>B38-H38-COUNTIFS(Backlog!$C$2:$C$341,$A38,Backlog!$F$2:$F$341,"Cancelled")-COUNTIFS(Backlog!$C$2:$C$341,$A38,Backlog!$F$2:$F$341,"Obsolete")-COUNTIFS(Backlog!$C$2:$C$341,$A38,Backlog!$F$2:$F$341,"Later")</f>
        <v/>
      </c>
      <c r="H38" s="12">
        <f>COUNTIFS(Backlog!$C$2:$C$341,$A38,Backlog!$F$2:$F$341,"Done")</f>
        <v/>
      </c>
    </row>
    <row r="39">
      <c r="A39" s="5" t="inlineStr">
        <is>
          <t>Domain: CMMS/EAM &amp; Field Operations</t>
        </is>
      </c>
      <c r="B39" s="12">
        <f>COUNTIF(Backlog!$C$2:$C$341,$A39)</f>
        <v/>
      </c>
      <c r="C39" s="12">
        <f>COUNTIFS(Backlog!$C$2:$C$341,$A39,Backlog!$G$2:$G$341,"P0")</f>
        <v/>
      </c>
      <c r="D39" s="12">
        <f>COUNTIFS(Backlog!$C$2:$C$341,$A39,Backlog!$G$2:$G$341,"P1")</f>
        <v/>
      </c>
      <c r="E39" s="12">
        <f>COUNTIFS(Backlog!$C$2:$C$341,$A39,Backlog!$G$2:$G$341,"P2")</f>
        <v/>
      </c>
      <c r="F39" s="12">
        <f>COUNTIFS(Backlog!$C$2:$C$341,$A39,Backlog!$G$2:$G$341,"P3")</f>
        <v/>
      </c>
      <c r="G39" s="12">
        <f>B39-H39-COUNTIFS(Backlog!$C$2:$C$341,$A39,Backlog!$F$2:$F$341,"Cancelled")-COUNTIFS(Backlog!$C$2:$C$341,$A39,Backlog!$F$2:$F$341,"Obsolete")-COUNTIFS(Backlog!$C$2:$C$341,$A39,Backlog!$F$2:$F$341,"Later")</f>
        <v/>
      </c>
      <c r="H39" s="12">
        <f>COUNTIFS(Backlog!$C$2:$C$341,$A39,Backlog!$F$2:$F$341,"Done")</f>
        <v/>
      </c>
    </row>
    <row r="40">
      <c r="A40" s="5" t="inlineStr">
        <is>
          <t>Domain: HR, Projects, Finance &amp; Procurement</t>
        </is>
      </c>
      <c r="B40" s="12">
        <f>COUNTIF(Backlog!$C$2:$C$341,$A40)</f>
        <v/>
      </c>
      <c r="C40" s="12">
        <f>COUNTIFS(Backlog!$C$2:$C$341,$A40,Backlog!$G$2:$G$341,"P0")</f>
        <v/>
      </c>
      <c r="D40" s="12">
        <f>COUNTIFS(Backlog!$C$2:$C$341,$A40,Backlog!$G$2:$G$341,"P1")</f>
        <v/>
      </c>
      <c r="E40" s="12">
        <f>COUNTIFS(Backlog!$C$2:$C$341,$A40,Backlog!$G$2:$G$341,"P2")</f>
        <v/>
      </c>
      <c r="F40" s="12">
        <f>COUNTIFS(Backlog!$C$2:$C$341,$A40,Backlog!$G$2:$G$341,"P3")</f>
        <v/>
      </c>
      <c r="G40" s="12">
        <f>B40-H40-COUNTIFS(Backlog!$C$2:$C$341,$A40,Backlog!$F$2:$F$341,"Cancelled")-COUNTIFS(Backlog!$C$2:$C$341,$A40,Backlog!$F$2:$F$341,"Obsolete")-COUNTIFS(Backlog!$C$2:$C$341,$A40,Backlog!$F$2:$F$341,"Later")</f>
        <v/>
      </c>
      <c r="H40" s="12">
        <f>COUNTIFS(Backlog!$C$2:$C$341,$A40,Backlog!$F$2:$F$341,"Done")</f>
        <v/>
      </c>
    </row>
    <row r="41">
      <c r="A41" s="5" t="inlineStr">
        <is>
          <t>Support, Operations &amp; Documentation</t>
        </is>
      </c>
      <c r="B41" s="12">
        <f>COUNTIF(Backlog!$C$2:$C$341,$A41)</f>
        <v/>
      </c>
      <c r="C41" s="12">
        <f>COUNTIFS(Backlog!$C$2:$C$341,$A41,Backlog!$G$2:$G$341,"P0")</f>
        <v/>
      </c>
      <c r="D41" s="12">
        <f>COUNTIFS(Backlog!$C$2:$C$341,$A41,Backlog!$G$2:$G$341,"P1")</f>
        <v/>
      </c>
      <c r="E41" s="12">
        <f>COUNTIFS(Backlog!$C$2:$C$341,$A41,Backlog!$G$2:$G$341,"P2")</f>
        <v/>
      </c>
      <c r="F41" s="12">
        <f>COUNTIFS(Backlog!$C$2:$C$341,$A41,Backlog!$G$2:$G$341,"P3")</f>
        <v/>
      </c>
      <c r="G41" s="12">
        <f>B41-H41-COUNTIFS(Backlog!$C$2:$C$341,$A41,Backlog!$F$2:$F$341,"Cancelled")-COUNTIFS(Backlog!$C$2:$C$341,$A41,Backlog!$F$2:$F$341,"Obsolete")-COUNTIFS(Backlog!$C$2:$C$341,$A41,Backlog!$F$2:$F$341,"Later")</f>
        <v/>
      </c>
      <c r="H41" s="12">
        <f>COUNTIFS(Backlog!$C$2:$C$341,$A41,Backlog!$F$2:$F$341,"Done")</f>
        <v/>
      </c>
    </row>
    <row r="42">
      <c r="A42" s="5" t="inlineStr">
        <is>
          <t>Existing PEMS Capabilities (estimated from code)</t>
        </is>
      </c>
      <c r="B42" s="12">
        <f>COUNTIF(Backlog!$C$2:$C$341,$A42)</f>
        <v/>
      </c>
      <c r="C42" s="12">
        <f>COUNTIFS(Backlog!$C$2:$C$341,$A42,Backlog!$G$2:$G$341,"P0")</f>
        <v/>
      </c>
      <c r="D42" s="12">
        <f>COUNTIFS(Backlog!$C$2:$C$341,$A42,Backlog!$G$2:$G$341,"P1")</f>
        <v/>
      </c>
      <c r="E42" s="12">
        <f>COUNTIFS(Backlog!$C$2:$C$341,$A42,Backlog!$G$2:$G$341,"P2")</f>
        <v/>
      </c>
      <c r="F42" s="12">
        <f>COUNTIFS(Backlog!$C$2:$C$341,$A42,Backlog!$G$2:$G$341,"P3")</f>
        <v/>
      </c>
      <c r="G42" s="12">
        <f>B42-H42-COUNTIFS(Backlog!$C$2:$C$341,$A42,Backlog!$F$2:$F$341,"Cancelled")-COUNTIFS(Backlog!$C$2:$C$341,$A42,Backlog!$F$2:$F$341,"Obsolete")-COUNTIFS(Backlog!$C$2:$C$341,$A42,Backlog!$F$2:$F$341,"Later")</f>
        <v/>
      </c>
      <c r="H42" s="12">
        <f>COUNTIFS(Backlog!$C$2:$C$341,$A42,Backlog!$F$2:$F$341,"Done")</f>
        <v/>
      </c>
    </row>
    <row r="43">
      <c r="A43" s="5" t="inlineStr">
        <is>
          <t>DevOps, Source Control &amp; Release Management</t>
        </is>
      </c>
      <c r="B43" s="12">
        <f>COUNTIF(Backlog!$C$2:$C$341,$A43)</f>
        <v/>
      </c>
      <c r="C43" s="12">
        <f>COUNTIFS(Backlog!$C$2:$C$341,$A43,Backlog!$G$2:$G$341,"P0")</f>
        <v/>
      </c>
      <c r="D43" s="12">
        <f>COUNTIFS(Backlog!$C$2:$C$341,$A43,Backlog!$G$2:$G$341,"P1")</f>
        <v/>
      </c>
      <c r="E43" s="12">
        <f>COUNTIFS(Backlog!$C$2:$C$341,$A43,Backlog!$G$2:$G$341,"P2")</f>
        <v/>
      </c>
      <c r="F43" s="12">
        <f>COUNTIFS(Backlog!$C$2:$C$341,$A43,Backlog!$G$2:$G$341,"P3")</f>
        <v/>
      </c>
      <c r="G43" s="12">
        <f>B43-H43-COUNTIFS(Backlog!$C$2:$C$341,$A43,Backlog!$F$2:$F$341,"Cancelled")-COUNTIFS(Backlog!$C$2:$C$341,$A43,Backlog!$F$2:$F$341,"Obsolete")-COUNTIFS(Backlog!$C$2:$C$341,$A43,Backlog!$F$2:$F$341,"Later")</f>
        <v/>
      </c>
      <c r="H43" s="12">
        <f>COUNTIFS(Backlog!$C$2:$C$341,$A43,Backlog!$F$2:$F$341,"Done")</f>
        <v/>
      </c>
    </row>
    <row r="44">
      <c r="A44" s="5" t="inlineStr">
        <is>
          <t>Customer Version &amp; Deployment Management</t>
        </is>
      </c>
      <c r="B44" s="12">
        <f>COUNTIF(Backlog!$C$2:$C$341,$A44)</f>
        <v/>
      </c>
      <c r="C44" s="12">
        <f>COUNTIFS(Backlog!$C$2:$C$341,$A44,Backlog!$G$2:$G$341,"P0")</f>
        <v/>
      </c>
      <c r="D44" s="12">
        <f>COUNTIFS(Backlog!$C$2:$C$341,$A44,Backlog!$G$2:$G$341,"P1")</f>
        <v/>
      </c>
      <c r="E44" s="12">
        <f>COUNTIFS(Backlog!$C$2:$C$341,$A44,Backlog!$G$2:$G$341,"P2")</f>
        <v/>
      </c>
      <c r="F44" s="12">
        <f>COUNTIFS(Backlog!$C$2:$C$341,$A44,Backlog!$G$2:$G$341,"P3")</f>
        <v/>
      </c>
      <c r="G44" s="12">
        <f>B44-H44-COUNTIFS(Backlog!$C$2:$C$341,$A44,Backlog!$F$2:$F$341,"Cancelled")-COUNTIFS(Backlog!$C$2:$C$341,$A44,Backlog!$F$2:$F$341,"Obsolete")-COUNTIFS(Backlog!$C$2:$C$341,$A44,Backlog!$F$2:$F$341,"Later")</f>
        <v/>
      </c>
      <c r="H44" s="12">
        <f>COUNTIFS(Backlog!$C$2:$C$341,$A44,Backlog!$F$2:$F$341,"Done")</f>
        <v/>
      </c>
    </row>
    <row r="45">
      <c r="A45" s="5" t="inlineStr">
        <is>
          <t>Supportability Matrix &amp; Module Versioning</t>
        </is>
      </c>
      <c r="B45" s="12">
        <f>COUNTIF(Backlog!$C$2:$C$341,$A45)</f>
        <v/>
      </c>
      <c r="C45" s="12">
        <f>COUNTIFS(Backlog!$C$2:$C$341,$A45,Backlog!$G$2:$G$341,"P0")</f>
        <v/>
      </c>
      <c r="D45" s="12">
        <f>COUNTIFS(Backlog!$C$2:$C$341,$A45,Backlog!$G$2:$G$341,"P1")</f>
        <v/>
      </c>
      <c r="E45" s="12">
        <f>COUNTIFS(Backlog!$C$2:$C$341,$A45,Backlog!$G$2:$G$341,"P2")</f>
        <v/>
      </c>
      <c r="F45" s="12">
        <f>COUNTIFS(Backlog!$C$2:$C$341,$A45,Backlog!$G$2:$G$341,"P3")</f>
        <v/>
      </c>
      <c r="G45" s="12">
        <f>B45-H45-COUNTIFS(Backlog!$C$2:$C$341,$A45,Backlog!$F$2:$F$341,"Cancelled")-COUNTIFS(Backlog!$C$2:$C$341,$A45,Backlog!$F$2:$F$341,"Obsolete")-COUNTIFS(Backlog!$C$2:$C$341,$A45,Backlog!$F$2:$F$341,"Later")</f>
        <v/>
      </c>
      <c r="H45" s="12">
        <f>COUNTIFS(Backlog!$C$2:$C$341,$A45,Backlog!$F$2:$F$341,"Done")</f>
        <v/>
      </c>
    </row>
    <row r="46">
      <c r="A46" s="5" t="inlineStr">
        <is>
          <t>Main Host: Landing &amp; Demo Deployment</t>
        </is>
      </c>
      <c r="B46" s="12">
        <f>COUNTIF(Backlog!$C$2:$C$341,$A46)</f>
        <v/>
      </c>
      <c r="C46" s="12">
        <f>COUNTIFS(Backlog!$C$2:$C$341,$A46,Backlog!$G$2:$G$341,"P0")</f>
        <v/>
      </c>
      <c r="D46" s="12">
        <f>COUNTIFS(Backlog!$C$2:$C$341,$A46,Backlog!$G$2:$G$341,"P1")</f>
        <v/>
      </c>
      <c r="E46" s="12">
        <f>COUNTIFS(Backlog!$C$2:$C$341,$A46,Backlog!$G$2:$G$341,"P2")</f>
        <v/>
      </c>
      <c r="F46" s="12">
        <f>COUNTIFS(Backlog!$C$2:$C$341,$A46,Backlog!$G$2:$G$341,"P3")</f>
        <v/>
      </c>
      <c r="G46" s="12">
        <f>B46-H46-COUNTIFS(Backlog!$C$2:$C$341,$A46,Backlog!$F$2:$F$341,"Cancelled")-COUNTIFS(Backlog!$C$2:$C$341,$A46,Backlog!$F$2:$F$341,"Obsolete")-COUNTIFS(Backlog!$C$2:$C$341,$A46,Backlog!$F$2:$F$341,"Later")</f>
        <v/>
      </c>
      <c r="H46" s="12">
        <f>COUNTIFS(Backlog!$C$2:$C$341,$A46,Backlog!$F$2:$F$341,"Done")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COUNTIF(Backlog!$R$2:$R$341,$A50)</f>
        <v/>
      </c>
      <c r="C50" s="12">
        <f>COUNTIFS(Backlog!$R$2:$R$341,$A50,Backlog!$F$2:$F$341,"Done")</f>
        <v/>
      </c>
      <c r="D50" s="12">
        <f>COUNTIFS(Backlog!$R$2:$R$341,$A50,Backlog!$F$2:$F$341,"Later")</f>
        <v/>
      </c>
      <c r="E50" s="12">
        <f>B50-C50-D50-COUNTIFS(Backlog!$R$2:$R$341,$A50,Backlog!$F$2:$F$341,"Cancelled")-COUNTIFS(Backlog!$R$2:$R$341,$A50,Backlog!$F$2:$F$341,"Obsolete")</f>
        <v/>
      </c>
      <c r="F50" s="12">
        <f>COUNTIFS(Backlog!$R$2:$R$341,$A50,Backlog!$S$2:$S$341,"Yes")</f>
        <v/>
      </c>
      <c r="G50" s="12" t="n"/>
      <c r="H50" s="12" t="n"/>
    </row>
    <row r="51">
      <c r="A51" s="5" t="inlineStr">
        <is>
          <t>Dynamic data core</t>
        </is>
      </c>
      <c r="B51" s="12">
        <f>COUNTIF(Backlog!$R$2:$R$341,$A51)</f>
        <v/>
      </c>
      <c r="C51" s="12">
        <f>COUNTIFS(Backlog!$R$2:$R$341,$A51,Backlog!$F$2:$F$341,"Done")</f>
        <v/>
      </c>
      <c r="D51" s="12">
        <f>COUNTIFS(Backlog!$R$2:$R$341,$A51,Backlog!$F$2:$F$341,"Later")</f>
        <v/>
      </c>
      <c r="E51" s="12">
        <f>B51-C51-D51-COUNTIFS(Backlog!$R$2:$R$341,$A51,Backlog!$F$2:$F$341,"Cancelled")-COUNTIFS(Backlog!$R$2:$R$341,$A51,Backlog!$F$2:$F$341,"Obsolete")</f>
        <v/>
      </c>
      <c r="F51" s="12">
        <f>COUNTIFS(Backlog!$R$2:$R$341,$A51,Backlog!$S$2:$S$341,"Yes")</f>
        <v/>
      </c>
      <c r="G51" s="12" t="n"/>
      <c r="H51" s="12" t="n"/>
    </row>
    <row r="52">
      <c r="A52" s="5" t="inlineStr">
        <is>
          <t>UI component library</t>
        </is>
      </c>
      <c r="B52" s="12">
        <f>COUNTIF(Backlog!$R$2:$R$341,$A52)</f>
        <v/>
      </c>
      <c r="C52" s="12">
        <f>COUNTIFS(Backlog!$R$2:$R$341,$A52,Backlog!$F$2:$F$341,"Done")</f>
        <v/>
      </c>
      <c r="D52" s="12">
        <f>COUNTIFS(Backlog!$R$2:$R$341,$A52,Backlog!$F$2:$F$341,"Later")</f>
        <v/>
      </c>
      <c r="E52" s="12">
        <f>B52-C52-D52-COUNTIFS(Backlog!$R$2:$R$341,$A52,Backlog!$F$2:$F$341,"Cancelled")-COUNTIFS(Backlog!$R$2:$R$341,$A52,Backlog!$F$2:$F$341,"Obsolete")</f>
        <v/>
      </c>
      <c r="F52" s="12">
        <f>COUNTIFS(Backlog!$R$2:$R$341,$A52,Backlog!$S$2:$S$341,"Yes")</f>
        <v/>
      </c>
      <c r="G52" s="12" t="n"/>
      <c r="H52" s="12" t="n"/>
    </row>
    <row r="53">
      <c r="A53" s="5" t="inlineStr">
        <is>
          <t>Form builder</t>
        </is>
      </c>
      <c r="B53" s="12">
        <f>COUNTIF(Backlog!$R$2:$R$341,$A53)</f>
        <v/>
      </c>
      <c r="C53" s="12">
        <f>COUNTIFS(Backlog!$R$2:$R$341,$A53,Backlog!$F$2:$F$341,"Done")</f>
        <v/>
      </c>
      <c r="D53" s="12">
        <f>COUNTIFS(Backlog!$R$2:$R$341,$A53,Backlog!$F$2:$F$341,"Later")</f>
        <v/>
      </c>
      <c r="E53" s="12">
        <f>B53-C53-D53-COUNTIFS(Backlog!$R$2:$R$341,$A53,Backlog!$F$2:$F$341,"Cancelled")-COUNTIFS(Backlog!$R$2:$R$341,$A53,Backlog!$F$2:$F$341,"Obsolete")</f>
        <v/>
      </c>
      <c r="F53" s="12">
        <f>COUNTIFS(Backlog!$R$2:$R$341,$A53,Backlog!$S$2:$S$341,"Yes")</f>
        <v/>
      </c>
      <c r="G53" s="12" t="n"/>
      <c r="H53" s="12" t="n"/>
    </row>
    <row r="54">
      <c r="A54" s="5" t="inlineStr">
        <is>
          <t>Module builder</t>
        </is>
      </c>
      <c r="B54" s="12">
        <f>COUNTIF(Backlog!$R$2:$R$341,$A54)</f>
        <v/>
      </c>
      <c r="C54" s="12">
        <f>COUNTIFS(Backlog!$R$2:$R$341,$A54,Backlog!$F$2:$F$341,"Done")</f>
        <v/>
      </c>
      <c r="D54" s="12">
        <f>COUNTIFS(Backlog!$R$2:$R$341,$A54,Backlog!$F$2:$F$341,"Later")</f>
        <v/>
      </c>
      <c r="E54" s="12">
        <f>B54-C54-D54-COUNTIFS(Backlog!$R$2:$R$341,$A54,Backlog!$F$2:$F$341,"Cancelled")-COUNTIFS(Backlog!$R$2:$R$341,$A54,Backlog!$F$2:$F$341,"Obsolete")</f>
        <v/>
      </c>
      <c r="F54" s="12">
        <f>COUNTIFS(Backlog!$R$2:$R$341,$A54,Backlog!$S$2:$S$341,"Yes")</f>
        <v/>
      </c>
      <c r="G54" s="12" t="n"/>
      <c r="H54" s="12" t="n"/>
    </row>
    <row r="55">
      <c r="A55" s="5" t="inlineStr">
        <is>
          <t>Workflow studio &amp; BPMS</t>
        </is>
      </c>
      <c r="B55" s="12">
        <f>COUNTIF(Backlog!$R$2:$R$341,$A55)</f>
        <v/>
      </c>
      <c r="C55" s="12">
        <f>COUNTIFS(Backlog!$R$2:$R$341,$A55,Backlog!$F$2:$F$341,"Done")</f>
        <v/>
      </c>
      <c r="D55" s="12">
        <f>COUNTIFS(Backlog!$R$2:$R$341,$A55,Backlog!$F$2:$F$341,"Later")</f>
        <v/>
      </c>
      <c r="E55" s="12">
        <f>B55-C55-D55-COUNTIFS(Backlog!$R$2:$R$341,$A55,Backlog!$F$2:$F$341,"Cancelled")-COUNTIFS(Backlog!$R$2:$R$341,$A55,Backlog!$F$2:$F$341,"Obsolete")</f>
        <v/>
      </c>
      <c r="F55" s="12">
        <f>COUNTIFS(Backlog!$R$2:$R$341,$A55,Backlog!$S$2:$S$341,"Yes")</f>
        <v/>
      </c>
      <c r="G55" s="12" t="n"/>
      <c r="H55" s="12" t="n"/>
    </row>
    <row r="56">
      <c r="A56" s="5" t="inlineStr">
        <is>
          <t>Static-to-dynamic migration</t>
        </is>
      </c>
      <c r="B56" s="12">
        <f>COUNTIF(Backlog!$R$2:$R$341,$A56)</f>
        <v/>
      </c>
      <c r="C56" s="12">
        <f>COUNTIFS(Backlog!$R$2:$R$341,$A56,Backlog!$F$2:$F$341,"Done")</f>
        <v/>
      </c>
      <c r="D56" s="12">
        <f>COUNTIFS(Backlog!$R$2:$R$341,$A56,Backlog!$F$2:$F$341,"Later")</f>
        <v/>
      </c>
      <c r="E56" s="12">
        <f>B56-C56-D56-COUNTIFS(Backlog!$R$2:$R$341,$A56,Backlog!$F$2:$F$341,"Cancelled")-COUNTIFS(Backlog!$R$2:$R$341,$A56,Backlog!$F$2:$F$341,"Obsolete")</f>
        <v/>
      </c>
      <c r="F56" s="12">
        <f>COUNTIFS(Backlog!$R$2:$R$341,$A56,Backlog!$S$2:$S$341,"Yes")</f>
        <v/>
      </c>
      <c r="G56" s="12" t="n"/>
      <c r="H56" s="12" t="n"/>
    </row>
    <row r="57">
      <c r="A57" s="5" t="inlineStr">
        <is>
          <t>Licensing chain</t>
        </is>
      </c>
      <c r="B57" s="12">
        <f>COUNTIF(Backlog!$R$2:$R$341,$A57)</f>
        <v/>
      </c>
      <c r="C57" s="12">
        <f>COUNTIFS(Backlog!$R$2:$R$341,$A57,Backlog!$F$2:$F$341,"Done")</f>
        <v/>
      </c>
      <c r="D57" s="12">
        <f>COUNTIFS(Backlog!$R$2:$R$341,$A57,Backlog!$F$2:$F$341,"Later")</f>
        <v/>
      </c>
      <c r="E57" s="12">
        <f>B57-C57-D57-COUNTIFS(Backlog!$R$2:$R$341,$A57,Backlog!$F$2:$F$341,"Cancelled")-COUNTIFS(Backlog!$R$2:$R$341,$A57,Backlog!$F$2:$F$341,"Obsolete")</f>
        <v/>
      </c>
      <c r="F57" s="12">
        <f>COUNTIFS(Backlog!$R$2:$R$341,$A57,Backlog!$S$2:$S$341,"Yes")</f>
        <v/>
      </c>
      <c r="G57" s="12" t="n"/>
      <c r="H57" s="12" t="n"/>
    </row>
    <row r="58">
      <c r="A58" s="5" t="inlineStr">
        <is>
          <t>Company, brand &amp; legal</t>
        </is>
      </c>
      <c r="B58" s="12">
        <f>COUNTIF(Backlog!$R$2:$R$341,$A58)</f>
        <v/>
      </c>
      <c r="C58" s="12">
        <f>COUNTIFS(Backlog!$R$2:$R$341,$A58,Backlog!$F$2:$F$341,"Done")</f>
        <v/>
      </c>
      <c r="D58" s="12">
        <f>COUNTIFS(Backlog!$R$2:$R$341,$A58,Backlog!$F$2:$F$341,"Later")</f>
        <v/>
      </c>
      <c r="E58" s="12">
        <f>B58-C58-D58-COUNTIFS(Backlog!$R$2:$R$341,$A58,Backlog!$F$2:$F$341,"Cancelled")-COUNTIFS(Backlog!$R$2:$R$341,$A58,Backlog!$F$2:$F$341,"Obsolete")</f>
        <v/>
      </c>
      <c r="F58" s="12">
        <f>COUNTIFS(Backlog!$R$2:$R$341,$A58,Backlog!$S$2:$S$341,"Yes")</f>
        <v/>
      </c>
      <c r="G58" s="12" t="n"/>
      <c r="H58" s="12" t="n"/>
    </row>
    <row r="59">
      <c r="A59" s="5" t="inlineStr">
        <is>
          <t>Online demo</t>
        </is>
      </c>
      <c r="B59" s="12">
        <f>COUNTIF(Backlog!$R$2:$R$341,$A59)</f>
        <v/>
      </c>
      <c r="C59" s="12">
        <f>COUNTIFS(Backlog!$R$2:$R$341,$A59,Backlog!$F$2:$F$341,"Done")</f>
        <v/>
      </c>
      <c r="D59" s="12">
        <f>COUNTIFS(Backlog!$R$2:$R$341,$A59,Backlog!$F$2:$F$341,"Later")</f>
        <v/>
      </c>
      <c r="E59" s="12">
        <f>B59-C59-D59-COUNTIFS(Backlog!$R$2:$R$341,$A59,Backlog!$F$2:$F$341,"Cancelled")-COUNTIFS(Backlog!$R$2:$R$341,$A59,Backlog!$F$2:$F$341,"Obsolete")</f>
        <v/>
      </c>
      <c r="F59" s="12">
        <f>COUNTIFS(Backlog!$R$2:$R$341,$A59,Backlog!$S$2:$S$341,"Yes")</f>
        <v/>
      </c>
      <c r="G59" s="12" t="n"/>
      <c r="H59" s="12" t="n"/>
    </row>
    <row r="60">
      <c r="A60" s="5" t="inlineStr">
        <is>
          <t>Commercial website</t>
        </is>
      </c>
      <c r="B60" s="12">
        <f>COUNTIF(Backlog!$R$2:$R$341,$A60)</f>
        <v/>
      </c>
      <c r="C60" s="12">
        <f>COUNTIFS(Backlog!$R$2:$R$341,$A60,Backlog!$F$2:$F$341,"Done")</f>
        <v/>
      </c>
      <c r="D60" s="12">
        <f>COUNTIFS(Backlog!$R$2:$R$341,$A60,Backlog!$F$2:$F$341,"Later")</f>
        <v/>
      </c>
      <c r="E60" s="12">
        <f>B60-C60-D60-COUNTIFS(Backlog!$R$2:$R$341,$A60,Backlog!$F$2:$F$341,"Cancelled")-COUNTIFS(Backlog!$R$2:$R$341,$A60,Backlog!$F$2:$F$341,"Obsolete")</f>
        <v/>
      </c>
      <c r="F60" s="12">
        <f>COUNTIFS(Backlog!$R$2:$R$341,$A60,Backlog!$S$2:$S$341,"Yes")</f>
        <v/>
      </c>
      <c r="G60" s="12" t="n"/>
      <c r="H60" s="12" t="n"/>
    </row>
    <row r="61">
      <c r="A61" s="5" t="inlineStr">
        <is>
          <t>Install &amp; update</t>
        </is>
      </c>
      <c r="B61" s="12">
        <f>COUNTIF(Backlog!$R$2:$R$341,$A61)</f>
        <v/>
      </c>
      <c r="C61" s="12">
        <f>COUNTIFS(Backlog!$R$2:$R$341,$A61,Backlog!$F$2:$F$341,"Done")</f>
        <v/>
      </c>
      <c r="D61" s="12">
        <f>COUNTIFS(Backlog!$R$2:$R$341,$A61,Backlog!$F$2:$F$341,"Later")</f>
        <v/>
      </c>
      <c r="E61" s="12">
        <f>B61-C61-D61-COUNTIFS(Backlog!$R$2:$R$341,$A61,Backlog!$F$2:$F$341,"Cancelled")-COUNTIFS(Backlog!$R$2:$R$341,$A61,Backlog!$F$2:$F$341,"Obsolete")</f>
        <v/>
      </c>
      <c r="F61" s="12">
        <f>COUNTIFS(Backlog!$R$2:$R$341,$A61,Backlog!$S$2:$S$341,"Yes")</f>
        <v/>
      </c>
      <c r="G61" s="12" t="n"/>
      <c r="H61" s="12" t="n"/>
    </row>
    <row r="62">
      <c r="A62" s="5" t="inlineStr">
        <is>
          <t>Security &amp; access</t>
        </is>
      </c>
      <c r="B62" s="12">
        <f>COUNTIF(Backlog!$R$2:$R$341,$A62)</f>
        <v/>
      </c>
      <c r="C62" s="12">
        <f>COUNTIFS(Backlog!$R$2:$R$341,$A62,Backlog!$F$2:$F$341,"Done")</f>
        <v/>
      </c>
      <c r="D62" s="12">
        <f>COUNTIFS(Backlog!$R$2:$R$341,$A62,Backlog!$F$2:$F$341,"Later")</f>
        <v/>
      </c>
      <c r="E62" s="12">
        <f>B62-C62-D62-COUNTIFS(Backlog!$R$2:$R$341,$A62,Backlog!$F$2:$F$341,"Cancelled")-COUNTIFS(Backlog!$R$2:$R$341,$A62,Backlog!$F$2:$F$341,"Obsolete")</f>
        <v/>
      </c>
      <c r="F62" s="12">
        <f>COUNTIFS(Backlog!$R$2:$R$341,$A62,Backlog!$S$2:$S$341,"Yes")</f>
        <v/>
      </c>
      <c r="G62" s="12" t="n"/>
      <c r="H62" s="12" t="n"/>
    </row>
    <row r="63">
      <c r="A63" s="5" t="inlineStr">
        <is>
          <t>Integration &amp; API</t>
        </is>
      </c>
      <c r="B63" s="12">
        <f>COUNTIF(Backlog!$R$2:$R$341,$A63)</f>
        <v/>
      </c>
      <c r="C63" s="12">
        <f>COUNTIFS(Backlog!$R$2:$R$341,$A63,Backlog!$F$2:$F$341,"Done")</f>
        <v/>
      </c>
      <c r="D63" s="12">
        <f>COUNTIFS(Backlog!$R$2:$R$341,$A63,Backlog!$F$2:$F$341,"Later")</f>
        <v/>
      </c>
      <c r="E63" s="12">
        <f>B63-C63-D63-COUNTIFS(Backlog!$R$2:$R$341,$A63,Backlog!$F$2:$F$341,"Cancelled")-COUNTIFS(Backlog!$R$2:$R$341,$A63,Backlog!$F$2:$F$341,"Obsolete")</f>
        <v/>
      </c>
      <c r="F63" s="12">
        <f>COUNTIFS(Backlog!$R$2:$R$341,$A63,Backlog!$S$2:$S$341,"Yes")</f>
        <v/>
      </c>
      <c r="G63" s="12" t="n"/>
      <c r="H63" s="12" t="n"/>
    </row>
    <row r="64">
      <c r="A64" s="5" t="inlineStr">
        <is>
          <t>Quality &amp; performance</t>
        </is>
      </c>
      <c r="B64" s="12">
        <f>COUNTIF(Backlog!$R$2:$R$341,$A64)</f>
        <v/>
      </c>
      <c r="C64" s="12">
        <f>COUNTIFS(Backlog!$R$2:$R$341,$A64,Backlog!$F$2:$F$341,"Done")</f>
        <v/>
      </c>
      <c r="D64" s="12">
        <f>COUNTIFS(Backlog!$R$2:$R$341,$A64,Backlog!$F$2:$F$341,"Later")</f>
        <v/>
      </c>
      <c r="E64" s="12">
        <f>B64-C64-D64-COUNTIFS(Backlog!$R$2:$R$341,$A64,Backlog!$F$2:$F$341,"Cancelled")-COUNTIFS(Backlog!$R$2:$R$341,$A64,Backlog!$F$2:$F$341,"Obsolete")</f>
        <v/>
      </c>
      <c r="F64" s="12">
        <f>COUNTIFS(Backlog!$R$2:$R$341,$A64,Backlog!$S$2:$S$341,"Yes")</f>
        <v/>
      </c>
      <c r="G64" s="12" t="n"/>
      <c r="H64" s="12" t="n"/>
    </row>
    <row r="65">
      <c r="A65" s="5" t="inlineStr">
        <is>
          <t>Persian localization</t>
        </is>
      </c>
      <c r="B65" s="12">
        <f>COUNTIF(Backlog!$R$2:$R$341,$A65)</f>
        <v/>
      </c>
      <c r="C65" s="12">
        <f>COUNTIFS(Backlog!$R$2:$R$341,$A65,Backlog!$F$2:$F$341,"Done")</f>
        <v/>
      </c>
      <c r="D65" s="12">
        <f>COUNTIFS(Backlog!$R$2:$R$341,$A65,Backlog!$F$2:$F$341,"Later")</f>
        <v/>
      </c>
      <c r="E65" s="12">
        <f>B65-C65-D65-COUNTIFS(Backlog!$R$2:$R$341,$A65,Backlog!$F$2:$F$341,"Cancelled")-COUNTIFS(Backlog!$R$2:$R$341,$A65,Backlog!$F$2:$F$341,"Obsolete")</f>
        <v/>
      </c>
      <c r="F65" s="12">
        <f>COUNTIFS(Backlog!$R$2:$R$341,$A65,Backlog!$S$2:$S$341,"Yes")</f>
        <v/>
      </c>
      <c r="G65" s="12" t="n"/>
      <c r="H65" s="12" t="n"/>
    </row>
    <row r="66">
      <c r="A66" s="5" t="inlineStr">
        <is>
          <t>Reporting</t>
        </is>
      </c>
      <c r="B66" s="12">
        <f>COUNTIF(Backlog!$R$2:$R$341,$A66)</f>
        <v/>
      </c>
      <c r="C66" s="12">
        <f>COUNTIFS(Backlog!$R$2:$R$341,$A66,Backlog!$F$2:$F$341,"Done")</f>
        <v/>
      </c>
      <c r="D66" s="12">
        <f>COUNTIFS(Backlog!$R$2:$R$341,$A66,Backlog!$F$2:$F$341,"Later")</f>
        <v/>
      </c>
      <c r="E66" s="12">
        <f>B66-C66-D66-COUNTIFS(Backlog!$R$2:$R$341,$A66,Backlog!$F$2:$F$341,"Cancelled")-COUNTIFS(Backlog!$R$2:$R$341,$A66,Backlog!$F$2:$F$341,"Obsolete")</f>
        <v/>
      </c>
      <c r="F66" s="12">
        <f>COUNTIFS(Backlog!$R$2:$R$341,$A66,Backlog!$S$2:$S$341,"Yes")</f>
        <v/>
      </c>
      <c r="G66" s="12" t="n"/>
      <c r="H66" s="12" t="n"/>
    </row>
    <row r="67">
      <c r="A67" s="5" t="inlineStr">
        <is>
          <t>AI</t>
        </is>
      </c>
      <c r="B67" s="12">
        <f>COUNTIF(Backlog!$R$2:$R$341,$A67)</f>
        <v/>
      </c>
      <c r="C67" s="12">
        <f>COUNTIFS(Backlog!$R$2:$R$341,$A67,Backlog!$F$2:$F$341,"Done")</f>
        <v/>
      </c>
      <c r="D67" s="12">
        <f>COUNTIFS(Backlog!$R$2:$R$341,$A67,Backlog!$F$2:$F$341,"Later")</f>
        <v/>
      </c>
      <c r="E67" s="12">
        <f>B67-C67-D67-COUNTIFS(Backlog!$R$2:$R$341,$A67,Backlog!$F$2:$F$341,"Cancelled")-COUNTIFS(Backlog!$R$2:$R$341,$A67,Backlog!$F$2:$F$341,"Obsolete")</f>
        <v/>
      </c>
      <c r="F67" s="12">
        <f>COUNTIFS(Backlog!$R$2:$R$341,$A67,Backlog!$S$2:$S$341,"Yes")</f>
        <v/>
      </c>
      <c r="G67" s="12" t="n"/>
      <c r="H67" s="12" t="n"/>
    </row>
    <row r="68">
      <c r="A68" s="5" t="inlineStr">
        <is>
          <t>Domain modules</t>
        </is>
      </c>
      <c r="B68" s="12">
        <f>COUNTIF(Backlog!$R$2:$R$341,$A68)</f>
        <v/>
      </c>
      <c r="C68" s="12">
        <f>COUNTIFS(Backlog!$R$2:$R$341,$A68,Backlog!$F$2:$F$341,"Done")</f>
        <v/>
      </c>
      <c r="D68" s="12">
        <f>COUNTIFS(Backlog!$R$2:$R$341,$A68,Backlog!$F$2:$F$341,"Later")</f>
        <v/>
      </c>
      <c r="E68" s="12">
        <f>B68-C68-D68-COUNTIFS(Backlog!$R$2:$R$341,$A68,Backlog!$F$2:$F$341,"Cancelled")-COUNTIFS(Backlog!$R$2:$R$341,$A68,Backlog!$F$2:$F$341,"Obsolete")</f>
        <v/>
      </c>
      <c r="F68" s="12">
        <f>COUNTIFS(Backlog!$R$2:$R$341,$A68,Backlog!$S$2:$S$341,"Yes")</f>
        <v/>
      </c>
      <c r="G68" s="12" t="n"/>
      <c r="H68" s="12" t="n"/>
    </row>
    <row r="69">
      <c r="A69" s="5" t="inlineStr">
        <is>
          <t>Support &amp; documentation</t>
        </is>
      </c>
      <c r="B69" s="12">
        <f>COUNTIF(Backlog!$R$2:$R$341,$A69)</f>
        <v/>
      </c>
      <c r="C69" s="12">
        <f>COUNTIFS(Backlog!$R$2:$R$341,$A69,Backlog!$F$2:$F$341,"Done")</f>
        <v/>
      </c>
      <c r="D69" s="12">
        <f>COUNTIFS(Backlog!$R$2:$R$341,$A69,Backlog!$F$2:$F$341,"Later")</f>
        <v/>
      </c>
      <c r="E69" s="12">
        <f>B69-C69-D69-COUNTIFS(Backlog!$R$2:$R$341,$A69,Backlog!$F$2:$F$341,"Cancelled")-COUNTIFS(Backlog!$R$2:$R$341,$A69,Backlog!$F$2:$F$341,"Obsolete")</f>
        <v/>
      </c>
      <c r="F69" s="12">
        <f>COUNTIFS(Backlog!$R$2:$R$341,$A69,Backlog!$S$2:$S$341,"Yes")</f>
        <v/>
      </c>
      <c r="G69" s="12" t="n"/>
      <c r="H69" s="12" t="n"/>
    </row>
    <row r="70">
      <c r="A70" s="5" t="inlineStr">
        <is>
          <t>Existing capabilities</t>
        </is>
      </c>
      <c r="B70" s="12">
        <f>COUNTIF(Backlog!$R$2:$R$341,$A70)</f>
        <v/>
      </c>
      <c r="C70" s="12">
        <f>COUNTIFS(Backlog!$R$2:$R$341,$A70,Backlog!$F$2:$F$341,"Done")</f>
        <v/>
      </c>
      <c r="D70" s="12">
        <f>COUNTIFS(Backlog!$R$2:$R$341,$A70,Backlog!$F$2:$F$341,"Later")</f>
        <v/>
      </c>
      <c r="E70" s="12">
        <f>B70-C70-D70-COUNTIFS(Backlog!$R$2:$R$341,$A70,Backlog!$F$2:$F$341,"Cancelled")-COUNTIFS(Backlog!$R$2:$R$341,$A70,Backlog!$F$2:$F$341,"Obsolete")</f>
        <v/>
      </c>
      <c r="F70" s="12">
        <f>COUNTIFS(Backlog!$R$2:$R$341,$A70,Backlog!$S$2:$S$341,"Yes")</f>
        <v/>
      </c>
      <c r="G70" s="12" t="n"/>
      <c r="H70" s="12" t="n"/>
    </row>
    <row r="71">
      <c r="A71" s="5" t="inlineStr">
        <is>
          <t>DevOps &amp; release</t>
        </is>
      </c>
      <c r="B71" s="12">
        <f>COUNTIF(Backlog!$R$2:$R$341,$A71)</f>
        <v/>
      </c>
      <c r="C71" s="12">
        <f>COUNTIFS(Backlog!$R$2:$R$341,$A71,Backlog!$F$2:$F$341,"Done")</f>
        <v/>
      </c>
      <c r="D71" s="12">
        <f>COUNTIFS(Backlog!$R$2:$R$341,$A71,Backlog!$F$2:$F$341,"Later")</f>
        <v/>
      </c>
      <c r="E71" s="12">
        <f>B71-C71-D71-COUNTIFS(Backlog!$R$2:$R$341,$A71,Backlog!$F$2:$F$341,"Cancelled")-COUNTIFS(Backlog!$R$2:$R$341,$A71,Backlog!$F$2:$F$341,"Obsolete")</f>
        <v/>
      </c>
      <c r="F71" s="12">
        <f>COUNTIFS(Backlog!$R$2:$R$341,$A71,Backlog!$S$2:$S$341,"Yes")</f>
        <v/>
      </c>
      <c r="G71" s="12" t="n"/>
      <c r="H71" s="12" t="n"/>
    </row>
    <row r="72">
      <c r="A72" s="5" t="inlineStr">
        <is>
          <t>Customer &amp; module versions</t>
        </is>
      </c>
      <c r="B72" s="12">
        <f>COUNTIF(Backlog!$R$2:$R$341,$A72)</f>
        <v/>
      </c>
      <c r="C72" s="12">
        <f>COUNTIFS(Backlog!$R$2:$R$341,$A72,Backlog!$F$2:$F$341,"Done")</f>
        <v/>
      </c>
      <c r="D72" s="12">
        <f>COUNTIFS(Backlog!$R$2:$R$341,$A72,Backlog!$F$2:$F$341,"Later")</f>
        <v/>
      </c>
      <c r="E72" s="12">
        <f>B72-C72-D72-COUNTIFS(Backlog!$R$2:$R$341,$A72,Backlog!$F$2:$F$341,"Cancelled")-COUNTIFS(Backlog!$R$2:$R$341,$A72,Backlog!$F$2:$F$341,"Obsolete")</f>
        <v/>
      </c>
      <c r="F72" s="12">
        <f>COUNTIFS(Backlog!$R$2:$R$341,$A72,Backlog!$S$2:$S$341,"Yes")</f>
        <v/>
      </c>
      <c r="G72" s="12" t="n"/>
      <c r="H72" s="12" t="n"/>
    </row>
    <row r="73">
      <c r="A73" s="5" t="inlineStr">
        <is>
          <t>Main host: landing &amp; demo deployment</t>
        </is>
      </c>
      <c r="B73" s="12">
        <f>COUNTIF(Backlog!$R$2:$R$341,$A73)</f>
        <v/>
      </c>
      <c r="C73" s="12">
        <f>COUNTIFS(Backlog!$R$2:$R$341,$A73,Backlog!$F$2:$F$341,"Done")</f>
        <v/>
      </c>
      <c r="D73" s="12">
        <f>COUNTIFS(Backlog!$R$2:$R$341,$A73,Backlog!$F$2:$F$341,"Later")</f>
        <v/>
      </c>
      <c r="E73" s="12">
        <f>B73-C73-D73-COUNTIFS(Backlog!$R$2:$R$341,$A73,Backlog!$F$2:$F$341,"Cancelled")-COUNTIFS(Backlog!$R$2:$R$341,$A73,Backlog!$F$2:$F$341,"Obsolete")</f>
        <v/>
      </c>
      <c r="F73" s="12">
        <f>COUNTIFS(Backlog!$R$2:$R$341,$A73,Backlog!$S$2:$S$341,"Yes")</f>
        <v/>
      </c>
      <c r="G73" s="12" t="n"/>
      <c r="H73" s="12" t="n"/>
    </row>
    <row r="74">
      <c r="B74" s="12" t="n"/>
      <c r="C74" s="12" t="n"/>
      <c r="D74" s="12" t="n"/>
      <c r="E74" s="12" t="n"/>
      <c r="F74" s="12" t="n"/>
      <c r="G74" s="12" t="n"/>
      <c r="H74" s="12" t="n"/>
    </row>
    <row r="75">
      <c r="A75" s="13" t="inlineStr">
        <is>
          <t>Confirmed by PM (all rows)</t>
        </is>
      </c>
      <c r="B75" s="12">
        <f>COUNTIF(Backlog!$S$2:$S$341,"Yes")</f>
        <v/>
      </c>
      <c r="C75" s="12" t="n"/>
      <c r="D75" s="12" t="n"/>
      <c r="E75" s="12" t="n"/>
      <c r="F75" s="12" t="n"/>
      <c r="G75" s="12" t="n"/>
      <c r="H75" s="12" t="n"/>
    </row>
    <row r="76">
      <c r="A76" s="13" t="inlineStr">
        <is>
          <t>P0 rows confirmed by PM</t>
        </is>
      </c>
      <c r="B76" s="12">
        <f>COUNTIFS(Backlog!$S$2:$S$341,"Yes",Backlog!$G$2:$G$341,"P0")</f>
        <v/>
      </c>
      <c r="C76" s="12" t="n"/>
      <c r="D76" s="12" t="n"/>
      <c r="E76" s="12" t="n"/>
      <c r="F76" s="12" t="n"/>
      <c r="G76" s="12" t="n"/>
      <c r="H76" s="12" t="n"/>
    </row>
    <row r="77">
      <c r="A77" s="13" t="inlineStr">
        <is>
          <t>Open P0 rows not yet confirmed by PM</t>
        </is>
      </c>
      <c r="B77" s="12">
        <f>COUNTIFS(Backlog!$S$2:$S$341,"No",Backlog!$G$2:$G$341,"P0",Backlog!$F$2:$F$341,"&lt;&gt;Done",Backlog!$F$2:$F$341,"&lt;&gt;Later",Backlog!$F$2:$F$341,"&lt;&gt;Cancelled",Backlog!$F$2:$F$341,"&lt;&gt;Obsolete")</f>
        <v/>
      </c>
      <c r="C77" s="12" t="n"/>
      <c r="D77" s="12" t="n"/>
      <c r="E77" s="12" t="n"/>
      <c r="F77" s="12" t="n"/>
      <c r="G77" s="12" t="n"/>
      <c r="H77" s="12" t="n"/>
    </row>
    <row r="78">
      <c r="A78" s="13" t="inlineStr">
        <is>
          <t>Rows on Hold</t>
        </is>
      </c>
      <c r="B78" s="12">
        <f>COUNTIF(Backlog!$F$2:$F$341,"Hold")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COUNTIFS(Backlog!$G$2:$G$341,"P0",Backlog!$F$2:$F$341,"&lt;&gt;Done",Backlog!$F$2:$F$341,"&lt;&gt;Cancelled",Backlog!$F$2:$F$341,"&lt;&gt;Obsolete",Backlog!$F$2:$F$341,"&lt;&gt;Later")</f>
        <v/>
      </c>
      <c r="C80" s="12" t="n"/>
      <c r="D80" s="12" t="n"/>
      <c r="E80" s="12" t="n"/>
      <c r="F80" s="12" t="n"/>
      <c r="G80" s="12" t="n"/>
      <c r="H80" s="12" t="n"/>
    </row>
    <row r="81">
      <c r="A81" s="13" t="inlineStr">
        <is>
          <t>Remaining 'Sales blocker' tasks</t>
        </is>
      </c>
      <c r="B81" s="12">
        <f>COUNTIFS(Backlog!$N$2:$N$341,"Sales blocker",Backlog!$F$2:$F$341,"&lt;&gt;Done")</f>
        <v/>
      </c>
      <c r="C81" s="12" t="n"/>
      <c r="D81" s="12" t="n"/>
      <c r="E81" s="12" t="n"/>
      <c r="F81" s="12" t="n"/>
      <c r="G81" s="12" t="n"/>
      <c r="H81" s="12" t="n"/>
    </row>
    <row r="82">
      <c r="A82" s="13" t="inlineStr">
        <is>
          <t>Open decisions (Decision Needed)</t>
        </is>
      </c>
      <c r="B82" s="12">
        <f>COUNTIFS(Backlog!$E$2:$E$341,"Decision Needed",Backlog!$F$2:$F$341,"&lt;&gt;Done")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2026-10-24T10:30:02Z</dcterms:modified>
</cp:coreProperties>
</file>