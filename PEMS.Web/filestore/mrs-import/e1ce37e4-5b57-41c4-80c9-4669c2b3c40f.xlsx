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\\Ftp-srv\Warehouse\Packing &amp; MRS\Chemical\"/>
    </mc:Choice>
  </mc:AlternateContent>
  <xr:revisionPtr revIDLastSave="0" documentId="13_ncr:1_{881C6B17-CDBF-4B14-9013-C5C0BA4709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il " sheetId="2" r:id="rId1"/>
    <sheet name="Chemical" sheetId="33" r:id="rId2"/>
    <sheet name="Bagging" sheetId="34" r:id="rId3"/>
    <sheet name="Grease" sheetId="29" r:id="rId4"/>
    <sheet name="Safety" sheetId="20" r:id="rId5"/>
    <sheet name="MAX&amp;MIN Pivot oil " sheetId="42" r:id="rId6"/>
    <sheet name="original data base" sheetId="32" r:id="rId7"/>
  </sheets>
  <definedNames>
    <definedName name="_xlnm._FilterDatabase" localSheetId="2" hidden="1">Bagging!$A$2:$S$2</definedName>
    <definedName name="_xlnm._FilterDatabase" localSheetId="1" hidden="1">Chemical!$A$2:$T$2</definedName>
    <definedName name="_xlnm._FilterDatabase" localSheetId="5" hidden="1">'MAX&amp;MIN Pivot oil '!$A$1:$H$54</definedName>
    <definedName name="_xlnm._FilterDatabase" localSheetId="0" hidden="1">'Oil '!$A$2:$S$2</definedName>
    <definedName name="_xlnm._FilterDatabase" localSheetId="6" hidden="1">'original data base'!$A$2:$U$2</definedName>
    <definedName name="_xlnm._FilterDatabase" localSheetId="4" hidden="1">Safety!$A$2:$T$6</definedName>
    <definedName name="_xlnm.Print_Area" localSheetId="2">Bagging!$A$2:$T$50</definedName>
    <definedName name="_xlnm.Print_Area" localSheetId="1">Chemical!$A$2:$U$89</definedName>
    <definedName name="_xlnm.Print_Area" localSheetId="5">'MAX&amp;MIN Pivot oil '!$A$1:$H$53</definedName>
    <definedName name="_xlnm.Print_Area" localSheetId="0">'Oil '!$A$2:$T$67</definedName>
    <definedName name="_xlnm.Print_Area" localSheetId="6">'original data base'!$A$2:$V$177</definedName>
    <definedName name="_xlnm.Print_Titles" localSheetId="2">Bagging!$2:$3</definedName>
    <definedName name="_xlnm.Print_Titles" localSheetId="1">Chemical!$2:$3</definedName>
    <definedName name="_xlnm.Print_Titles" localSheetId="0">'Oil '!$2:$3</definedName>
    <definedName name="_xlnm.Print_Titles" localSheetId="6">'original data base'!$2:$3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69" i="33" l="1"/>
  <c r="O12" i="2"/>
  <c r="K36" i="2"/>
  <c r="O43" i="2"/>
  <c r="O28" i="2" l="1"/>
  <c r="P70" i="33" l="1"/>
  <c r="P73" i="33"/>
  <c r="O79" i="2"/>
  <c r="O75" i="2"/>
  <c r="M15" i="29" l="1"/>
  <c r="M4" i="29"/>
  <c r="M5" i="29"/>
  <c r="M6" i="29"/>
  <c r="O5" i="2" l="1"/>
  <c r="O4" i="2"/>
  <c r="O11" i="2"/>
  <c r="O18" i="2"/>
  <c r="M7" i="2"/>
  <c r="O56" i="2"/>
  <c r="O30" i="2" l="1"/>
  <c r="O20" i="2"/>
  <c r="O14" i="2"/>
  <c r="O22" i="2"/>
  <c r="O46" i="2"/>
  <c r="O55" i="2" l="1"/>
  <c r="M5" i="2" l="1"/>
  <c r="N4" i="2"/>
  <c r="N5" i="2"/>
  <c r="O64" i="2" l="1"/>
  <c r="N64" i="2" s="1"/>
  <c r="O47" i="2"/>
  <c r="N47" i="2" s="1"/>
  <c r="P83" i="33"/>
  <c r="P54" i="33"/>
  <c r="L4" i="20" l="1"/>
  <c r="L5" i="20"/>
  <c r="L6" i="20"/>
  <c r="M3" i="20" l="1"/>
  <c r="P3" i="20"/>
  <c r="P67" i="33"/>
  <c r="P27" i="33"/>
  <c r="P24" i="33" l="1"/>
  <c r="O78" i="2" l="1"/>
  <c r="M79" i="2"/>
  <c r="M74" i="2"/>
  <c r="M77" i="2"/>
  <c r="M78" i="2"/>
  <c r="M80" i="2"/>
  <c r="M81" i="2"/>
  <c r="M82" i="2"/>
  <c r="M83" i="2"/>
  <c r="M84" i="2"/>
  <c r="M85" i="2"/>
  <c r="M86" i="2"/>
  <c r="O51" i="2"/>
  <c r="O76" i="2" l="1"/>
  <c r="M76" i="2" s="1"/>
  <c r="M75" i="2"/>
  <c r="O70" i="2"/>
  <c r="O17" i="2"/>
  <c r="O9" i="2"/>
  <c r="K46" i="2"/>
  <c r="P71" i="33" l="1"/>
  <c r="P78" i="33"/>
  <c r="P45" i="33"/>
  <c r="P69" i="33"/>
  <c r="O50" i="34"/>
  <c r="P81" i="33"/>
  <c r="P65" i="33"/>
  <c r="M7" i="29" l="1"/>
  <c r="M8" i="29"/>
  <c r="M9" i="29"/>
  <c r="M10" i="29"/>
  <c r="M11" i="29"/>
  <c r="M12" i="29"/>
  <c r="M13" i="29"/>
  <c r="M14" i="29"/>
  <c r="M3" i="29"/>
  <c r="M102" i="33" l="1"/>
  <c r="M103" i="33"/>
  <c r="M104" i="33"/>
  <c r="M105" i="33"/>
  <c r="M106" i="33"/>
  <c r="M107" i="33"/>
  <c r="M108" i="33"/>
  <c r="M109" i="33"/>
  <c r="M110" i="33"/>
  <c r="M111" i="33"/>
  <c r="M83" i="33"/>
  <c r="N83" i="33" s="1"/>
  <c r="M84" i="33"/>
  <c r="N84" i="33" s="1"/>
  <c r="M85" i="33"/>
  <c r="M86" i="33"/>
  <c r="N86" i="33" s="1"/>
  <c r="M87" i="33"/>
  <c r="N87" i="33" s="1"/>
  <c r="M88" i="33"/>
  <c r="N88" i="33" s="1"/>
  <c r="M89" i="33"/>
  <c r="M90" i="33"/>
  <c r="M91" i="33"/>
  <c r="M92" i="33"/>
  <c r="M93" i="33"/>
  <c r="M94" i="33"/>
  <c r="M95" i="33"/>
  <c r="M96" i="33"/>
  <c r="M97" i="33"/>
  <c r="M98" i="33"/>
  <c r="M99" i="33"/>
  <c r="M100" i="33"/>
  <c r="M101" i="33"/>
  <c r="M54" i="33"/>
  <c r="N54" i="33" s="1"/>
  <c r="O63" i="2"/>
  <c r="M73" i="2"/>
  <c r="M65" i="33" l="1"/>
  <c r="N65" i="33" s="1"/>
  <c r="P58" i="33"/>
  <c r="P38" i="33" l="1"/>
  <c r="P23" i="33"/>
  <c r="M23" i="33" l="1"/>
  <c r="N23" i="33" s="1"/>
  <c r="M80" i="33"/>
  <c r="N80" i="33" s="1"/>
  <c r="M81" i="33"/>
  <c r="N81" i="33" s="1"/>
  <c r="M82" i="33"/>
  <c r="N82" i="33" s="1"/>
  <c r="M70" i="2"/>
  <c r="N70" i="2" s="1"/>
  <c r="M63" i="2"/>
  <c r="N63" i="2" s="1"/>
  <c r="M20" i="2"/>
  <c r="N20" i="2" s="1"/>
  <c r="M78" i="33"/>
  <c r="N78" i="33" s="1"/>
  <c r="P6" i="33"/>
  <c r="M6" i="33" s="1"/>
  <c r="P7" i="33"/>
  <c r="P8" i="33"/>
  <c r="M8" i="33" s="1"/>
  <c r="P13" i="33"/>
  <c r="M13" i="33" s="1"/>
  <c r="P16" i="33"/>
  <c r="M16" i="33" s="1"/>
  <c r="P20" i="33"/>
  <c r="M20" i="33" s="1"/>
  <c r="P21" i="33"/>
  <c r="M21" i="33" s="1"/>
  <c r="M24" i="33"/>
  <c r="N24" i="33" s="1"/>
  <c r="M27" i="33"/>
  <c r="N27" i="33" s="1"/>
  <c r="P31" i="33"/>
  <c r="M38" i="33"/>
  <c r="N38" i="33" s="1"/>
  <c r="P41" i="33"/>
  <c r="M41" i="33" s="1"/>
  <c r="N41" i="33" s="1"/>
  <c r="P42" i="33"/>
  <c r="M42" i="33" s="1"/>
  <c r="N42" i="33" s="1"/>
  <c r="P43" i="33"/>
  <c r="M43" i="33" s="1"/>
  <c r="N43" i="33" s="1"/>
  <c r="M45" i="33"/>
  <c r="N45" i="33" s="1"/>
  <c r="P46" i="33"/>
  <c r="M46" i="33" s="1"/>
  <c r="N46" i="33" s="1"/>
  <c r="P48" i="33"/>
  <c r="M48" i="33" s="1"/>
  <c r="N48" i="33" s="1"/>
  <c r="P49" i="33"/>
  <c r="M49" i="33" s="1"/>
  <c r="N49" i="33" s="1"/>
  <c r="P52" i="33"/>
  <c r="M52" i="33" s="1"/>
  <c r="N52" i="33" s="1"/>
  <c r="P53" i="33"/>
  <c r="M53" i="33" s="1"/>
  <c r="N53" i="33" s="1"/>
  <c r="P55" i="33"/>
  <c r="M55" i="33" s="1"/>
  <c r="N55" i="33" s="1"/>
  <c r="M58" i="33"/>
  <c r="N58" i="33" s="1"/>
  <c r="P59" i="33"/>
  <c r="M59" i="33" s="1"/>
  <c r="N59" i="33" s="1"/>
  <c r="P60" i="33"/>
  <c r="M60" i="33" s="1"/>
  <c r="N60" i="33" s="1"/>
  <c r="P61" i="33"/>
  <c r="M61" i="33" s="1"/>
  <c r="N61" i="33" s="1"/>
  <c r="P62" i="33"/>
  <c r="M62" i="33" s="1"/>
  <c r="N62" i="33" s="1"/>
  <c r="P63" i="33"/>
  <c r="M63" i="33" s="1"/>
  <c r="P68" i="33"/>
  <c r="M68" i="33" s="1"/>
  <c r="M71" i="33"/>
  <c r="N71" i="33" s="1"/>
  <c r="M73" i="33"/>
  <c r="N73" i="33" s="1"/>
  <c r="M10" i="33"/>
  <c r="M14" i="33"/>
  <c r="M18" i="33"/>
  <c r="M22" i="33"/>
  <c r="M25" i="33"/>
  <c r="N25" i="33" s="1"/>
  <c r="M29" i="33"/>
  <c r="N29" i="33" s="1"/>
  <c r="M33" i="33"/>
  <c r="N33" i="33" s="1"/>
  <c r="M37" i="33"/>
  <c r="N37" i="33" s="1"/>
  <c r="M57" i="33"/>
  <c r="N57" i="33" s="1"/>
  <c r="M64" i="33"/>
  <c r="M67" i="33"/>
  <c r="N67" i="33" s="1"/>
  <c r="M69" i="33"/>
  <c r="N69" i="33" s="1"/>
  <c r="M74" i="33"/>
  <c r="N74" i="33" s="1"/>
  <c r="M75" i="33"/>
  <c r="N75" i="33" s="1"/>
  <c r="M79" i="33"/>
  <c r="N79" i="33" s="1"/>
  <c r="M43" i="2"/>
  <c r="N43" i="2" s="1"/>
  <c r="M76" i="33"/>
  <c r="M77" i="33"/>
  <c r="M71" i="2"/>
  <c r="O19" i="2"/>
  <c r="M19" i="2" s="1"/>
  <c r="N19" i="2" s="1"/>
  <c r="M46" i="2"/>
  <c r="N46" i="2" s="1"/>
  <c r="M14" i="2"/>
  <c r="N14" i="2" s="1"/>
  <c r="M9" i="2"/>
  <c r="N9" i="2" s="1"/>
  <c r="M56" i="2"/>
  <c r="N56" i="2" s="1"/>
  <c r="M62" i="34"/>
  <c r="M11" i="2"/>
  <c r="N11" i="2" s="1"/>
  <c r="O42" i="2"/>
  <c r="M42" i="2" s="1"/>
  <c r="O44" i="2"/>
  <c r="M44" i="2" s="1"/>
  <c r="M22" i="2"/>
  <c r="N22" i="2" s="1"/>
  <c r="O26" i="2"/>
  <c r="M26" i="2" s="1"/>
  <c r="N26" i="2" s="1"/>
  <c r="M61" i="34"/>
  <c r="M60" i="34"/>
  <c r="M59" i="34"/>
  <c r="M58" i="34"/>
  <c r="M57" i="34"/>
  <c r="M56" i="34"/>
  <c r="M55" i="34"/>
  <c r="M54" i="34"/>
  <c r="M53" i="34"/>
  <c r="M52" i="34"/>
  <c r="M51" i="34"/>
  <c r="M50" i="34"/>
  <c r="M49" i="34"/>
  <c r="M48" i="34"/>
  <c r="M47" i="34"/>
  <c r="M46" i="34"/>
  <c r="M45" i="34"/>
  <c r="M44" i="34"/>
  <c r="M43" i="34"/>
  <c r="M42" i="34"/>
  <c r="M41" i="34"/>
  <c r="M40" i="34"/>
  <c r="M39" i="34"/>
  <c r="M38" i="34"/>
  <c r="M37" i="34"/>
  <c r="M36" i="34"/>
  <c r="M35" i="34"/>
  <c r="M34" i="34"/>
  <c r="M33" i="34"/>
  <c r="M32" i="34"/>
  <c r="M31" i="34"/>
  <c r="M30" i="34"/>
  <c r="M29" i="34"/>
  <c r="M28" i="34"/>
  <c r="M27" i="34"/>
  <c r="M26" i="34"/>
  <c r="M25" i="34"/>
  <c r="O24" i="34"/>
  <c r="M24" i="34" s="1"/>
  <c r="M23" i="34"/>
  <c r="M22" i="34"/>
  <c r="M21" i="34"/>
  <c r="M20" i="34"/>
  <c r="M19" i="34"/>
  <c r="M18" i="34"/>
  <c r="M17" i="34"/>
  <c r="M16" i="34"/>
  <c r="M15" i="34"/>
  <c r="M14" i="34"/>
  <c r="O13" i="34"/>
  <c r="M13" i="34" s="1"/>
  <c r="M12" i="34"/>
  <c r="M11" i="34"/>
  <c r="M10" i="34"/>
  <c r="M9" i="34"/>
  <c r="M8" i="34"/>
  <c r="M7" i="34"/>
  <c r="M6" i="34"/>
  <c r="M5" i="34"/>
  <c r="M4" i="34"/>
  <c r="M72" i="33"/>
  <c r="N72" i="33" s="1"/>
  <c r="M70" i="33"/>
  <c r="N70" i="33" s="1"/>
  <c r="M66" i="33"/>
  <c r="N66" i="33" s="1"/>
  <c r="M56" i="33"/>
  <c r="N56" i="33" s="1"/>
  <c r="M51" i="33"/>
  <c r="N51" i="33" s="1"/>
  <c r="M50" i="33"/>
  <c r="N50" i="33" s="1"/>
  <c r="M47" i="33"/>
  <c r="N47" i="33" s="1"/>
  <c r="M44" i="33"/>
  <c r="N44" i="33" s="1"/>
  <c r="M40" i="33"/>
  <c r="N40" i="33" s="1"/>
  <c r="M39" i="33"/>
  <c r="N39" i="33" s="1"/>
  <c r="M36" i="33"/>
  <c r="N36" i="33" s="1"/>
  <c r="M35" i="33"/>
  <c r="N35" i="33" s="1"/>
  <c r="M34" i="33"/>
  <c r="N34" i="33" s="1"/>
  <c r="M32" i="33"/>
  <c r="N32" i="33" s="1"/>
  <c r="M31" i="33"/>
  <c r="N31" i="33" s="1"/>
  <c r="M30" i="33"/>
  <c r="N30" i="33" s="1"/>
  <c r="M28" i="33"/>
  <c r="N28" i="33" s="1"/>
  <c r="M26" i="33"/>
  <c r="N26" i="33" s="1"/>
  <c r="M19" i="33"/>
  <c r="M17" i="33"/>
  <c r="M15" i="33"/>
  <c r="M12" i="33"/>
  <c r="M11" i="33"/>
  <c r="M9" i="33"/>
  <c r="M7" i="33"/>
  <c r="M5" i="33"/>
  <c r="M4" i="33"/>
  <c r="N202" i="32"/>
  <c r="N201" i="32"/>
  <c r="N200" i="32"/>
  <c r="N199" i="32"/>
  <c r="N198" i="32"/>
  <c r="N197" i="32"/>
  <c r="N195" i="32"/>
  <c r="Q194" i="32"/>
  <c r="N194" i="32" s="1"/>
  <c r="N193" i="32"/>
  <c r="O193" i="32" s="1"/>
  <c r="N192" i="32"/>
  <c r="N191" i="32"/>
  <c r="N190" i="32"/>
  <c r="N189" i="32"/>
  <c r="N188" i="32"/>
  <c r="N187" i="32"/>
  <c r="N186" i="32"/>
  <c r="N185" i="32"/>
  <c r="N184" i="32"/>
  <c r="N183" i="32"/>
  <c r="O183" i="32" s="1"/>
  <c r="N182" i="32"/>
  <c r="O182" i="32" s="1"/>
  <c r="N181" i="32"/>
  <c r="N180" i="32"/>
  <c r="N179" i="32"/>
  <c r="O179" i="32" s="1"/>
  <c r="N178" i="32"/>
  <c r="N177" i="32"/>
  <c r="O177" i="32" s="1"/>
  <c r="N176" i="32"/>
  <c r="O176" i="32" s="1"/>
  <c r="N175" i="32"/>
  <c r="O175" i="32" s="1"/>
  <c r="N174" i="32"/>
  <c r="Q173" i="32"/>
  <c r="N173" i="32" s="1"/>
  <c r="O173" i="32" s="1"/>
  <c r="Q172" i="32"/>
  <c r="N172" i="32" s="1"/>
  <c r="N171" i="32"/>
  <c r="Q170" i="32"/>
  <c r="N170" i="32" s="1"/>
  <c r="O170" i="32" s="1"/>
  <c r="Q169" i="32"/>
  <c r="N169" i="32" s="1"/>
  <c r="Q168" i="32"/>
  <c r="N168" i="32" s="1"/>
  <c r="O168" i="32" s="1"/>
  <c r="N167" i="32"/>
  <c r="Q166" i="32"/>
  <c r="N166" i="32" s="1"/>
  <c r="N165" i="32"/>
  <c r="O165" i="32" s="1"/>
  <c r="N164" i="32"/>
  <c r="N163" i="32"/>
  <c r="Q162" i="32"/>
  <c r="N162" i="32" s="1"/>
  <c r="Q161" i="32"/>
  <c r="N161" i="32" s="1"/>
  <c r="O161" i="32" s="1"/>
  <c r="N160" i="32"/>
  <c r="N159" i="32"/>
  <c r="N158" i="32"/>
  <c r="N157" i="32"/>
  <c r="N156" i="32"/>
  <c r="N155" i="32"/>
  <c r="N154" i="32"/>
  <c r="O154" i="32" s="1"/>
  <c r="N153" i="32"/>
  <c r="N152" i="32"/>
  <c r="N151" i="32"/>
  <c r="N150" i="32"/>
  <c r="N149" i="32"/>
  <c r="Q148" i="32"/>
  <c r="N148" i="32" s="1"/>
  <c r="Q147" i="32"/>
  <c r="N147" i="32" s="1"/>
  <c r="O147" i="32" s="1"/>
  <c r="Q146" i="32"/>
  <c r="N146" i="32" s="1"/>
  <c r="Q145" i="32"/>
  <c r="N145" i="32" s="1"/>
  <c r="N144" i="32"/>
  <c r="N143" i="32"/>
  <c r="N142" i="32"/>
  <c r="N141" i="32"/>
  <c r="Q140" i="32"/>
  <c r="N140" i="32" s="1"/>
  <c r="O140" i="32" s="1"/>
  <c r="Q139" i="32"/>
  <c r="N139" i="32" s="1"/>
  <c r="O139" i="32" s="1"/>
  <c r="N138" i="32"/>
  <c r="N137" i="32"/>
  <c r="O137" i="32" s="1"/>
  <c r="N136" i="32"/>
  <c r="N135" i="32"/>
  <c r="N134" i="32"/>
  <c r="N133" i="32"/>
  <c r="N132" i="32"/>
  <c r="N131" i="32"/>
  <c r="N130" i="32"/>
  <c r="N129" i="32"/>
  <c r="Q128" i="32"/>
  <c r="N128" i="32" s="1"/>
  <c r="Q127" i="32"/>
  <c r="N127" i="32" s="1"/>
  <c r="N126" i="32"/>
  <c r="N125" i="32"/>
  <c r="Q124" i="32"/>
  <c r="N124" i="32" s="1"/>
  <c r="N123" i="32"/>
  <c r="N122" i="32"/>
  <c r="N121" i="32"/>
  <c r="Q120" i="32"/>
  <c r="N120" i="32" s="1"/>
  <c r="Q119" i="32"/>
  <c r="N119" i="32" s="1"/>
  <c r="O119" i="32" s="1"/>
  <c r="N118" i="32"/>
  <c r="N117" i="32"/>
  <c r="N116" i="32"/>
  <c r="N115" i="32"/>
  <c r="Q114" i="32"/>
  <c r="O114" i="32"/>
  <c r="N113" i="32"/>
  <c r="N112" i="32"/>
  <c r="N111" i="32"/>
  <c r="N110" i="32"/>
  <c r="N109" i="32"/>
  <c r="N108" i="32"/>
  <c r="Q107" i="32"/>
  <c r="N107" i="32" s="1"/>
  <c r="N106" i="32"/>
  <c r="Q105" i="32"/>
  <c r="N105" i="32" s="1"/>
  <c r="Q104" i="32"/>
  <c r="N104" i="32" s="1"/>
  <c r="Q103" i="32"/>
  <c r="N103" i="32" s="1"/>
  <c r="Q102" i="32"/>
  <c r="N102" i="32" s="1"/>
  <c r="N101" i="32"/>
  <c r="N100" i="32"/>
  <c r="Q99" i="32"/>
  <c r="N99" i="32" s="1"/>
  <c r="O99" i="32" s="1"/>
  <c r="N98" i="32"/>
  <c r="N97" i="32"/>
  <c r="N96" i="32"/>
  <c r="O96" i="32" s="1"/>
  <c r="N95" i="32"/>
  <c r="O95" i="32" s="1"/>
  <c r="N94" i="32"/>
  <c r="N93" i="32"/>
  <c r="N92" i="32"/>
  <c r="Q91" i="32"/>
  <c r="N91" i="32" s="1"/>
  <c r="N90" i="32"/>
  <c r="N89" i="32"/>
  <c r="N88" i="32"/>
  <c r="N87" i="32"/>
  <c r="N86" i="32"/>
  <c r="N85" i="32"/>
  <c r="N84" i="32"/>
  <c r="N83" i="32"/>
  <c r="N82" i="32"/>
  <c r="O82" i="32" s="1"/>
  <c r="N81" i="32"/>
  <c r="N80" i="32"/>
  <c r="N79" i="32"/>
  <c r="Q78" i="32"/>
  <c r="N78" i="32" s="1"/>
  <c r="Q77" i="32"/>
  <c r="N77" i="32" s="1"/>
  <c r="Q76" i="32"/>
  <c r="N76" i="32" s="1"/>
  <c r="O76" i="32" s="1"/>
  <c r="N75" i="32"/>
  <c r="Q74" i="32"/>
  <c r="N74" i="32" s="1"/>
  <c r="N73" i="32"/>
  <c r="O73" i="32" s="1"/>
  <c r="N72" i="32"/>
  <c r="N71" i="32"/>
  <c r="Q70" i="32"/>
  <c r="N70" i="32" s="1"/>
  <c r="N69" i="32"/>
  <c r="N68" i="32"/>
  <c r="O68" i="32" s="1"/>
  <c r="N67" i="32"/>
  <c r="N66" i="32"/>
  <c r="Q65" i="32"/>
  <c r="N65" i="32" s="1"/>
  <c r="N64" i="32"/>
  <c r="Q63" i="32"/>
  <c r="N63" i="32" s="1"/>
  <c r="O63" i="32" s="1"/>
  <c r="Q62" i="32"/>
  <c r="N62" i="32" s="1"/>
  <c r="O62" i="32" s="1"/>
  <c r="N61" i="32"/>
  <c r="N60" i="32"/>
  <c r="Q59" i="32"/>
  <c r="N59" i="32" s="1"/>
  <c r="Q58" i="32"/>
  <c r="N58" i="32" s="1"/>
  <c r="N57" i="32"/>
  <c r="N56" i="32"/>
  <c r="N55" i="32"/>
  <c r="N54" i="32"/>
  <c r="N53" i="32"/>
  <c r="N52" i="32"/>
  <c r="N51" i="32"/>
  <c r="N50" i="32"/>
  <c r="N49" i="32"/>
  <c r="N48" i="32"/>
  <c r="O48" i="32" s="1"/>
  <c r="N47" i="32"/>
  <c r="N46" i="32"/>
  <c r="O46" i="32" s="1"/>
  <c r="Q45" i="32"/>
  <c r="N45" i="32" s="1"/>
  <c r="O45" i="32" s="1"/>
  <c r="Q44" i="32"/>
  <c r="N44" i="32" s="1"/>
  <c r="N43" i="32"/>
  <c r="N42" i="32"/>
  <c r="Q41" i="32"/>
  <c r="N41" i="32" s="1"/>
  <c r="N40" i="32"/>
  <c r="N39" i="32"/>
  <c r="N38" i="32"/>
  <c r="N37" i="32"/>
  <c r="N36" i="32"/>
  <c r="O36" i="32" s="1"/>
  <c r="Q35" i="32"/>
  <c r="N35" i="32" s="1"/>
  <c r="O35" i="32" s="1"/>
  <c r="N34" i="32"/>
  <c r="N33" i="32"/>
  <c r="O33" i="32" s="1"/>
  <c r="Q32" i="32"/>
  <c r="N32" i="32" s="1"/>
  <c r="Q31" i="32"/>
  <c r="N31" i="32" s="1"/>
  <c r="O31" i="32" s="1"/>
  <c r="Q30" i="32"/>
  <c r="N30" i="32" s="1"/>
  <c r="O30" i="32" s="1"/>
  <c r="Q29" i="32"/>
  <c r="N29" i="32" s="1"/>
  <c r="Q28" i="32"/>
  <c r="N28" i="32" s="1"/>
  <c r="N27" i="32"/>
  <c r="Q26" i="32"/>
  <c r="N26" i="32" s="1"/>
  <c r="O26" i="32" s="1"/>
  <c r="Q25" i="32"/>
  <c r="N25" i="32" s="1"/>
  <c r="O25" i="32" s="1"/>
  <c r="N24" i="32"/>
  <c r="O24" i="32" s="1"/>
  <c r="Q23" i="32"/>
  <c r="N23" i="32" s="1"/>
  <c r="Q22" i="32"/>
  <c r="N22" i="32" s="1"/>
  <c r="Q21" i="32"/>
  <c r="O21" i="32"/>
  <c r="Q20" i="32"/>
  <c r="N20" i="32" s="1"/>
  <c r="O20" i="32" s="1"/>
  <c r="N19" i="32"/>
  <c r="O19" i="32" s="1"/>
  <c r="Q18" i="32"/>
  <c r="N18" i="32" s="1"/>
  <c r="O18" i="32" s="1"/>
  <c r="Q17" i="32"/>
  <c r="N17" i="32" s="1"/>
  <c r="O17" i="32" s="1"/>
  <c r="N16" i="32"/>
  <c r="O16" i="32" s="1"/>
  <c r="Q15" i="32"/>
  <c r="N15" i="32" s="1"/>
  <c r="O15" i="32" s="1"/>
  <c r="Q14" i="32"/>
  <c r="N14" i="32" s="1"/>
  <c r="O14" i="32" s="1"/>
  <c r="Q13" i="32"/>
  <c r="N13" i="32" s="1"/>
  <c r="O13" i="32" s="1"/>
  <c r="Q12" i="32"/>
  <c r="N12" i="32" s="1"/>
  <c r="O12" i="32" s="1"/>
  <c r="N11" i="32"/>
  <c r="Q10" i="32"/>
  <c r="N10" i="32" s="1"/>
  <c r="O10" i="32" s="1"/>
  <c r="N9" i="32"/>
  <c r="O9" i="32" s="1"/>
  <c r="N8" i="32"/>
  <c r="N7" i="32"/>
  <c r="N6" i="32"/>
  <c r="N5" i="32"/>
  <c r="N4" i="32"/>
  <c r="O4" i="32" s="1"/>
  <c r="O54" i="2"/>
  <c r="M54" i="2" s="1"/>
  <c r="N54" i="2" s="1"/>
  <c r="M12" i="2"/>
  <c r="N12" i="2" s="1"/>
  <c r="M18" i="2"/>
  <c r="N18" i="2" s="1"/>
  <c r="O16" i="2"/>
  <c r="M16" i="2" s="1"/>
  <c r="N16" i="2" s="1"/>
  <c r="O61" i="2"/>
  <c r="M61" i="2" s="1"/>
  <c r="N61" i="2" s="1"/>
  <c r="O10" i="2"/>
  <c r="M10" i="2" s="1"/>
  <c r="N10" i="2" s="1"/>
  <c r="L3" i="20"/>
  <c r="O8" i="2"/>
  <c r="M8" i="2" s="1"/>
  <c r="N8" i="2" s="1"/>
  <c r="O58" i="2"/>
  <c r="M58" i="2" s="1"/>
  <c r="N58" i="2" s="1"/>
  <c r="O41" i="2"/>
  <c r="M41" i="2" s="1"/>
  <c r="N41" i="2" s="1"/>
  <c r="M69" i="2"/>
  <c r="N69" i="2" s="1"/>
  <c r="M53" i="2"/>
  <c r="N53" i="2" s="1"/>
  <c r="M52" i="2"/>
  <c r="N52" i="2" s="1"/>
  <c r="M45" i="2"/>
  <c r="N45" i="2" s="1"/>
  <c r="M36" i="2"/>
  <c r="M37" i="2"/>
  <c r="M38" i="2"/>
  <c r="M33" i="2"/>
  <c r="M34" i="2"/>
  <c r="M35" i="2"/>
  <c r="M32" i="2"/>
  <c r="N32" i="2" s="1"/>
  <c r="M39" i="2"/>
  <c r="M40" i="2"/>
  <c r="N40" i="2" s="1"/>
  <c r="M31" i="2"/>
  <c r="N31" i="2" s="1"/>
  <c r="M17" i="2"/>
  <c r="N17" i="2" s="1"/>
  <c r="M13" i="2"/>
  <c r="N13" i="2" s="1"/>
  <c r="M28" i="2"/>
  <c r="N28" i="2" s="1"/>
  <c r="O25" i="2"/>
  <c r="M25" i="2" s="1"/>
  <c r="N25" i="2" s="1"/>
  <c r="M64" i="2"/>
  <c r="M62" i="2"/>
  <c r="M67" i="2"/>
  <c r="N67" i="2" s="1"/>
  <c r="M66" i="2"/>
  <c r="N66" i="2" s="1"/>
  <c r="M65" i="2"/>
  <c r="N65" i="2" s="1"/>
  <c r="M68" i="2"/>
  <c r="N68" i="2" s="1"/>
  <c r="M47" i="2"/>
  <c r="M55" i="2"/>
  <c r="N55" i="2" s="1"/>
  <c r="O27" i="2"/>
  <c r="M27" i="2" s="1"/>
  <c r="M24" i="2"/>
  <c r="M59" i="2"/>
  <c r="N59" i="2" s="1"/>
  <c r="M60" i="2"/>
  <c r="N60" i="2" s="1"/>
  <c r="M4" i="2"/>
  <c r="M6" i="2"/>
  <c r="M51" i="2"/>
  <c r="M49" i="2"/>
  <c r="M48" i="2"/>
  <c r="M50" i="2"/>
  <c r="N50" i="2" s="1"/>
  <c r="M29" i="2"/>
  <c r="M30" i="2"/>
  <c r="N30" i="2" s="1"/>
  <c r="O21" i="2"/>
  <c r="M21" i="2" s="1"/>
  <c r="M57" i="2"/>
  <c r="N57" i="2" s="1"/>
  <c r="M15" i="2"/>
  <c r="M23" i="2"/>
  <c r="N2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علی رضایی</author>
    <author>علیرضا همایونی</author>
    <author>صفدر حسینی راد</author>
  </authors>
  <commentList>
    <comment ref="M7" authorId="0" shapeId="0" xr:uid="{A1A57E81-DAC4-4DDF-B5E9-94019CE2FC02}">
      <text>
        <r>
          <rPr>
            <b/>
            <sz val="9"/>
            <color indexed="81"/>
            <rFont val="Tahoma"/>
            <family val="2"/>
          </rPr>
          <t>علی رضایی:فرمول min</t>
        </r>
      </text>
    </comment>
    <comment ref="M8" authorId="0" shapeId="0" xr:uid="{9E7D6E77-A825-4DFE-BDC2-0540FD8DBF58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فرمول دارد</t>
        </r>
      </text>
    </comment>
    <comment ref="O8" authorId="0" shapeId="0" xr:uid="{B8E99800-9412-4C46-8C00-1EF1303A6E6F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180لیتر مغایرت در miv</t>
        </r>
      </text>
    </comment>
    <comment ref="M9" authorId="0" shapeId="0" xr:uid="{E9E8A8C0-F1F1-468C-B8FE-60D27E26652B}">
      <text>
        <r>
          <rPr>
            <b/>
            <sz val="9"/>
            <color indexed="81"/>
            <rFont val="Tahoma"/>
            <family val="2"/>
          </rPr>
          <t>فرمولmin</t>
        </r>
      </text>
    </comment>
    <comment ref="M10" authorId="0" shapeId="0" xr:uid="{B4D35F00-21D3-4AA8-A88D-7922251A351B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فرمولmin</t>
        </r>
      </text>
    </comment>
    <comment ref="M12" authorId="0" shapeId="0" xr:uid="{5A8ED943-5417-4F82-9CDB-B4DC9612A998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فرمولmin</t>
        </r>
      </text>
    </comment>
    <comment ref="M14" authorId="0" shapeId="0" xr:uid="{CB3AF95F-197B-4361-B3CE-3DD9F0BBE620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فرمولmin</t>
        </r>
      </text>
    </comment>
    <comment ref="M16" authorId="0" shapeId="0" xr:uid="{20CEDEF0-3F2D-4C74-8B74-EFA537E162F7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فرمول min لطاظ شده.</t>
        </r>
      </text>
    </comment>
    <comment ref="M17" authorId="0" shapeId="0" xr:uid="{8AD27963-68ED-4003-9BA1-FDF331700782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فرمولmin</t>
        </r>
      </text>
    </comment>
    <comment ref="O17" authorId="1" shapeId="0" xr:uid="{55369240-9154-4CE4-8137-F36FEBB9798B}">
      <text>
        <r>
          <rPr>
            <b/>
            <sz val="9"/>
            <color indexed="81"/>
            <rFont val="Tahoma"/>
            <family val="2"/>
          </rPr>
          <t>علیرضا 
مقدار اخرین سند کمتر از وافع لحاظ شد.</t>
        </r>
      </text>
    </comment>
    <comment ref="M18" authorId="0" shapeId="0" xr:uid="{B61841D1-E661-4DA5-80D4-A47766C38F48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فرمولmin لحاظ شده.</t>
        </r>
      </text>
    </comment>
    <comment ref="M19" authorId="0" shapeId="0" xr:uid="{D1067C8F-6944-4AF0-80E2-9A2AFCCD131A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فرمولmin</t>
        </r>
      </text>
    </comment>
    <comment ref="M20" authorId="0" shapeId="0" xr:uid="{C6542FB0-96D3-49B8-8F51-7C221DAFAA0F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فرمولmin</t>
        </r>
      </text>
    </comment>
    <comment ref="M23" authorId="0" shapeId="0" xr:uid="{12228AE3-F3BA-493C-8537-D5D9F858C992}">
      <text>
        <r>
          <rPr>
            <b/>
            <sz val="9"/>
            <color indexed="81"/>
            <rFont val="Tahoma"/>
            <family val="2"/>
          </rPr>
          <t>علی رضایی:فرمول دارد</t>
        </r>
      </text>
    </comment>
    <comment ref="K26" authorId="2" shapeId="0" xr:uid="{8F78F2E3-337C-42A5-A714-5BBEE7F9542E}">
      <text>
        <r>
          <rPr>
            <b/>
            <sz val="9"/>
            <color indexed="81"/>
            <rFont val="Tahoma"/>
            <family val="2"/>
          </rPr>
          <t>صفدر حسینی راد:</t>
        </r>
        <r>
          <rPr>
            <sz val="9"/>
            <color indexed="81"/>
            <rFont val="Tahoma"/>
            <family val="2"/>
          </rPr>
          <t xml:space="preserve">
مدارک ورودی و خروجی  بررسی شود مقدار ورودی و ورودی یکسان نیستند.</t>
        </r>
      </text>
    </comment>
    <comment ref="O41" authorId="0" shapeId="0" xr:uid="{FBB9D1BC-B437-4AE7-9CF5-E0D6B9ECA2ED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مقدار4664 لیتر باید تعیین و تکلیف گردد.</t>
        </r>
      </text>
    </comment>
    <comment ref="M43" authorId="0" shapeId="0" xr:uid="{5C76AE9F-926E-4E4E-A085-19081A2B2400}">
      <text>
        <r>
          <rPr>
            <b/>
            <sz val="9"/>
            <color indexed="81"/>
            <rFont val="Tahoma"/>
            <family val="2"/>
          </rPr>
          <t>موجودی فعلی 2080LITR</t>
        </r>
      </text>
    </comment>
    <comment ref="M44" authorId="0" shapeId="0" xr:uid="{F4A390E0-F27B-41B5-8269-B81678179190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فرمولmin</t>
        </r>
      </text>
    </comment>
    <comment ref="M45" authorId="0" shapeId="0" xr:uid="{CB275976-4E18-4645-92CB-7116F0C53E15}">
      <text>
        <r>
          <rPr>
            <b/>
            <sz val="9"/>
            <color indexed="81"/>
            <rFont val="Tahoma"/>
            <family val="2"/>
          </rPr>
          <t>فرمول minلحاظ شد</t>
        </r>
      </text>
    </comment>
    <comment ref="O50" authorId="0" shapeId="0" xr:uid="{34907900-6EFA-487F-9E86-9E79A268B0EC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در تاریخ 04/10/1403 مطابق نامه رسمی به شرکت آریا ساسول عودت و از موجودی کسر گردید.</t>
        </r>
      </text>
    </comment>
    <comment ref="M51" authorId="0" shapeId="0" xr:uid="{A8D2FF7C-A03C-491C-80C6-E92BDD5F3DED}">
      <text>
        <r>
          <rPr>
            <b/>
            <sz val="9"/>
            <color indexed="81"/>
            <rFont val="Tahoma"/>
            <family val="2"/>
          </rPr>
          <t>علی رضایی:موجودی فعلی 0</t>
        </r>
      </text>
    </comment>
    <comment ref="O53" authorId="0" shapeId="0" xr:uid="{F2E9E062-EB85-4E20-B9EA-FE9C036701FA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624 لیتر تعیین تکلیف گردد بدون MIV
</t>
        </r>
      </text>
    </comment>
    <comment ref="O54" authorId="0" shapeId="0" xr:uid="{F6E3ECA4-2037-41CC-8F17-938ACFCC8A50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376لیتر تعینن تکلیف گردد.</t>
        </r>
      </text>
    </comment>
    <comment ref="M55" authorId="0" shapeId="0" xr:uid="{1C9650E4-299A-4C81-8D5C-FB1688973F79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عدد208 لیتر دستی وارد شده است .
بدلیل عودت یک بشکه توسط تعمیرات 
که اعلام شده است که مقرر شد در قرنطینه نگهداری شود.
</t>
        </r>
      </text>
    </comment>
    <comment ref="M56" authorId="0" shapeId="0" xr:uid="{A6D65435-8489-47F0-BA61-B1882F932591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فرمول دارد</t>
        </r>
      </text>
    </comment>
    <comment ref="M57" authorId="0" shapeId="0" xr:uid="{492D040A-A907-4D02-9E15-98E7A11E748E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فرمولmin</t>
        </r>
      </text>
    </comment>
    <comment ref="M58" authorId="0" shapeId="0" xr:uid="{C31E16EE-1878-48AE-9D10-6A322A349D8C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فرمولmin</t>
        </r>
      </text>
    </comment>
    <comment ref="M59" authorId="0" shapeId="0" xr:uid="{0D31E080-E64F-47EB-8523-26E5F388AC68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فرمولmin</t>
        </r>
      </text>
    </comment>
    <comment ref="M63" authorId="0" shapeId="0" xr:uid="{9979B448-AC4E-4FB4-90B3-DF1A120C4795}">
      <text>
        <r>
          <rPr>
            <b/>
            <sz val="9"/>
            <color indexed="81"/>
            <rFont val="Tahoma"/>
            <family val="2"/>
          </rPr>
          <t>علی رضایی:فرمولmin</t>
        </r>
      </text>
    </comment>
    <comment ref="M66" authorId="0" shapeId="0" xr:uid="{4D133CB8-0F8F-43AE-B535-E39EB72B6959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فرمولmin</t>
        </r>
      </text>
    </comment>
    <comment ref="M68" authorId="0" shapeId="0" xr:uid="{08B3E8C8-D969-4687-B2E9-FF9E875648AD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فرمولmin</t>
        </r>
      </text>
    </comment>
    <comment ref="M69" authorId="0" shapeId="0" xr:uid="{AD769E13-15CB-4D03-9B52-BDAD380D331A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فرمول دارد</t>
        </r>
      </text>
    </comment>
    <comment ref="M70" authorId="0" shapeId="0" xr:uid="{D5903480-4A59-4014-BD7B-3256608A7DEF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فرمولmin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علی رضایی</author>
    <author>علیرضا همایونی</author>
  </authors>
  <commentList>
    <comment ref="E66" authorId="0" shapeId="0" xr:uid="{28003A3E-5B28-4E78-ABE7-4C52B513E51A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این MRS
بدلیل امانی بودن کالا جاری نشد.</t>
        </r>
      </text>
    </comment>
    <comment ref="H68" authorId="0" shapeId="0" xr:uid="{9300F193-79A4-4464-B44E-0FB8F8626A81}">
      <text>
        <r>
          <rPr>
            <b/>
            <sz val="9"/>
            <color indexed="81"/>
            <rFont val="Tahoma"/>
            <family val="2"/>
          </rPr>
          <t>امیرعباس محمدی زاده:</t>
        </r>
        <r>
          <rPr>
            <sz val="9"/>
            <color indexed="81"/>
            <rFont val="Tahoma"/>
            <family val="2"/>
          </rPr>
          <t xml:space="preserve">
مقدار 8 IBC TANK
وارد انبار مواد شیمیایی شد و مابقی یه سایت تزریق شد</t>
        </r>
      </text>
    </comment>
    <comment ref="H87" authorId="1" shapeId="0" xr:uid="{9B100BBC-70E1-41AB-B31B-0EBDA1088BDB}">
      <text>
        <r>
          <rPr>
            <b/>
            <sz val="9"/>
            <color indexed="81"/>
            <rFont val="Tahoma"/>
            <family val="2"/>
          </rPr>
          <t>علیرضا همایونی:</t>
        </r>
        <r>
          <rPr>
            <sz val="9"/>
            <color indexed="81"/>
            <rFont val="Tahoma"/>
            <family val="2"/>
          </rPr>
          <t xml:space="preserve">
در زمان انتقال به انبار شیمایی کالا تاریخ گذشته بود</t>
        </r>
      </text>
    </comment>
    <comment ref="H88" authorId="1" shapeId="0" xr:uid="{438CA5B9-4E59-42E1-AB26-586652CBBD18}">
      <text>
        <r>
          <rPr>
            <b/>
            <sz val="9"/>
            <color indexed="81"/>
            <rFont val="Tahoma"/>
            <family val="2"/>
          </rPr>
          <t>علیرضا همایونی:</t>
        </r>
        <r>
          <rPr>
            <sz val="9"/>
            <color indexed="81"/>
            <rFont val="Tahoma"/>
            <family val="2"/>
          </rPr>
          <t xml:space="preserve">
در زمان انتقال به انبار شیمایی کالا تاریخ گذشته بود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علی رضایی</author>
    <author>صفدر حسینی راد</author>
    <author>سید محمدرضا موسوی کراماتی</author>
  </authors>
  <commentList>
    <comment ref="N6" authorId="0" shapeId="0" xr:uid="{800F0ACD-8039-404C-9064-D9E9721940BA}">
      <text>
        <r>
          <rPr>
            <b/>
            <sz val="9"/>
            <color indexed="81"/>
            <rFont val="Tahoma"/>
            <family val="2"/>
          </rPr>
          <t>علی رضایی:فرمول min</t>
        </r>
      </text>
    </comment>
    <comment ref="N9" authorId="0" shapeId="0" xr:uid="{A7C1186B-D205-4AD0-9355-88DBFE02BB14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فرمولmin</t>
        </r>
      </text>
    </comment>
    <comment ref="N10" authorId="0" shapeId="0" xr:uid="{A400ABF1-0127-46E3-9914-7A74958BCA66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فرمولmin لحاظ شده.</t>
        </r>
      </text>
    </comment>
    <comment ref="N12" authorId="0" shapeId="0" xr:uid="{421C7C2A-80FB-4107-8EAD-4BCD1F12B279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فرمول min لطاظ شده.</t>
        </r>
      </text>
    </comment>
    <comment ref="N13" authorId="0" shapeId="0" xr:uid="{2BB2C0F8-75DA-430E-B04E-8397A96B64E8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فرمولmin</t>
        </r>
      </text>
    </comment>
    <comment ref="N14" authorId="0" shapeId="0" xr:uid="{4B2F5377-87CC-4ED5-9653-46CE5C544608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فرمولmin</t>
        </r>
      </text>
    </comment>
    <comment ref="N15" authorId="0" shapeId="0" xr:uid="{7FD57BA1-0DFE-4F87-BB8F-FC7553BD22C5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فرمولmin</t>
        </r>
      </text>
    </comment>
    <comment ref="N16" authorId="0" shapeId="0" xr:uid="{DE6C3AFD-D43B-47B3-AC2A-10B927EA6987}">
      <text>
        <r>
          <rPr>
            <b/>
            <sz val="9"/>
            <color indexed="81"/>
            <rFont val="Tahoma"/>
            <family val="2"/>
          </rPr>
          <t>فرمولmin</t>
        </r>
      </text>
    </comment>
    <comment ref="N17" authorId="0" shapeId="0" xr:uid="{6C2C4313-8FEA-4209-8D99-9CE0B3DA7B27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فرمولmin</t>
        </r>
      </text>
    </comment>
    <comment ref="Q18" authorId="0" shapeId="0" xr:uid="{40ABAAB8-471B-4BDA-9B0E-12CA24FB1992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180لیتر مغایرت در miv</t>
        </r>
      </text>
    </comment>
    <comment ref="N20" authorId="0" shapeId="0" xr:uid="{9F24EA64-8FC7-4DDE-A087-7826A36601C2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فرمولmin</t>
        </r>
      </text>
    </comment>
    <comment ref="N21" authorId="0" shapeId="0" xr:uid="{74A3C280-4197-40FB-B852-3CE6D49F4151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فرمولmin</t>
        </r>
      </text>
    </comment>
    <comment ref="Q21" authorId="0" shapeId="0" xr:uid="{DA4D0519-1871-4280-BCB2-A6C527CA13A3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موجودی بیش از سند رسیده به انبار است .
موجودی امروز 22/12/1403 برابر 416 لیتر در دو بشکه 
</t>
        </r>
      </text>
    </comment>
    <comment ref="L30" authorId="1" shapeId="0" xr:uid="{0F269764-45C2-45C2-A71F-8870178F335C}">
      <text>
        <r>
          <rPr>
            <b/>
            <sz val="9"/>
            <color indexed="81"/>
            <rFont val="Tahoma"/>
            <family val="2"/>
          </rPr>
          <t>صفدر حسینی راد:</t>
        </r>
        <r>
          <rPr>
            <sz val="9"/>
            <color indexed="81"/>
            <rFont val="Tahoma"/>
            <family val="2"/>
          </rPr>
          <t xml:space="preserve">
مدارک ورودی و خروجی  بررسی شود مقدار ورودی و ورودی یکسان نیستند.</t>
        </r>
      </text>
    </comment>
    <comment ref="N30" authorId="0" shapeId="0" xr:uid="{681E4F46-D570-491B-BD7D-E79CEF3CEAED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نیاز به بررسی دارد.</t>
        </r>
      </text>
    </comment>
    <comment ref="Q45" authorId="0" shapeId="0" xr:uid="{27FADB1E-62C2-414C-A17D-31C16F8FCE50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مقدار4664 لیتر باید تعیین و تکلیف گردد.</t>
        </r>
      </text>
    </comment>
    <comment ref="Q65" authorId="1" shapeId="0" xr:uid="{D67FAA41-532E-4B12-BF39-07A2EC4A2FC5}">
      <text>
        <r>
          <rPr>
            <b/>
            <sz val="9"/>
            <color indexed="81"/>
            <rFont val="Tahoma"/>
            <family val="2"/>
          </rPr>
          <t>صفدر حسینی راد:</t>
        </r>
        <r>
          <rPr>
            <sz val="9"/>
            <color indexed="81"/>
            <rFont val="Tahoma"/>
            <family val="2"/>
          </rPr>
          <t xml:space="preserve">
موجودی صفر است برالی الباقی miv صادر شود.</t>
        </r>
      </text>
    </comment>
    <comment ref="N68" authorId="0" shapeId="0" xr:uid="{A0243466-F418-4ABA-863C-999B99B51043}">
      <text>
        <r>
          <rPr>
            <b/>
            <sz val="9"/>
            <color indexed="81"/>
            <rFont val="Tahoma"/>
            <family val="2"/>
          </rPr>
          <t>موجودی فعلی 2080LITR</t>
        </r>
      </text>
    </comment>
    <comment ref="N73" authorId="0" shapeId="0" xr:uid="{AE6AC676-0BBE-4F44-8479-003FB5B4AFDF}">
      <text>
        <r>
          <rPr>
            <b/>
            <sz val="9"/>
            <color indexed="81"/>
            <rFont val="Tahoma"/>
            <family val="2"/>
          </rPr>
          <t>فرمول minلحاظ شد</t>
        </r>
      </text>
    </comment>
    <comment ref="N74" authorId="0" shapeId="0" xr:uid="{6B9A8467-656A-4CF9-B986-83E059707B4B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فرمولmin</t>
        </r>
      </text>
    </comment>
    <comment ref="Q82" authorId="0" shapeId="0" xr:uid="{586A492A-91FE-4F13-B375-F680826D787C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در تاریخ 04/10/1403 مطابق نامه رسمی به شرکت آریا ساسول عودت و از موجودی کسر گردید.</t>
        </r>
      </text>
    </comment>
    <comment ref="N92" authorId="0" shapeId="0" xr:uid="{A65E5FC3-6AFC-489E-99BD-D83B898B8A83}">
      <text>
        <r>
          <rPr>
            <b/>
            <sz val="9"/>
            <color indexed="81"/>
            <rFont val="Tahoma"/>
            <family val="2"/>
          </rPr>
          <t>علی رضایی:موجودی فعلی 0</t>
        </r>
      </text>
    </comment>
    <comment ref="Q96" authorId="0" shapeId="0" xr:uid="{B6AB7472-8BD6-422E-B501-BC900CC8528B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624 لیتر تعیین تکلیف گردد بدون MIV
</t>
        </r>
      </text>
    </comment>
    <comment ref="Q99" authorId="0" shapeId="0" xr:uid="{D0A60131-E9E0-4C48-9B24-42D07A10B9CB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376لیتر تعینن تکلیف گردد.</t>
        </r>
      </text>
    </comment>
    <comment ref="N114" authorId="0" shapeId="0" xr:uid="{2886E840-B1A6-470E-9588-6DD9D3E4CDE3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عدد208 لیتر دستی وارد شده است .
بدلیل عودت یک بشکه توسط تعمیرات 
که اعلام شده است که مقرر شد در قرنطینه نگهداری شود.
</t>
        </r>
      </text>
    </comment>
    <comment ref="N137" authorId="0" shapeId="0" xr:uid="{278C04A4-182C-4597-9B8F-BE9D23F65D9A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فرمولmin</t>
        </r>
      </text>
    </comment>
    <comment ref="N139" authorId="0" shapeId="0" xr:uid="{1BC276A3-E168-4EFE-A4FB-3A3AD24DE2E5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فرمولmin</t>
        </r>
      </text>
    </comment>
    <comment ref="N140" authorId="0" shapeId="0" xr:uid="{4B4971DF-C150-4586-AAB8-18213EBFDC81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فرمولmin</t>
        </r>
      </text>
    </comment>
    <comment ref="Q140" authorId="0" shapeId="0" xr:uid="{A436E57E-E725-4266-845A-276505431A64}">
      <text>
        <r>
          <rPr>
            <b/>
            <sz val="9"/>
            <color indexed="81"/>
            <rFont val="Tahoma"/>
            <family val="2"/>
          </rPr>
          <t>208لیتر بعلاوه 67 لیتر تعیین و تکلیف گردد.</t>
        </r>
      </text>
    </comment>
    <comment ref="N161" authorId="0" shapeId="0" xr:uid="{7B2EDA7F-2C62-4926-B7E5-F4C8303D3EF8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فرمولmin</t>
        </r>
      </text>
    </comment>
    <comment ref="N170" authorId="0" shapeId="0" xr:uid="{19DA0894-F26B-4B8E-9445-1DFA4B14FF20}">
      <text>
        <r>
          <rPr>
            <b/>
            <sz val="9"/>
            <color indexed="81"/>
            <rFont val="Tahoma"/>
            <family val="2"/>
          </rPr>
          <t>علی رضایی:فرمولmin</t>
        </r>
      </text>
    </comment>
    <comment ref="N176" authorId="0" shapeId="0" xr:uid="{D314951B-B5C4-40DB-9A39-FEBF6C3000C8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فرمولmin</t>
        </r>
      </text>
    </comment>
    <comment ref="N179" authorId="0" shapeId="0" xr:uid="{8513B8EB-BF4C-4F65-AA3A-834EA0966F95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فرمولmin</t>
        </r>
      </text>
    </comment>
    <comment ref="F184" authorId="0" shapeId="0" xr:uid="{DFAC71AD-5E9B-4DE2-B415-7EEBE7A8E6FF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این MRS
بدلیل امانی بودن کالا جاری نشد.</t>
        </r>
      </text>
    </comment>
    <comment ref="N193" authorId="0" shapeId="0" xr:uid="{75968E8B-BEE9-446F-AB1A-6EC4856953C7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فرمولmin</t>
        </r>
      </text>
    </comment>
    <comment ref="F194" authorId="0" shapeId="0" xr:uid="{B566EEBC-573B-4F80-8E8B-41D47A84AA51}">
      <text>
        <r>
          <rPr>
            <b/>
            <sz val="9"/>
            <color indexed="81"/>
            <rFont val="Tahoma"/>
            <family val="2"/>
          </rPr>
          <t>امیرعباس محمدی زاده:
منتظر دستور واحد متقاضی جهت زدن سند MRS</t>
        </r>
      </text>
    </comment>
    <comment ref="I194" authorId="0" shapeId="0" xr:uid="{37B373DC-95A1-4B82-B6EF-30E7F488D3AF}">
      <text>
        <r>
          <rPr>
            <b/>
            <sz val="9"/>
            <color indexed="81"/>
            <rFont val="Tahoma"/>
            <family val="2"/>
          </rPr>
          <t>امیرعباس محمدی زاده:</t>
        </r>
        <r>
          <rPr>
            <sz val="9"/>
            <color indexed="81"/>
            <rFont val="Tahoma"/>
            <family val="2"/>
          </rPr>
          <t xml:space="preserve">
مقدار 8 IBC TANK
وارد انبار مواد شیمیایی شد و مابقی یه سایت تزریق شد</t>
        </r>
      </text>
    </comment>
    <comment ref="O197" authorId="0" shapeId="0" xr:uid="{761DD09D-DF7F-452F-A04D-075A2F87D9E6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بشکه</t>
        </r>
      </text>
    </comment>
    <comment ref="O198" authorId="0" shapeId="0" xr:uid="{E195C841-3C49-4BDD-BCFE-4043E2BD17DA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بشکه</t>
        </r>
      </text>
    </comment>
    <comment ref="O199" authorId="0" shapeId="0" xr:uid="{97C1FE95-C9DA-47AE-AE70-97E85103CB11}">
      <text>
        <r>
          <rPr>
            <b/>
            <sz val="9"/>
            <color indexed="81"/>
            <rFont val="Tahoma"/>
            <family val="2"/>
          </rPr>
          <t>علی رضایی:</t>
        </r>
        <r>
          <rPr>
            <sz val="9"/>
            <color indexed="81"/>
            <rFont val="Tahoma"/>
            <family val="2"/>
          </rPr>
          <t xml:space="preserve">
بشکه</t>
        </r>
      </text>
    </comment>
    <comment ref="O200" authorId="2" shapeId="0" xr:uid="{8BF638C2-D190-4844-9E86-EA890FD4F17E}">
      <text>
        <r>
          <rPr>
            <b/>
            <sz val="9"/>
            <color indexed="81"/>
            <rFont val="Tahoma"/>
            <family val="2"/>
          </rPr>
          <t>امیرعباس محمدی زاده:
بشکه</t>
        </r>
      </text>
    </comment>
  </commentList>
</comments>
</file>

<file path=xl/sharedStrings.xml><?xml version="1.0" encoding="utf-8"?>
<sst xmlns="http://schemas.openxmlformats.org/spreadsheetml/2006/main" count="5002" uniqueCount="1246">
  <si>
    <t>ROW</t>
  </si>
  <si>
    <t>PACKING NO.</t>
  </si>
  <si>
    <t>PO  NO.</t>
  </si>
  <si>
    <t>MRS NO</t>
  </si>
  <si>
    <t>DESCRIPTION</t>
  </si>
  <si>
    <t>QTY
RECIVED</t>
  </si>
  <si>
    <t>UNT</t>
  </si>
  <si>
    <t>INVENTORY</t>
  </si>
  <si>
    <t>DATE RECIVED</t>
  </si>
  <si>
    <t>QTY 
ISSUED</t>
  </si>
  <si>
    <t>DATE .ISSUED</t>
  </si>
  <si>
    <t>MIV.  NO</t>
  </si>
  <si>
    <t>تحویل گیرنده</t>
  </si>
  <si>
    <t>WH-ME-121</t>
  </si>
  <si>
    <t>1402-493</t>
  </si>
  <si>
    <t>J-88-PR-MRQ-2610-0009-4</t>
  </si>
  <si>
    <t xml:space="preserve">شرکت کیمیا لوتوس شیمی </t>
  </si>
  <si>
    <t>Kg</t>
  </si>
  <si>
    <t>1402/10/15</t>
  </si>
  <si>
    <t>1402/12/20</t>
  </si>
  <si>
    <t>WH-ME-421</t>
  </si>
  <si>
    <t>Commissioning</t>
  </si>
  <si>
    <t>EXIR</t>
  </si>
  <si>
    <t>1402/11/16*1403/02/31</t>
  </si>
  <si>
    <t>WH-ME-371/624</t>
  </si>
  <si>
    <t xml:space="preserve">PJPC </t>
  </si>
  <si>
    <t>1402/11/16</t>
  </si>
  <si>
    <t>WH-ME-371</t>
  </si>
  <si>
    <t>WH-ME-129</t>
  </si>
  <si>
    <t>1402-521</t>
  </si>
  <si>
    <t>KG</t>
  </si>
  <si>
    <t>1402/11/18</t>
  </si>
  <si>
    <t>1402/11/23*12/20</t>
  </si>
  <si>
    <t>WH-ME-379/421</t>
  </si>
  <si>
    <t>WH-ME-134</t>
  </si>
  <si>
    <t>1402-541</t>
  </si>
  <si>
    <t>1402/12/05</t>
  </si>
  <si>
    <t>1402/12/12*12/14*1403/02/31</t>
  </si>
  <si>
    <t>WH-ME-410/415/624</t>
  </si>
  <si>
    <t>Commissioning/PJPC</t>
  </si>
  <si>
    <t>1402/12/20*1403/02/18*02/31</t>
  </si>
  <si>
    <t>WH-ME-421/590/624</t>
  </si>
  <si>
    <t>EXIR/PJPC</t>
  </si>
  <si>
    <t>1402/12/12</t>
  </si>
  <si>
    <t>WH-ME-410-415</t>
  </si>
  <si>
    <t>WH-ME-135</t>
  </si>
  <si>
    <t>1402-542</t>
  </si>
  <si>
    <t>1402/12/09</t>
  </si>
  <si>
    <t>WH-ME-139</t>
  </si>
  <si>
    <t xml:space="preserve"> مقدار 1 بشکه 125 کیلو گرمی </t>
  </si>
  <si>
    <t>1403/02/31</t>
  </si>
  <si>
    <t>WH-ME-624</t>
  </si>
  <si>
    <t>PJPC</t>
  </si>
  <si>
    <t xml:space="preserve">مقدار 2 بشکه 200 کیلو گرمی </t>
  </si>
  <si>
    <t xml:space="preserve">شرکت فرسا شیمی </t>
  </si>
  <si>
    <t>J-88-PR-MRQ-2610-0002-4</t>
  </si>
  <si>
    <t>WH-CH-001</t>
  </si>
  <si>
    <t>1402/12/26</t>
  </si>
  <si>
    <t>Anhydrous Ammonia</t>
  </si>
  <si>
    <t>1403/02/21</t>
  </si>
  <si>
    <t>شرکت پتروشیمی شیراز</t>
  </si>
  <si>
    <t>WH-CH-002-01</t>
  </si>
  <si>
    <t>WH-CH-002-02</t>
  </si>
  <si>
    <t>Ethyl Benzen</t>
  </si>
  <si>
    <t>J-88-PR-MRQ-2610-0015-0</t>
  </si>
  <si>
    <t>شرکت پتروشیمی پارس</t>
  </si>
  <si>
    <t>WH-CH-003</t>
  </si>
  <si>
    <t>1403/02/27</t>
  </si>
  <si>
    <t>LIT</t>
  </si>
  <si>
    <t xml:space="preserve">معادل 1800 بشکه </t>
  </si>
  <si>
    <t xml:space="preserve">شرکت نفت بهران </t>
  </si>
  <si>
    <t>WH-CH-004</t>
  </si>
  <si>
    <t>WH-CH-005</t>
  </si>
  <si>
    <t>1402/03/07</t>
  </si>
  <si>
    <t>1403/02/27~ 1403/03/01</t>
  </si>
  <si>
    <t>شرکت نفت بهران</t>
  </si>
  <si>
    <t>WH-CH-006</t>
  </si>
  <si>
    <t>1402/03/17</t>
  </si>
  <si>
    <t>930&amp;935</t>
  </si>
  <si>
    <t>تنخواهی 2447</t>
  </si>
  <si>
    <t>بازرگانی محمودی</t>
  </si>
  <si>
    <t>WH-CH-007</t>
  </si>
  <si>
    <t>1402/03/21</t>
  </si>
  <si>
    <t>1402/03/23</t>
  </si>
  <si>
    <t>WH-CH-008</t>
  </si>
  <si>
    <t>تنخواهی 2461</t>
  </si>
  <si>
    <t>WH-CH-009</t>
  </si>
  <si>
    <t>1402/03/13</t>
  </si>
  <si>
    <t xml:space="preserve">تعداد 7 بشکه  200 کیلو گرمی 
تعداد 1 بشکه  100 کیلو گرمی </t>
  </si>
  <si>
    <t xml:space="preserve">تعداد 5 بشکه  200 کیلو گرمی 
</t>
  </si>
  <si>
    <t>WH-CH-012</t>
  </si>
  <si>
    <t>1403-654/1403-655</t>
  </si>
  <si>
    <t>PPJP-030051</t>
  </si>
  <si>
    <t>WH-CH-013</t>
  </si>
  <si>
    <t>OIL INO</t>
  </si>
  <si>
    <t xml:space="preserve">تعداد 10 بشکه 
</t>
  </si>
  <si>
    <t>WH-CH-011</t>
  </si>
  <si>
    <t>WH-CH-010</t>
  </si>
  <si>
    <t>1403-656</t>
  </si>
  <si>
    <t xml:space="preserve">تعداد 1 بشکه  200 کیلو گرمی 
تعداد 1 بشکه  100 کیلو گرمی </t>
  </si>
  <si>
    <t xml:space="preserve">تعداد 6 بشکه  200 کیلو گرمی </t>
  </si>
  <si>
    <t>WH-CH-014</t>
  </si>
  <si>
    <t xml:space="preserve">شرکت اهتمام جم </t>
  </si>
  <si>
    <t>ROLL</t>
  </si>
  <si>
    <t>1403/03/21</t>
  </si>
  <si>
    <t>1403/03/29</t>
  </si>
  <si>
    <t xml:space="preserve">پتروشیمی آریا ساسول </t>
  </si>
  <si>
    <t xml:space="preserve">تعداد 2 بشکه  208 کیلو گرمی </t>
  </si>
  <si>
    <t>INWH-FO-001</t>
  </si>
  <si>
    <t>1403/03/27</t>
  </si>
  <si>
    <t>WH-CH-015</t>
  </si>
  <si>
    <t xml:space="preserve">پتروشیمی تخت جمشید </t>
  </si>
  <si>
    <t xml:space="preserve"> GPPS پلی استایرن</t>
  </si>
  <si>
    <t>1403/03/26</t>
  </si>
  <si>
    <t>1403/03/30</t>
  </si>
  <si>
    <t>1403/03/24</t>
  </si>
  <si>
    <t>شرکت پتروشیمی جم</t>
  </si>
  <si>
    <t>TBC-4 Tert-Butylcatechol</t>
  </si>
  <si>
    <t>WH-CH-016</t>
  </si>
  <si>
    <t>1402/04/03</t>
  </si>
  <si>
    <t>تنخواهی 2466</t>
  </si>
  <si>
    <t>WH-CH-017</t>
  </si>
  <si>
    <t>1403/04/07</t>
  </si>
  <si>
    <t>1403/03/22</t>
  </si>
  <si>
    <t>1403/04/11</t>
  </si>
  <si>
    <t>شرکت پتروشیمی تبریز</t>
  </si>
  <si>
    <t xml:space="preserve">OPTICAL BLEACH </t>
  </si>
  <si>
    <t>ZINC STEARATE</t>
  </si>
  <si>
    <t>1403/02/16</t>
  </si>
  <si>
    <t>WH-CH-018</t>
  </si>
  <si>
    <t>WH-CH-019</t>
  </si>
  <si>
    <t>IBC TANK  1000 KG</t>
  </si>
  <si>
    <t>PPJP-030067</t>
  </si>
  <si>
    <t>NO</t>
  </si>
  <si>
    <t>WH-CH-020</t>
  </si>
  <si>
    <t xml:space="preserve">فروشگاه محمدی </t>
  </si>
  <si>
    <t>1403/03/07</t>
  </si>
  <si>
    <t>PJPC COMMISSIONING</t>
  </si>
  <si>
    <t>WH-ME-419-432-507-WH-CH-004</t>
  </si>
  <si>
    <t>1402/12/16*1403/01/05*01/13*02/01*04/11</t>
  </si>
  <si>
    <t xml:space="preserve">EXIR/PJPC </t>
  </si>
  <si>
    <t>WH-ME-383/411- WH-CH-004</t>
  </si>
  <si>
    <t>1402/11/27*12/13*1403/04/11</t>
  </si>
  <si>
    <t>WH-ME-410-415/WH-CH-004</t>
  </si>
  <si>
    <t>1402/12/12*12/14*1403/04/11</t>
  </si>
  <si>
    <t>1403/03/19</t>
  </si>
  <si>
    <t>WH-ME-706/WH-CH-001</t>
  </si>
  <si>
    <t>1403/03/27*03/19</t>
  </si>
  <si>
    <t>WH-ME-725</t>
  </si>
  <si>
    <t>WH-CH-012-1</t>
  </si>
  <si>
    <t>PPJP-030122</t>
  </si>
  <si>
    <t>1403-655</t>
  </si>
  <si>
    <t>ME-326-419-432+507-590/CH-004/007</t>
  </si>
  <si>
    <t>1402/10/17-12/16*1403/01/13*02/01*02/18*04/11*04/17</t>
  </si>
  <si>
    <t>1403/04/18</t>
  </si>
  <si>
    <t>WH-ME-735</t>
  </si>
  <si>
    <t>1403/04/14</t>
  </si>
  <si>
    <t>1403/04/28</t>
  </si>
  <si>
    <t>PCS</t>
  </si>
  <si>
    <t>رول فیلم SHRINNK</t>
  </si>
  <si>
    <t>1403/04/02</t>
  </si>
  <si>
    <t>1403/04/24</t>
  </si>
  <si>
    <t>LO-201</t>
  </si>
  <si>
    <t>LO-103</t>
  </si>
  <si>
    <t>LO-103*</t>
  </si>
  <si>
    <t>LO-403</t>
  </si>
  <si>
    <t>LO-403-PL</t>
  </si>
  <si>
    <t>LO-204</t>
  </si>
  <si>
    <t xml:space="preserve"> LO-301</t>
  </si>
  <si>
    <t>Ammonia</t>
  </si>
  <si>
    <t>TBC-4</t>
  </si>
  <si>
    <t xml:space="preserve"> GPPS</t>
  </si>
  <si>
    <t>1403/04/29</t>
  </si>
  <si>
    <t>WH-CH-022</t>
  </si>
  <si>
    <t>WH-CH-023</t>
  </si>
  <si>
    <t>WH-CH-024</t>
  </si>
  <si>
    <t>WH-CH-025</t>
  </si>
  <si>
    <t>WH-CH-021</t>
  </si>
  <si>
    <t>WH-CH-026</t>
  </si>
  <si>
    <t>1403/05/02</t>
  </si>
  <si>
    <t>WH-CH-027</t>
  </si>
  <si>
    <t xml:space="preserve">تعداد 4 بشکه  200 کیلو گرمی </t>
  </si>
  <si>
    <t xml:space="preserve">تعداد 15 بشکه  200 کیلو گرمی </t>
  </si>
  <si>
    <t xml:space="preserve">تعداد 1 بشکه  173 کیلو گرمی تعداد 1 بشکه  187 کیلو گرمی تعداد 6 بشکه  240 کیلو گرمی  </t>
  </si>
  <si>
    <t xml:space="preserve">تعداد 22 بشکه  45 کیلو گرمی </t>
  </si>
  <si>
    <t>1403/05/21</t>
  </si>
  <si>
    <t>شرکت دینا پلاست</t>
  </si>
  <si>
    <t>رول فیلم نمونه استرچ</t>
  </si>
  <si>
    <t>MIV</t>
  </si>
  <si>
    <t>BALLANCING</t>
  </si>
  <si>
    <t>PACKING INFORMATION</t>
  </si>
  <si>
    <t>DATE</t>
  </si>
  <si>
    <t>PPJP-030121</t>
  </si>
  <si>
    <t>PPJP-030124</t>
  </si>
  <si>
    <t>1403/06/08</t>
  </si>
  <si>
    <t>بهره برداری</t>
  </si>
  <si>
    <t>1403/04/08</t>
  </si>
  <si>
    <t>WH-CH-028</t>
  </si>
  <si>
    <t>1403/02/09</t>
  </si>
  <si>
    <t>WH-CH-029</t>
  </si>
  <si>
    <t>نوین بافت ستاره آذربایجان</t>
  </si>
  <si>
    <t>1403/05/30</t>
  </si>
  <si>
    <t>1403/06/20</t>
  </si>
  <si>
    <t>WH-CH-030</t>
  </si>
  <si>
    <t>1403/05/06*05/17*05/24</t>
  </si>
  <si>
    <t>WH-CH-013/015/017</t>
  </si>
  <si>
    <t>WH-CH-031</t>
  </si>
  <si>
    <t>WH-CH-032</t>
  </si>
  <si>
    <t>1403/06/26</t>
  </si>
  <si>
    <t>11426 کیلوگرم</t>
  </si>
  <si>
    <t>1403/07/01</t>
  </si>
  <si>
    <t>WH-CH-033</t>
  </si>
  <si>
    <t>1403/07/02</t>
  </si>
  <si>
    <t>1403/07/05</t>
  </si>
  <si>
    <t>1403/07/03</t>
  </si>
  <si>
    <t>WH-CH-034-1</t>
  </si>
  <si>
    <t>شرکت نوین بافت ستاره آذربایجان</t>
  </si>
  <si>
    <t>جامبوبگ 1000 کیلو گرمی</t>
  </si>
  <si>
    <t>1403/07/08</t>
  </si>
  <si>
    <t>WH-CH-034</t>
  </si>
  <si>
    <t>PPJP-030182</t>
  </si>
  <si>
    <t>ENERGY 8503 PLUS</t>
  </si>
  <si>
    <t>1403/07/07</t>
  </si>
  <si>
    <t>شرکت شیمیایی انرژی سمنان</t>
  </si>
  <si>
    <t>ENERGY 262</t>
  </si>
  <si>
    <t>ENERGY 273 I</t>
  </si>
  <si>
    <t>1402/03/24&amp;29*</t>
  </si>
  <si>
    <t>WH-CH-035</t>
  </si>
  <si>
    <t>1403/05/11</t>
  </si>
  <si>
    <t>PPJP-030046</t>
  </si>
  <si>
    <t>1403/07/23*06/14</t>
  </si>
  <si>
    <t>WH-CH-027/WH-ME-791</t>
  </si>
  <si>
    <t>1403/06/11</t>
  </si>
  <si>
    <t>WH-ME-778</t>
  </si>
  <si>
    <t>1403/03/19*06/11</t>
  </si>
  <si>
    <t>WH-CH-001/ME-778</t>
  </si>
  <si>
    <t>1403/07/16</t>
  </si>
  <si>
    <t>1403/07/17</t>
  </si>
  <si>
    <t>COMMISSIONING</t>
  </si>
  <si>
    <t>ok</t>
  </si>
  <si>
    <t xml:space="preserve">شرکت پتروشیمی جم </t>
  </si>
  <si>
    <t>1403/06/07</t>
  </si>
  <si>
    <t>1403/06/12</t>
  </si>
  <si>
    <t>1403/07/09</t>
  </si>
  <si>
    <t>WH-CH-037</t>
  </si>
  <si>
    <t>کیسه سه لایه FFS  PJPC-GPPS</t>
  </si>
  <si>
    <t>1403/07/25</t>
  </si>
  <si>
    <t>WH-ME-859</t>
  </si>
  <si>
    <t>WH-CH-004*015</t>
  </si>
  <si>
    <t>1403/04/11*04/18*05/17*</t>
  </si>
  <si>
    <t>1403/05/23</t>
  </si>
  <si>
    <t>شرکت اهتمام جم</t>
  </si>
  <si>
    <t>WH-CH-039-1</t>
  </si>
  <si>
    <t>WH-CH-039</t>
  </si>
  <si>
    <t>1403/07/23</t>
  </si>
  <si>
    <t>WH-CH-038</t>
  </si>
  <si>
    <t>PPJP-030362</t>
  </si>
  <si>
    <t>1403/07/27</t>
  </si>
  <si>
    <t>1403/07/26</t>
  </si>
  <si>
    <t>1403/07/30</t>
  </si>
  <si>
    <t>WH-CH-040</t>
  </si>
  <si>
    <t>شرکت فرسا شیمی</t>
  </si>
  <si>
    <t>WH-CH-039-2</t>
  </si>
  <si>
    <t>1403/08/01</t>
  </si>
  <si>
    <t>WH-CH-036</t>
  </si>
  <si>
    <t>1403/08/05</t>
  </si>
  <si>
    <t>WH-CH-039-3</t>
  </si>
  <si>
    <t>WH-CH-021*033</t>
  </si>
  <si>
    <t>1403/06/08*07/30*</t>
  </si>
  <si>
    <t>واحد بسته بندی</t>
  </si>
  <si>
    <t>1403/06/08*07/30</t>
  </si>
  <si>
    <t>1403/08/06</t>
  </si>
  <si>
    <t>بررسی</t>
  </si>
  <si>
    <t>nis</t>
  </si>
  <si>
    <t>WH-CH-038-1</t>
  </si>
  <si>
    <t>1403/08/07</t>
  </si>
  <si>
    <t>WH-ME-064</t>
  </si>
  <si>
    <t xml:space="preserve">بازرگانی محمودی </t>
  </si>
  <si>
    <t>LT</t>
  </si>
  <si>
    <t>1401/10/07</t>
  </si>
  <si>
    <t>1401/11/26</t>
  </si>
  <si>
    <t>WH-ME-176</t>
  </si>
  <si>
    <t>WH-ME-077</t>
  </si>
  <si>
    <t>بازرگانی افسری</t>
  </si>
  <si>
    <t>1401/12/13</t>
  </si>
  <si>
    <t>1401/12/15</t>
  </si>
  <si>
    <t>WH-ME-185</t>
  </si>
  <si>
    <t>WH-ME-088</t>
  </si>
  <si>
    <t xml:space="preserve">فروشگاه روغن سهیل </t>
  </si>
  <si>
    <t>Lit</t>
  </si>
  <si>
    <t>1402/04/08</t>
  </si>
  <si>
    <t>1402/04/26*12/13</t>
  </si>
  <si>
    <t>WH-ME-226-414</t>
  </si>
  <si>
    <t>1402/05/22</t>
  </si>
  <si>
    <t>WH-ME-235</t>
  </si>
  <si>
    <t>WH-ME-090</t>
  </si>
  <si>
    <t>1402/04/15</t>
  </si>
  <si>
    <t>WH-ME-137</t>
  </si>
  <si>
    <t>1402/12/17</t>
  </si>
  <si>
    <t>WH-ME-169</t>
  </si>
  <si>
    <t>1403/02/26</t>
  </si>
  <si>
    <t>WH-ME-170</t>
  </si>
  <si>
    <t>WH-ME-199-02</t>
  </si>
  <si>
    <t>بازرگانی مجمودی</t>
  </si>
  <si>
    <t>Mobil OIL SHC 634</t>
  </si>
  <si>
    <t>1403/03/08</t>
  </si>
  <si>
    <t>Mobil OIL DTE 10 Excel 46</t>
  </si>
  <si>
    <t>WH-ME-209</t>
  </si>
  <si>
    <t xml:space="preserve">بازرگانی کیان پارس </t>
  </si>
  <si>
    <t>3 بشکه 208 لیتری</t>
  </si>
  <si>
    <t>1403/04/10</t>
  </si>
  <si>
    <t>WH-ME-221</t>
  </si>
  <si>
    <t>WH-ME-229</t>
  </si>
  <si>
    <t>شرکت تامین روانکار دایان</t>
  </si>
  <si>
    <t>1403/06/29</t>
  </si>
  <si>
    <t>1403/07/29</t>
  </si>
  <si>
    <t>WH-ME-239</t>
  </si>
  <si>
    <t>بشکه</t>
  </si>
  <si>
    <t>1403/08/03</t>
  </si>
  <si>
    <t>WH-ME-241</t>
  </si>
  <si>
    <t>شرکت بازرگانی روغن کار ناظم</t>
  </si>
  <si>
    <t>OIL</t>
  </si>
  <si>
    <t>SMALL .DIS</t>
  </si>
  <si>
    <t>بسته بندی</t>
  </si>
  <si>
    <t>CHEMICAL</t>
  </si>
  <si>
    <t>81 بشکه</t>
  </si>
  <si>
    <t xml:space="preserve">7 بشکه </t>
  </si>
  <si>
    <t>MECHANICAL</t>
  </si>
  <si>
    <t>1403/08/12</t>
  </si>
  <si>
    <t>WH-CH-045</t>
  </si>
  <si>
    <t>WH-CH-038-2</t>
  </si>
  <si>
    <t>1403/04/18*08/12</t>
  </si>
  <si>
    <t>WH-ME-735*CH-044</t>
  </si>
  <si>
    <t>1403/07/17*08/14</t>
  </si>
  <si>
    <t>WH-CH-031/047</t>
  </si>
  <si>
    <t>1403/07/30*08/15</t>
  </si>
  <si>
    <t>WH-CH-034-048</t>
  </si>
  <si>
    <t>1403/08/17</t>
  </si>
  <si>
    <t>WH-CH-039-4</t>
  </si>
  <si>
    <t>1403/08/18</t>
  </si>
  <si>
    <t>WH-CH-038-3</t>
  </si>
  <si>
    <t>WH-CH-038-4</t>
  </si>
  <si>
    <t>1403/08/19</t>
  </si>
  <si>
    <t>WH-CH-039-5</t>
  </si>
  <si>
    <t>EXIR-MEH-001</t>
  </si>
  <si>
    <t>PJPC-1400-76</t>
  </si>
  <si>
    <t>PJPC-EXIR-MEC-015</t>
  </si>
  <si>
    <t>1402/11/25</t>
  </si>
  <si>
    <t>1403/02/29*04/07</t>
  </si>
  <si>
    <t>WH-ME-620/725</t>
  </si>
  <si>
    <t>OPI-ME-126</t>
  </si>
  <si>
    <t>4 بشکه 80 لیتری</t>
  </si>
  <si>
    <t>1403/04/01</t>
  </si>
  <si>
    <t>OPI-ME-127</t>
  </si>
  <si>
    <t>1403*01/23</t>
  </si>
  <si>
    <t>WH-ME-449</t>
  </si>
  <si>
    <t>WH-ME-691</t>
  </si>
  <si>
    <t>Alphasyn GS 220 - Oil</t>
  </si>
  <si>
    <t>1403/02/10*02/26</t>
  </si>
  <si>
    <t>WH-ME-553-613</t>
  </si>
  <si>
    <t>1403/02/10</t>
  </si>
  <si>
    <t>WH-ME-555</t>
  </si>
  <si>
    <t>1403/02/06</t>
  </si>
  <si>
    <t>WH-ME-534</t>
  </si>
  <si>
    <t>1403/01/23</t>
  </si>
  <si>
    <t>7000</t>
  </si>
  <si>
    <t>1200</t>
  </si>
  <si>
    <t>28 بشکه 250 کلیوگرمی</t>
  </si>
  <si>
    <t>6 بشکه 200 کلیوگرمی</t>
  </si>
  <si>
    <t>60 گالن 25 کیلوگرمی</t>
  </si>
  <si>
    <t>12 بشکه 250 کلیوگرمی</t>
  </si>
  <si>
    <t>شرکت انرژی شیمیایی سمنان</t>
  </si>
  <si>
    <t>WH-CH-042</t>
  </si>
  <si>
    <t>PPJPC-1403-119</t>
  </si>
  <si>
    <t xml:space="preserve">واحد یوتیلیتی </t>
  </si>
  <si>
    <t>1403/05/15*06/10*06/21*05/24*07/17*08/22*</t>
  </si>
  <si>
    <t>WH-CH-014/023/025/017/031/050</t>
  </si>
  <si>
    <t>1403/08/23</t>
  </si>
  <si>
    <t>WH-CH-054</t>
  </si>
  <si>
    <t>WH-CH-053</t>
  </si>
  <si>
    <t>WH-CH-052</t>
  </si>
  <si>
    <t>WH-CH-055</t>
  </si>
  <si>
    <t>AGIP</t>
  </si>
  <si>
    <t>BEHRAN</t>
  </si>
  <si>
    <t>SHELL</t>
  </si>
  <si>
    <t>MOBIL</t>
  </si>
  <si>
    <t>MINERAL</t>
  </si>
  <si>
    <t>PETROFRE</t>
  </si>
  <si>
    <t>SUPLYER</t>
  </si>
  <si>
    <t>VENDOR/ITEM CODE</t>
  </si>
  <si>
    <t>WH-ME-124</t>
  </si>
  <si>
    <t>Devin Machine Co</t>
  </si>
  <si>
    <t>1402/09/14</t>
  </si>
  <si>
    <t>WH-ME-167</t>
  </si>
  <si>
    <t>Voltronic</t>
  </si>
  <si>
    <t>PJPC-EXIR-MEC-034</t>
  </si>
  <si>
    <t>EXIR SANAT CO.</t>
  </si>
  <si>
    <t>1403/02/15</t>
  </si>
  <si>
    <t>9گالن</t>
  </si>
  <si>
    <t>Mineral oil 68</t>
  </si>
  <si>
    <t>2بشکه 208 لیتری</t>
  </si>
  <si>
    <t xml:space="preserve"> *208L/10 بشکه موجودی انبار</t>
  </si>
  <si>
    <t>WH-ME-623</t>
  </si>
  <si>
    <t>WH-CH-043</t>
  </si>
  <si>
    <t>BADICO</t>
  </si>
  <si>
    <t>1403/03/24*04/07*07/16*07/21*08/07*08/17*09/10</t>
  </si>
  <si>
    <t>WH-ME-703/WH-ME-725-840-856/CH-40-49-059</t>
  </si>
  <si>
    <t>1403/06/11*09/13</t>
  </si>
  <si>
    <t>WH-ME-778/922</t>
  </si>
  <si>
    <t>1403/03/22*09/13</t>
  </si>
  <si>
    <t>WH-ME-690/922</t>
  </si>
  <si>
    <t>1403/09/10*09/12*09/13</t>
  </si>
  <si>
    <t>WH-CH-60-61/ME/922</t>
  </si>
  <si>
    <t>LOG NO.</t>
  </si>
  <si>
    <t>Vendor</t>
  </si>
  <si>
    <t>ITEM COOD</t>
  </si>
  <si>
    <t>Type of Material</t>
  </si>
  <si>
    <t>unit</t>
  </si>
  <si>
    <t>Spare parts/COMMISSIONING2</t>
  </si>
  <si>
    <t>WH-SF-005</t>
  </si>
  <si>
    <t>PPJP-020070</t>
  </si>
  <si>
    <t xml:space="preserve">شركت شيميايي انرژي سمنان </t>
  </si>
  <si>
    <t>inhibitor</t>
  </si>
  <si>
    <t>Chemical inhibitor - energy 271</t>
  </si>
  <si>
    <t>ACCESSORY</t>
  </si>
  <si>
    <t>1402/07/04</t>
  </si>
  <si>
    <t>WH-SF-010</t>
  </si>
  <si>
    <t>ARMEH-1668</t>
  </si>
  <si>
    <t>PPJPC-1400-36</t>
  </si>
  <si>
    <t>Atrin Radmehr CO</t>
  </si>
  <si>
    <t>FOAM CONCENTRATE</t>
  </si>
  <si>
    <t>FOAM CONCENTRATE, Type: Alcohol resistant (AR-AFFF 3%</t>
  </si>
  <si>
    <t xml:space="preserve"> Liter</t>
  </si>
  <si>
    <t>1402/12/29</t>
  </si>
  <si>
    <t>COMMISSIONINIG SPARE PARTS</t>
  </si>
  <si>
    <t>2 YEARS SPARE PARTS</t>
  </si>
  <si>
    <t>1403/04/20*05/06*06/03*09/25</t>
  </si>
  <si>
    <t>1402/09/12*09/28</t>
  </si>
  <si>
    <t>WH-SF-074/WH-CH-76</t>
  </si>
  <si>
    <t>WH-CH-044</t>
  </si>
  <si>
    <t>1403/09/03</t>
  </si>
  <si>
    <t>20 تخته بعنوان نمونه</t>
  </si>
  <si>
    <t xml:space="preserve"> 4پالت 100تخته ای </t>
  </si>
  <si>
    <t>WH-CH-79</t>
  </si>
  <si>
    <t>پتروشیمی آریا ساسول</t>
  </si>
  <si>
    <t>WH-CH-046</t>
  </si>
  <si>
    <t>OILINO CO.</t>
  </si>
  <si>
    <t xml:space="preserve">یک پالت 4 تایی </t>
  </si>
  <si>
    <t>1403/10/01</t>
  </si>
  <si>
    <t>MRV.NO&amp; DATE</t>
  </si>
  <si>
    <t>MRV-CH-001/1403-10-09</t>
  </si>
  <si>
    <t>1403/05/06*05/15*06/25*10/07</t>
  </si>
  <si>
    <t>WH-CH-013/014/026/83</t>
  </si>
  <si>
    <t>1403/07/09*0717*09/26*10/07*10/11</t>
  </si>
  <si>
    <t>1403/08/22*09/13*10/03*10/04*10/11</t>
  </si>
  <si>
    <t>WH-CH-051-63-78-82-84</t>
  </si>
  <si>
    <t>UTYLITI</t>
  </si>
  <si>
    <t>WH-ME-428-432-590-030-86</t>
  </si>
  <si>
    <t>WH-CH-009/013/19/72</t>
  </si>
  <si>
    <t>WH-CH-028-031-73-83-84</t>
  </si>
  <si>
    <t>1403/10/03</t>
  </si>
  <si>
    <t>WH-CH-047</t>
  </si>
  <si>
    <t>1403-10-15</t>
  </si>
  <si>
    <t>WH-CH-87</t>
  </si>
  <si>
    <t>CHEMICAL STATUS</t>
  </si>
  <si>
    <t>AGIP/SHELL</t>
  </si>
  <si>
    <t>77پالت طوسی 308 بشکه208لیتری</t>
  </si>
  <si>
    <t>THERMINOL OIL 66</t>
  </si>
  <si>
    <t>MRV-CH-002/1403-10-30</t>
  </si>
  <si>
    <t>WH-CH-67-88</t>
  </si>
  <si>
    <t>1403/09/18-10/19</t>
  </si>
  <si>
    <t xml:space="preserve"> 1129kg10مخزن </t>
  </si>
  <si>
    <t>1403/10/13*11/04*11/06*11/10</t>
  </si>
  <si>
    <t>WH-CH-85/097/98/99</t>
  </si>
  <si>
    <t>1403/10/10</t>
  </si>
  <si>
    <t>WH-CH-101</t>
  </si>
  <si>
    <t>WH-CH-039-6</t>
  </si>
  <si>
    <t>WH-CH-039-7</t>
  </si>
  <si>
    <t>WH-CH-039-8</t>
  </si>
  <si>
    <t>WH-CH-039-9</t>
  </si>
  <si>
    <t>1403/09/06</t>
  </si>
  <si>
    <t>1403/09/07</t>
  </si>
  <si>
    <t>1403/09/15</t>
  </si>
  <si>
    <t>1403/09/16</t>
  </si>
  <si>
    <t>1403/11/11</t>
  </si>
  <si>
    <t>1403/03/31</t>
  </si>
  <si>
    <t>1403/02/19*02/29*04/18*06/13*11/11</t>
  </si>
  <si>
    <t>WH-ME-593-619-615-735-605-781-505-ch-103</t>
  </si>
  <si>
    <t>1403/03/19*03/21*06/11*09/09*10/22*11/11*11/02*</t>
  </si>
  <si>
    <t>WH-CH-001/ME-681/ME-778/914/91-ch-104-095</t>
  </si>
  <si>
    <t>1403/06/12*05/25*08/02*09/22*09/25*09/27*11/11*11/15</t>
  </si>
  <si>
    <t>WH-ME-780/CH-018-037-70-72-74-102-107</t>
  </si>
  <si>
    <t>16 dr*250kg</t>
  </si>
  <si>
    <t>6 dr*200kg</t>
  </si>
  <si>
    <t>1403/11/13</t>
  </si>
  <si>
    <t>شرکت روغن پارسیان</t>
  </si>
  <si>
    <t>WH-CH-049</t>
  </si>
  <si>
    <t>1403/11/15</t>
  </si>
  <si>
    <t>1403-11-15</t>
  </si>
  <si>
    <t>WH-CH-108</t>
  </si>
  <si>
    <t>WH-CH-051</t>
  </si>
  <si>
    <t>شرکت اویل اینو</t>
  </si>
  <si>
    <t>4 gal*20lit</t>
  </si>
  <si>
    <t xml:space="preserve"> اتیلن گلایکول(M.E.G)  Ethylene  Glycol    </t>
  </si>
  <si>
    <t>480 dr208lit</t>
  </si>
  <si>
    <t>1403/11/18</t>
  </si>
  <si>
    <t>شرکت نفت  بهران</t>
  </si>
  <si>
    <t>2 dr*208li</t>
  </si>
  <si>
    <t>1403/11/21</t>
  </si>
  <si>
    <t>1403-11-21</t>
  </si>
  <si>
    <t>WH-CH-110</t>
  </si>
  <si>
    <t>WH-ME-613/CH-043-110</t>
  </si>
  <si>
    <t>1403/02/26*08/09*11/21</t>
  </si>
  <si>
    <t>WH-CH-048</t>
  </si>
  <si>
    <t>شرکت کارن پژو سپنتا</t>
  </si>
  <si>
    <t>20 ki*25kg</t>
  </si>
  <si>
    <t>1403/11/09</t>
  </si>
  <si>
    <t>پتروشیمی جم</t>
  </si>
  <si>
    <t>Ethyle Benzen</t>
  </si>
  <si>
    <t>1 tank*24980kg</t>
  </si>
  <si>
    <t>10 dr*208lit</t>
  </si>
  <si>
    <t>WH-CH-050</t>
  </si>
  <si>
    <t>1 tank*25100kg</t>
  </si>
  <si>
    <t>WH-ME-810-ME-914-CH-66-69-81-91-114</t>
  </si>
  <si>
    <t>1403/07/02*09/17*09/09*09/17*09/20*10/04*10/22*11/24</t>
  </si>
  <si>
    <t>WH-ME-735-778-ch-106</t>
  </si>
  <si>
    <t>1403/04/18*06/11*11/14</t>
  </si>
  <si>
    <t>NO MRS</t>
  </si>
  <si>
    <t xml:space="preserve"> </t>
  </si>
  <si>
    <t>WH-CH-039-10</t>
  </si>
  <si>
    <t>2 Truck480pcs</t>
  </si>
  <si>
    <t>1 Truck480pcs</t>
  </si>
  <si>
    <t>20 dr*300kg</t>
  </si>
  <si>
    <t>1403/11/23</t>
  </si>
  <si>
    <t>WH-CH-112</t>
  </si>
  <si>
    <t xml:space="preserve">بازدارنده خوردگی CORROSION INHIBITOR LO-403-PL   </t>
  </si>
  <si>
    <t xml:space="preserve">بازدارنده خوردگی CORROSION INHIBITOR LO-403   </t>
  </si>
  <si>
    <t xml:space="preserve">ماده معلق کننده لجنهای معدنی DISPERSENT LO-103 For   </t>
  </si>
  <si>
    <t xml:space="preserve">مایع ضد جلبک   BIOCIDE LO-201  </t>
  </si>
  <si>
    <t xml:space="preserve">مایع ضد جلبک BIOCIDE LO-204   </t>
  </si>
  <si>
    <t xml:space="preserve">مایع ضد رسوب و خوردگی  CORROSION INHIBITOR IN CLOSED CIRCIT  LO-301   </t>
  </si>
  <si>
    <t>Perchlorine soda پرکلرین CA(OCL2)</t>
  </si>
  <si>
    <t xml:space="preserve"> شرکت روغن کار ناظم</t>
  </si>
  <si>
    <t>2 TRuck480pcs+200</t>
  </si>
  <si>
    <t>1403/11/27</t>
  </si>
  <si>
    <t>1403/11/30</t>
  </si>
  <si>
    <t>WH-CH-120</t>
  </si>
  <si>
    <t>1403/12/07</t>
  </si>
  <si>
    <r>
      <t xml:space="preserve">Behran </t>
    </r>
    <r>
      <rPr>
        <b/>
        <sz val="9"/>
        <color theme="7" tint="-0.499984740745262"/>
        <rFont val="Tahoma"/>
        <family val="2"/>
      </rPr>
      <t>Hydraulic</t>
    </r>
    <r>
      <rPr>
        <sz val="9"/>
        <color theme="1"/>
        <rFont val="Tahoma"/>
        <family val="2"/>
      </rPr>
      <t xml:space="preserve"> H oil 22</t>
    </r>
  </si>
  <si>
    <r>
      <t xml:space="preserve">Behran </t>
    </r>
    <r>
      <rPr>
        <b/>
        <sz val="9"/>
        <color theme="7" tint="-0.499984740745262"/>
        <rFont val="Tahoma"/>
        <family val="2"/>
      </rPr>
      <t>Hydraulic</t>
    </r>
    <r>
      <rPr>
        <sz val="9"/>
        <color theme="1"/>
        <rFont val="Tahoma"/>
        <family val="2"/>
      </rPr>
      <t xml:space="preserve"> T oil 68</t>
    </r>
  </si>
  <si>
    <r>
      <t xml:space="preserve">BEHRAN </t>
    </r>
    <r>
      <rPr>
        <b/>
        <sz val="9"/>
        <color theme="7" tint="-0.499984740745262"/>
        <rFont val="Tahoma"/>
        <family val="2"/>
      </rPr>
      <t>HYDRAULIC</t>
    </r>
    <r>
      <rPr>
        <sz val="9"/>
        <color theme="1"/>
        <rFont val="Tahoma"/>
        <family val="2"/>
      </rPr>
      <t xml:space="preserve"> T46</t>
    </r>
  </si>
  <si>
    <r>
      <rPr>
        <b/>
        <sz val="9"/>
        <color theme="7" tint="-0.499984740745262"/>
        <rFont val="Tahoma"/>
        <family val="2"/>
      </rPr>
      <t>Hydraulic</t>
    </r>
    <r>
      <rPr>
        <sz val="9"/>
        <color theme="1"/>
        <rFont val="Tahoma"/>
        <family val="2"/>
      </rPr>
      <t xml:space="preserve"> Oil بشکه پلاستیکی 20 لیتری روغن هیدرولیک بهران 68  for Tag No./ 80-Z-315080-Z-415080-Z-5150</t>
    </r>
  </si>
  <si>
    <r>
      <t xml:space="preserve">BEHRAN OIL </t>
    </r>
    <r>
      <rPr>
        <b/>
        <sz val="9"/>
        <color theme="7" tint="-0.499984740745262"/>
        <rFont val="Tahoma"/>
        <family val="2"/>
      </rPr>
      <t>HYDRAULIC</t>
    </r>
    <r>
      <rPr>
        <sz val="9"/>
        <color theme="1"/>
        <rFont val="Tahoma"/>
        <family val="2"/>
      </rPr>
      <t>S ISO H 22</t>
    </r>
  </si>
  <si>
    <r>
      <t xml:space="preserve"> Behran </t>
    </r>
    <r>
      <rPr>
        <b/>
        <sz val="9"/>
        <color theme="5" tint="-0.249977111117893"/>
        <rFont val="Tahoma"/>
        <family val="2"/>
      </rPr>
      <t>Bordbar</t>
    </r>
    <r>
      <rPr>
        <sz val="9"/>
        <color theme="1"/>
        <rFont val="Tahoma"/>
        <family val="2"/>
      </rPr>
      <t xml:space="preserve"> PS oil 320</t>
    </r>
  </si>
  <si>
    <r>
      <t xml:space="preserve">Behran </t>
    </r>
    <r>
      <rPr>
        <b/>
        <sz val="9"/>
        <color theme="5" tint="-0.249977111117893"/>
        <rFont val="Tahoma"/>
        <family val="2"/>
      </rPr>
      <t>Bordbar</t>
    </r>
    <r>
      <rPr>
        <sz val="9"/>
        <color theme="1"/>
        <rFont val="Tahoma"/>
        <family val="2"/>
      </rPr>
      <t xml:space="preserve"> oil 100</t>
    </r>
  </si>
  <si>
    <r>
      <t xml:space="preserve">Behran </t>
    </r>
    <r>
      <rPr>
        <b/>
        <sz val="9"/>
        <color theme="5" tint="-0.249977111117893"/>
        <rFont val="Tahoma"/>
        <family val="2"/>
      </rPr>
      <t>Bordbar</t>
    </r>
    <r>
      <rPr>
        <sz val="9"/>
        <color theme="1"/>
        <rFont val="Tahoma"/>
        <family val="2"/>
      </rPr>
      <t xml:space="preserve"> oil 320</t>
    </r>
  </si>
  <si>
    <r>
      <t xml:space="preserve">Behran </t>
    </r>
    <r>
      <rPr>
        <b/>
        <sz val="9"/>
        <color theme="5" tint="-0.249977111117893"/>
        <rFont val="Tahoma"/>
        <family val="2"/>
      </rPr>
      <t>Bordbar</t>
    </r>
    <r>
      <rPr>
        <sz val="9"/>
        <color theme="1"/>
        <rFont val="Tahoma"/>
        <family val="2"/>
      </rPr>
      <t xml:space="preserve"> oil 68</t>
    </r>
  </si>
  <si>
    <r>
      <t xml:space="preserve">Behran </t>
    </r>
    <r>
      <rPr>
        <b/>
        <sz val="9"/>
        <color theme="5" tint="-0.249977111117893"/>
        <rFont val="Tahoma"/>
        <family val="2"/>
      </rPr>
      <t>Bordbar</t>
    </r>
    <r>
      <rPr>
        <sz val="9"/>
        <color theme="1"/>
        <rFont val="Tahoma"/>
        <family val="2"/>
      </rPr>
      <t xml:space="preserve"> PG oil 220</t>
    </r>
  </si>
  <si>
    <r>
      <t xml:space="preserve">Behran </t>
    </r>
    <r>
      <rPr>
        <b/>
        <sz val="9"/>
        <color theme="4" tint="-0.249977111117893"/>
        <rFont val="Tahoma"/>
        <family val="2"/>
      </rPr>
      <t>Derafsh</t>
    </r>
    <r>
      <rPr>
        <sz val="9"/>
        <color theme="1"/>
        <rFont val="Tahoma"/>
        <family val="2"/>
      </rPr>
      <t xml:space="preserve"> oil 220</t>
    </r>
  </si>
  <si>
    <r>
      <t xml:space="preserve">Behran </t>
    </r>
    <r>
      <rPr>
        <b/>
        <sz val="9"/>
        <color theme="4" tint="-0.249977111117893"/>
        <rFont val="Tahoma"/>
        <family val="2"/>
      </rPr>
      <t>Derafsh</t>
    </r>
    <r>
      <rPr>
        <sz val="9"/>
        <color theme="1"/>
        <rFont val="Tahoma"/>
        <family val="2"/>
      </rPr>
      <t xml:space="preserve"> oil 46</t>
    </r>
  </si>
  <si>
    <r>
      <t xml:space="preserve">Behran </t>
    </r>
    <r>
      <rPr>
        <b/>
        <sz val="9"/>
        <color theme="4" tint="-0.249977111117893"/>
        <rFont val="Tahoma"/>
        <family val="2"/>
      </rPr>
      <t>Derafsh</t>
    </r>
    <r>
      <rPr>
        <sz val="9"/>
        <color theme="1"/>
        <rFont val="Tahoma"/>
        <family val="2"/>
      </rPr>
      <t xml:space="preserve"> oil 320</t>
    </r>
  </si>
  <si>
    <r>
      <t xml:space="preserve">Behran OIL </t>
    </r>
    <r>
      <rPr>
        <b/>
        <sz val="9"/>
        <color theme="4" tint="-0.249977111117893"/>
        <rFont val="Tahoma"/>
        <family val="2"/>
      </rPr>
      <t>Derafsh</t>
    </r>
    <r>
      <rPr>
        <sz val="9"/>
        <color theme="1"/>
        <rFont val="Tahoma"/>
        <family val="2"/>
      </rPr>
      <t xml:space="preserve"> ISO VG 46 </t>
    </r>
  </si>
  <si>
    <r>
      <t xml:space="preserve">Behran </t>
    </r>
    <r>
      <rPr>
        <b/>
        <sz val="9"/>
        <color theme="5" tint="-0.249977111117893"/>
        <rFont val="Tahoma"/>
        <family val="2"/>
      </rPr>
      <t>Bordbar</t>
    </r>
    <r>
      <rPr>
        <sz val="9"/>
        <color theme="1"/>
        <rFont val="Tahoma"/>
        <family val="2"/>
      </rPr>
      <t xml:space="preserve"> oil 460</t>
    </r>
  </si>
  <si>
    <r>
      <t xml:space="preserve">Behran </t>
    </r>
    <r>
      <rPr>
        <b/>
        <sz val="9"/>
        <color theme="5" tint="-0.249977111117893"/>
        <rFont val="Tahoma"/>
        <family val="2"/>
      </rPr>
      <t>Bordbar</t>
    </r>
    <r>
      <rPr>
        <sz val="9"/>
        <color theme="1"/>
        <rFont val="Tahoma"/>
        <family val="2"/>
      </rPr>
      <t xml:space="preserve"> PS oil 220</t>
    </r>
  </si>
  <si>
    <r>
      <t xml:space="preserve">Behran </t>
    </r>
    <r>
      <rPr>
        <b/>
        <sz val="9"/>
        <color theme="5" tint="-0.249977111117893"/>
        <rFont val="Tahoma"/>
        <family val="2"/>
      </rPr>
      <t>Bordbar</t>
    </r>
    <r>
      <rPr>
        <sz val="9"/>
        <color theme="1"/>
        <rFont val="Tahoma"/>
        <family val="2"/>
      </rPr>
      <t xml:space="preserve"> oil Ps 46</t>
    </r>
  </si>
  <si>
    <r>
      <t xml:space="preserve">Behran </t>
    </r>
    <r>
      <rPr>
        <b/>
        <sz val="9"/>
        <color theme="5" tint="-0.249977111117893"/>
        <rFont val="Tahoma"/>
        <family val="2"/>
      </rPr>
      <t>Bordbar</t>
    </r>
    <r>
      <rPr>
        <sz val="9"/>
        <color theme="1"/>
        <rFont val="Tahoma"/>
        <family val="2"/>
      </rPr>
      <t xml:space="preserve"> oil 220</t>
    </r>
  </si>
  <si>
    <r>
      <rPr>
        <sz val="9"/>
        <color rgb="FF0070C0"/>
        <rFont val="Tahoma"/>
        <family val="2"/>
      </rPr>
      <t>Shell</t>
    </r>
    <r>
      <rPr>
        <b/>
        <sz val="9"/>
        <color theme="5" tint="-0.249977111117893"/>
        <rFont val="Tahoma"/>
        <family val="2"/>
      </rPr>
      <t xml:space="preserve"> Bordbar</t>
    </r>
    <r>
      <rPr>
        <sz val="9"/>
        <color theme="1"/>
        <rFont val="Tahoma"/>
        <family val="2"/>
      </rPr>
      <t xml:space="preserve"> ISO oil VG220 </t>
    </r>
  </si>
  <si>
    <r>
      <rPr>
        <sz val="9"/>
        <color rgb="FF0070C0"/>
        <rFont val="Tahoma"/>
        <family val="2"/>
      </rPr>
      <t>Shell</t>
    </r>
    <r>
      <rPr>
        <b/>
        <sz val="9"/>
        <color theme="5" tint="-0.249977111117893"/>
        <rFont val="Tahoma"/>
        <family val="2"/>
      </rPr>
      <t xml:space="preserve"> Bordbar</t>
    </r>
    <r>
      <rPr>
        <sz val="9"/>
        <color theme="1"/>
        <rFont val="Tahoma"/>
        <family val="2"/>
      </rPr>
      <t xml:space="preserve"> ISO oil VG320</t>
    </r>
  </si>
  <si>
    <r>
      <t xml:space="preserve"> AGIP</t>
    </r>
    <r>
      <rPr>
        <b/>
        <sz val="9"/>
        <color theme="9" tint="-0.249977111117893"/>
        <rFont val="Tahoma"/>
        <family val="2"/>
      </rPr>
      <t xml:space="preserve"> ARNICA </t>
    </r>
    <r>
      <rPr>
        <sz val="9"/>
        <color theme="4" tint="-0.499984740745262"/>
        <rFont val="Tahoma"/>
        <family val="2"/>
      </rPr>
      <t>OIL</t>
    </r>
    <r>
      <rPr>
        <sz val="9"/>
        <color theme="1"/>
        <rFont val="Tahoma"/>
        <family val="2"/>
      </rPr>
      <t xml:space="preserve"> SX/N 68</t>
    </r>
  </si>
  <si>
    <r>
      <t xml:space="preserve"> AGIP </t>
    </r>
    <r>
      <rPr>
        <b/>
        <sz val="9"/>
        <color theme="9" tint="-0.249977111117893"/>
        <rFont val="Tahoma"/>
        <family val="2"/>
      </rPr>
      <t>ARNICA</t>
    </r>
    <r>
      <rPr>
        <sz val="9"/>
        <color theme="1"/>
        <rFont val="Tahoma"/>
        <family val="2"/>
      </rPr>
      <t xml:space="preserve"> OIL SX/N 68</t>
    </r>
  </si>
  <si>
    <r>
      <rPr>
        <b/>
        <sz val="9"/>
        <color theme="7" tint="-0.499984740745262"/>
        <rFont val="Tahoma"/>
        <family val="2"/>
      </rPr>
      <t>Hydraulic</t>
    </r>
    <r>
      <rPr>
        <sz val="9"/>
        <color theme="1"/>
        <rFont val="Tahoma"/>
        <family val="2"/>
      </rPr>
      <t xml:space="preserve"> special oil 68( AGIP </t>
    </r>
    <r>
      <rPr>
        <b/>
        <sz val="9"/>
        <color theme="9" tint="-0.249977111117893"/>
        <rFont val="Tahoma"/>
        <family val="2"/>
      </rPr>
      <t>ARNICA</t>
    </r>
    <r>
      <rPr>
        <sz val="9"/>
        <color theme="1"/>
        <rFont val="Tahoma"/>
        <family val="2"/>
      </rPr>
      <t xml:space="preserve"> OIL 68)</t>
    </r>
  </si>
  <si>
    <r>
      <t xml:space="preserve">Shell </t>
    </r>
    <r>
      <rPr>
        <b/>
        <sz val="9"/>
        <color theme="1"/>
        <rFont val="Tahoma"/>
        <family val="2"/>
      </rPr>
      <t>Lubricant</t>
    </r>
    <r>
      <rPr>
        <sz val="9"/>
        <color theme="1"/>
        <rFont val="Tahoma"/>
        <family val="2"/>
      </rPr>
      <t xml:space="preserve"> Oil  Morlina S2 B46</t>
    </r>
  </si>
  <si>
    <r>
      <t xml:space="preserve">SHELL LDPE COMPRESSOR </t>
    </r>
    <r>
      <rPr>
        <b/>
        <sz val="9"/>
        <color theme="1"/>
        <rFont val="Tahoma"/>
        <family val="2"/>
      </rPr>
      <t>LUB</t>
    </r>
    <r>
      <rPr>
        <sz val="9"/>
        <color theme="1"/>
        <rFont val="Tahoma"/>
        <family val="2"/>
      </rPr>
      <t xml:space="preserve"> OIL 220</t>
    </r>
  </si>
  <si>
    <r>
      <t xml:space="preserve">AGIP </t>
    </r>
    <r>
      <rPr>
        <b/>
        <sz val="9"/>
        <color theme="3" tint="0.39997558519241921"/>
        <rFont val="Tahoma"/>
        <family val="2"/>
      </rPr>
      <t>BLASIA</t>
    </r>
    <r>
      <rPr>
        <sz val="9"/>
        <color theme="1"/>
        <rFont val="Tahoma"/>
        <family val="2"/>
      </rPr>
      <t xml:space="preserve"> 220 - Oil</t>
    </r>
  </si>
  <si>
    <r>
      <rPr>
        <b/>
        <sz val="9"/>
        <color theme="7" tint="-0.499984740745262"/>
        <rFont val="Tahoma"/>
        <family val="2"/>
      </rPr>
      <t xml:space="preserve"> HYDRAULIC</t>
    </r>
    <r>
      <rPr>
        <sz val="9"/>
        <color theme="7" tint="-0.499984740745262"/>
        <rFont val="Tahoma"/>
        <family val="2"/>
      </rPr>
      <t xml:space="preserve"> OIL(پارس بابک ویژه)</t>
    </r>
  </si>
  <si>
    <t>20 dr*208lit</t>
  </si>
  <si>
    <t>WH-ME-684</t>
  </si>
  <si>
    <t>1403/03/24*03/19*04/15/0</t>
  </si>
  <si>
    <t>WH-ME-700-CH-001/006/0217-</t>
  </si>
  <si>
    <r>
      <t xml:space="preserve">AGIP OBI 12 /OBI T13 or MOBIL MARCOL 82 or SHELL </t>
    </r>
    <r>
      <rPr>
        <b/>
        <sz val="9"/>
        <color rgb="FF7030A0"/>
        <rFont val="Tahoma"/>
        <family val="2"/>
      </rPr>
      <t>ONDINA</t>
    </r>
    <r>
      <rPr>
        <sz val="9"/>
        <color theme="1"/>
        <rFont val="Tahoma"/>
        <family val="2"/>
      </rPr>
      <t xml:space="preserve"> 917 </t>
    </r>
  </si>
  <si>
    <r>
      <t xml:space="preserve">Shell </t>
    </r>
    <r>
      <rPr>
        <b/>
        <sz val="9"/>
        <color rgb="FF7030A0"/>
        <rFont val="Tahoma"/>
        <family val="2"/>
      </rPr>
      <t>ONDINA</t>
    </r>
    <r>
      <rPr>
        <sz val="9"/>
        <color theme="1"/>
        <rFont val="Tahoma"/>
        <family val="2"/>
      </rPr>
      <t xml:space="preserve"> 917</t>
    </r>
  </si>
  <si>
    <r>
      <t xml:space="preserve">220-shell </t>
    </r>
    <r>
      <rPr>
        <b/>
        <sz val="9"/>
        <color rgb="FF002060"/>
        <rFont val="Tahoma"/>
        <family val="2"/>
      </rPr>
      <t>omala</t>
    </r>
    <r>
      <rPr>
        <sz val="9"/>
        <color theme="1"/>
        <rFont val="Tahoma"/>
        <family val="2"/>
      </rPr>
      <t xml:space="preserve"> s4we - Oil</t>
    </r>
  </si>
  <si>
    <r>
      <t xml:space="preserve">SHELL </t>
    </r>
    <r>
      <rPr>
        <b/>
        <sz val="9"/>
        <color rgb="FF002060"/>
        <rFont val="Tahoma"/>
        <family val="2"/>
      </rPr>
      <t>Omala</t>
    </r>
    <r>
      <rPr>
        <sz val="9"/>
        <color theme="1"/>
        <rFont val="Tahoma"/>
        <family val="2"/>
      </rPr>
      <t xml:space="preserve"> S2 G 100 - Oil</t>
    </r>
  </si>
  <si>
    <r>
      <t xml:space="preserve">Shell </t>
    </r>
    <r>
      <rPr>
        <b/>
        <sz val="9"/>
        <color rgb="FF002060"/>
        <rFont val="Tahoma"/>
        <family val="2"/>
      </rPr>
      <t>Omala</t>
    </r>
    <r>
      <rPr>
        <sz val="9"/>
        <color theme="1"/>
        <rFont val="Tahoma"/>
        <family val="2"/>
      </rPr>
      <t xml:space="preserve"> S2 GX 68-Oil</t>
    </r>
  </si>
  <si>
    <r>
      <t xml:space="preserve">Shell </t>
    </r>
    <r>
      <rPr>
        <b/>
        <sz val="9"/>
        <color theme="1"/>
        <rFont val="Tahoma"/>
        <family val="2"/>
      </rPr>
      <t>Lubricant</t>
    </r>
    <r>
      <rPr>
        <sz val="9"/>
        <color theme="1"/>
        <rFont val="Tahoma"/>
        <family val="2"/>
      </rPr>
      <t xml:space="preserve"> Oil  </t>
    </r>
    <r>
      <rPr>
        <b/>
        <sz val="9"/>
        <color rgb="FF002060"/>
        <rFont val="Tahoma"/>
        <family val="2"/>
      </rPr>
      <t>Omala</t>
    </r>
    <r>
      <rPr>
        <sz val="9"/>
        <color theme="1"/>
        <rFont val="Tahoma"/>
        <family val="2"/>
      </rPr>
      <t xml:space="preserve"> S2 G 100</t>
    </r>
  </si>
  <si>
    <r>
      <rPr>
        <b/>
        <sz val="9"/>
        <color rgb="FFC00000"/>
        <rFont val="Tahoma"/>
        <family val="2"/>
      </rPr>
      <t>Transformer</t>
    </r>
    <r>
      <rPr>
        <sz val="9"/>
        <color theme="1"/>
        <rFont val="Tahoma"/>
        <family val="2"/>
      </rPr>
      <t xml:space="preserve"> oil</t>
    </r>
  </si>
  <si>
    <r>
      <t xml:space="preserve">Addinol Heat </t>
    </r>
    <r>
      <rPr>
        <b/>
        <sz val="9"/>
        <color rgb="FFC00000"/>
        <rFont val="Tahoma"/>
        <family val="2"/>
      </rPr>
      <t>Transfer</t>
    </r>
    <r>
      <rPr>
        <sz val="9"/>
        <color theme="1"/>
        <rFont val="Tahoma"/>
        <family val="2"/>
      </rPr>
      <t xml:space="preserve"> Oil XV 15 HT</t>
    </r>
  </si>
  <si>
    <t>LOCATION</t>
  </si>
  <si>
    <r>
      <rPr>
        <b/>
        <sz val="9"/>
        <color theme="1"/>
        <rFont val="Tahoma"/>
        <family val="2"/>
      </rPr>
      <t>LUBRUN</t>
    </r>
    <r>
      <rPr>
        <sz val="9"/>
        <color theme="1"/>
        <rFont val="Tahoma"/>
        <family val="2"/>
      </rPr>
      <t xml:space="preserve"> WHITE OIL 917</t>
    </r>
  </si>
  <si>
    <t>1403/03/23*06/11*11/22*12/18</t>
  </si>
  <si>
    <t>WH-CH-002/ME-778-ch-111-125</t>
  </si>
  <si>
    <t>1403/03/19*12/18</t>
  </si>
  <si>
    <t>WH-CH-001-125</t>
  </si>
  <si>
    <t>WH-CH-122</t>
  </si>
  <si>
    <t>2338 dr*214</t>
  </si>
  <si>
    <t>1403/08/24-09/05-10/16&amp;17</t>
  </si>
  <si>
    <t>1403/05/01</t>
  </si>
  <si>
    <t>1pal*250pcs</t>
  </si>
  <si>
    <t>IRAN TRANSFO CO.</t>
  </si>
  <si>
    <t>WH-EL-0207</t>
  </si>
  <si>
    <t>1396/07/24</t>
  </si>
  <si>
    <t>1403/12/20</t>
  </si>
  <si>
    <t>CM</t>
  </si>
  <si>
    <t>2 dr*300kg</t>
  </si>
  <si>
    <t>1403/10/14</t>
  </si>
  <si>
    <r>
      <t xml:space="preserve">OIL </t>
    </r>
    <r>
      <rPr>
        <b/>
        <sz val="9"/>
        <color rgb="FF002060"/>
        <rFont val="Tahoma"/>
        <family val="2"/>
      </rPr>
      <t>Mobil</t>
    </r>
    <r>
      <rPr>
        <sz val="9"/>
        <color theme="1"/>
        <rFont val="Tahoma"/>
        <family val="2"/>
      </rPr>
      <t xml:space="preserve"> Gargoyle Arcitic shc 224</t>
    </r>
  </si>
  <si>
    <r>
      <t>Behran</t>
    </r>
    <r>
      <rPr>
        <b/>
        <sz val="9"/>
        <color theme="2" tint="-0.749992370372631"/>
        <rFont val="Tahoma"/>
        <family val="2"/>
      </rPr>
      <t xml:space="preserve"> thermal</t>
    </r>
    <r>
      <rPr>
        <sz val="9"/>
        <color theme="1"/>
        <rFont val="Tahoma"/>
        <family val="2"/>
      </rPr>
      <t xml:space="preserve"> oil</t>
    </r>
  </si>
  <si>
    <r>
      <t xml:space="preserve">OIL EXXON </t>
    </r>
    <r>
      <rPr>
        <b/>
        <sz val="9"/>
        <color theme="3"/>
        <rFont val="Tahoma"/>
        <family val="2"/>
      </rPr>
      <t>MOBIL</t>
    </r>
    <r>
      <rPr>
        <sz val="9"/>
        <color theme="1"/>
        <rFont val="Tahoma"/>
        <family val="2"/>
      </rPr>
      <t xml:space="preserve"> SHC-224 (208 LITR)</t>
    </r>
  </si>
  <si>
    <r>
      <t xml:space="preserve">BEHRAN </t>
    </r>
    <r>
      <rPr>
        <b/>
        <sz val="9"/>
        <color theme="1"/>
        <rFont val="Tahoma"/>
        <family val="2"/>
      </rPr>
      <t>DOKHT</t>
    </r>
    <r>
      <rPr>
        <sz val="9"/>
        <color theme="1"/>
        <rFont val="Tahoma"/>
        <family val="2"/>
      </rPr>
      <t xml:space="preserve"> 10</t>
    </r>
  </si>
  <si>
    <r>
      <t xml:space="preserve">BEHRAN </t>
    </r>
    <r>
      <rPr>
        <b/>
        <sz val="9"/>
        <color theme="1"/>
        <rFont val="Tahoma"/>
        <family val="2"/>
      </rPr>
      <t>HOT OIL</t>
    </r>
    <r>
      <rPr>
        <sz val="9"/>
        <color theme="1"/>
        <rFont val="Tahoma"/>
        <family val="2"/>
      </rPr>
      <t xml:space="preserve">.روغن بهران حرارت </t>
    </r>
  </si>
  <si>
    <r>
      <t>روغن هيدروليك ضد آتش Irus DU (</t>
    </r>
    <r>
      <rPr>
        <b/>
        <sz val="9"/>
        <color theme="1"/>
        <rFont val="Tahoma"/>
        <family val="2"/>
      </rPr>
      <t>PETROFER</t>
    </r>
    <r>
      <rPr>
        <sz val="9"/>
        <color theme="1"/>
        <rFont val="Tahoma"/>
        <family val="2"/>
      </rPr>
      <t>)</t>
    </r>
  </si>
  <si>
    <r>
      <t>WH-CH-</t>
    </r>
    <r>
      <rPr>
        <sz val="9"/>
        <color theme="4" tint="-0.249977111117893"/>
        <rFont val="Tahoma"/>
        <family val="2"/>
      </rPr>
      <t>127</t>
    </r>
  </si>
  <si>
    <t>WH-CH-039-11</t>
  </si>
  <si>
    <t>2 TRuck480pcs</t>
  </si>
  <si>
    <t>1403/12/11</t>
  </si>
  <si>
    <t>?</t>
  </si>
  <si>
    <r>
      <rPr>
        <b/>
        <sz val="9"/>
        <color theme="1"/>
        <rFont val="Tahoma"/>
        <family val="2"/>
      </rPr>
      <t>پالت</t>
    </r>
    <r>
      <rPr>
        <sz val="9"/>
        <color theme="1"/>
        <rFont val="Tahoma"/>
        <family val="2"/>
      </rPr>
      <t xml:space="preserve"> بسته بندی </t>
    </r>
  </si>
  <si>
    <r>
      <t>NAOCL 12%(</t>
    </r>
    <r>
      <rPr>
        <b/>
        <sz val="9"/>
        <color theme="1"/>
        <rFont val="Tahoma"/>
        <family val="2"/>
      </rPr>
      <t>آب ژاول</t>
    </r>
    <r>
      <rPr>
        <sz val="9"/>
        <color theme="1"/>
        <rFont val="Tahoma"/>
        <family val="2"/>
      </rPr>
      <t>)</t>
    </r>
  </si>
  <si>
    <r>
      <t xml:space="preserve">سود مایع </t>
    </r>
    <r>
      <rPr>
        <b/>
        <sz val="9"/>
        <color theme="1"/>
        <rFont val="Tahoma"/>
        <family val="2"/>
      </rPr>
      <t>CAUSTIC</t>
    </r>
    <r>
      <rPr>
        <sz val="9"/>
        <color theme="1"/>
        <rFont val="Tahoma"/>
        <family val="2"/>
      </rPr>
      <t xml:space="preserve"> 50%</t>
    </r>
  </si>
  <si>
    <t>WH-CH-039-12</t>
  </si>
  <si>
    <t>1403/12/12</t>
  </si>
  <si>
    <t>WH-CH-056</t>
  </si>
  <si>
    <t xml:space="preserve">شرکت هواکاران </t>
  </si>
  <si>
    <t>5 Gllon*20lit</t>
  </si>
  <si>
    <t xml:space="preserve"> 1قوطی400گرمی</t>
  </si>
  <si>
    <t>G</t>
  </si>
  <si>
    <t xml:space="preserve">عودت شد </t>
  </si>
  <si>
    <t>96لیتر عودت شد</t>
  </si>
  <si>
    <t>حواله 914 از انبار خارج نشد و به موجودی اضافه شد.</t>
  </si>
  <si>
    <t>خروج نشد</t>
  </si>
  <si>
    <t>1403/08/08*10/22*12/22</t>
  </si>
  <si>
    <t>WH-CH-041/091/128</t>
  </si>
  <si>
    <t>MRV.  NO</t>
  </si>
  <si>
    <t xml:space="preserve">                                                                                                                                                                           </t>
  </si>
  <si>
    <t>ut</t>
  </si>
  <si>
    <t>rt</t>
  </si>
  <si>
    <t>روغن دنده</t>
  </si>
  <si>
    <t>REMARK2</t>
  </si>
  <si>
    <t>REMARK1</t>
  </si>
  <si>
    <r>
      <t xml:space="preserve">Shell </t>
    </r>
    <r>
      <rPr>
        <b/>
        <sz val="9"/>
        <color theme="1"/>
        <rFont val="Tahoma"/>
        <family val="2"/>
      </rPr>
      <t>Morlina</t>
    </r>
    <r>
      <rPr>
        <sz val="9"/>
        <color theme="1"/>
        <rFont val="Tahoma"/>
        <family val="2"/>
      </rPr>
      <t xml:space="preserve"> S2 BL 22 - Oil</t>
    </r>
  </si>
  <si>
    <t>BEHRAN HYDRAULIC T46</t>
  </si>
  <si>
    <t>Transformer oil</t>
  </si>
  <si>
    <t>روغن کار</t>
  </si>
  <si>
    <t>1403/09/17*09/24*09/26*12/29</t>
  </si>
  <si>
    <r>
      <t>WH-CH-065-71-73-</t>
    </r>
    <r>
      <rPr>
        <sz val="9"/>
        <color theme="4" tint="-0.249977111117893"/>
        <rFont val="Tahoma"/>
        <family val="2"/>
      </rPr>
      <t>130</t>
    </r>
  </si>
  <si>
    <t>پتروشیمی تبریز</t>
  </si>
  <si>
    <t>پتروشیمی مشهد</t>
  </si>
  <si>
    <t>1403/12/30</t>
  </si>
  <si>
    <t>1404/01/04</t>
  </si>
  <si>
    <t>WH-CH-057</t>
  </si>
  <si>
    <t>WH-CH-133</t>
  </si>
  <si>
    <t>40 dr*250kg</t>
  </si>
  <si>
    <t>WH-CH-131</t>
  </si>
  <si>
    <t>1404/01/05</t>
  </si>
  <si>
    <r>
      <rPr>
        <b/>
        <sz val="9"/>
        <color theme="1"/>
        <rFont val="Tahoma"/>
        <family val="2"/>
      </rPr>
      <t>OPTICAL</t>
    </r>
    <r>
      <rPr>
        <sz val="9"/>
        <color theme="1"/>
        <rFont val="Tahoma"/>
        <family val="2"/>
      </rPr>
      <t xml:space="preserve"> BLEACH </t>
    </r>
  </si>
  <si>
    <t>10کیلو از تبریز</t>
  </si>
  <si>
    <t xml:space="preserve">امانی </t>
  </si>
  <si>
    <t>5 Pallet*1000kg</t>
  </si>
  <si>
    <t>kg</t>
  </si>
  <si>
    <t>1404/01/09</t>
  </si>
  <si>
    <t>1404/01/13</t>
  </si>
  <si>
    <t>WH-CH-136</t>
  </si>
  <si>
    <t>موجودی  به بشکه  یا پالت</t>
  </si>
  <si>
    <t>27 dr*208lit</t>
  </si>
  <si>
    <r>
      <rPr>
        <b/>
        <sz val="9"/>
        <color theme="1"/>
        <rFont val="Tahoma"/>
        <family val="2"/>
      </rPr>
      <t>Extra Coolant</t>
    </r>
    <r>
      <rPr>
        <sz val="9"/>
        <color theme="1"/>
        <rFont val="Tahoma"/>
        <family val="2"/>
      </rPr>
      <t xml:space="preserve"> Oil</t>
    </r>
  </si>
  <si>
    <r>
      <rPr>
        <b/>
        <sz val="9"/>
        <color theme="1"/>
        <rFont val="Tahoma"/>
        <family val="2"/>
      </rPr>
      <t>NLGI GRADE</t>
    </r>
    <r>
      <rPr>
        <sz val="9"/>
        <color theme="1"/>
        <rFont val="Tahoma"/>
        <family val="2"/>
      </rPr>
      <t xml:space="preserve"> گریس2</t>
    </r>
  </si>
  <si>
    <r>
      <t xml:space="preserve">OIL </t>
    </r>
    <r>
      <rPr>
        <b/>
        <sz val="9"/>
        <color theme="1"/>
        <rFont val="Tahoma"/>
        <family val="2"/>
      </rPr>
      <t>SHELL ONDINA</t>
    </r>
    <r>
      <rPr>
        <sz val="9"/>
        <color theme="1"/>
        <rFont val="Tahoma"/>
        <family val="2"/>
      </rPr>
      <t xml:space="preserve"> 68</t>
    </r>
  </si>
  <si>
    <t>1403/01/05*01/13*02/18*07/17*09/06*10/14*1404/01/17*</t>
  </si>
  <si>
    <t>WH-CH-039-13</t>
  </si>
  <si>
    <t>Part:14-15-16</t>
  </si>
  <si>
    <t>Part:17-18-19</t>
  </si>
  <si>
    <t>3 TRuck480</t>
  </si>
  <si>
    <t>3 TRuck400pcs</t>
  </si>
  <si>
    <t>WH-CH-032/1</t>
  </si>
  <si>
    <t>11287 کیلوگرم</t>
  </si>
  <si>
    <t>1403/08/20</t>
  </si>
  <si>
    <t>WH-CH-058</t>
  </si>
  <si>
    <t>شرکت شیمیایی فرآورد قشم</t>
  </si>
  <si>
    <t>1403/12/28</t>
  </si>
  <si>
    <t>WH-CH-032-2</t>
  </si>
  <si>
    <t>PJPC-030364</t>
  </si>
  <si>
    <t>؟</t>
  </si>
  <si>
    <t>23246KG</t>
  </si>
  <si>
    <t>11521KG</t>
  </si>
  <si>
    <t>1404/01/20</t>
  </si>
  <si>
    <t>WH-CH-039-14</t>
  </si>
  <si>
    <t>Part:01</t>
  </si>
  <si>
    <t>Part:02</t>
  </si>
  <si>
    <t>Part:03</t>
  </si>
  <si>
    <t>Part:04</t>
  </si>
  <si>
    <t>Part:05</t>
  </si>
  <si>
    <t>Part:06</t>
  </si>
  <si>
    <t>Part:07</t>
  </si>
  <si>
    <t>Part:08</t>
  </si>
  <si>
    <t>Part:09</t>
  </si>
  <si>
    <t>Part:10</t>
  </si>
  <si>
    <t>Part:11</t>
  </si>
  <si>
    <t>Part:12-13</t>
  </si>
  <si>
    <t>1404-01/06.08.11</t>
  </si>
  <si>
    <t>1403/12.21.22.28</t>
  </si>
  <si>
    <t>1403/11-22.24</t>
  </si>
  <si>
    <t>امانی</t>
  </si>
  <si>
    <t>1403/09/13*09/18*10/25*1404/01/21</t>
  </si>
  <si>
    <t>WH-ME-922/CH-68/093/138</t>
  </si>
  <si>
    <t>1403/08/08</t>
  </si>
  <si>
    <t>2 TRuck480</t>
  </si>
  <si>
    <t>1404/01/21/22</t>
  </si>
  <si>
    <t>23099kg</t>
  </si>
  <si>
    <t>1404/01/05/07</t>
  </si>
  <si>
    <t>ITEM CODE</t>
  </si>
  <si>
    <t xml:space="preserve">ماده معلق کننده لجنهای معدنی DISPERSENT LO-103* For   </t>
  </si>
  <si>
    <t>Part:19-20-21</t>
  </si>
  <si>
    <t>4040081-4040133-4040144</t>
  </si>
  <si>
    <t>1403/04/11*03/27*05/06*05/18*06/09*06/19*06/25*07/09*07/17*08/14*08/30*09/24*11/10*12/04*1404/01/07*01/25</t>
  </si>
  <si>
    <t>WH-CH-005/003/013/016/22/024/026/029/030/046/057/71-1/100/121-134-143</t>
  </si>
  <si>
    <t>4040025-4040051-</t>
  </si>
  <si>
    <t>4032738-4032694-4032682</t>
  </si>
  <si>
    <t>4032629-4032581</t>
  </si>
  <si>
    <t>4032445-4032444</t>
  </si>
  <si>
    <t>PPJP-030363</t>
  </si>
  <si>
    <t>NO PO</t>
  </si>
  <si>
    <t>PPJP-030364</t>
  </si>
  <si>
    <t xml:space="preserve">PPJP-030364 </t>
  </si>
  <si>
    <t>PPJP-030259</t>
  </si>
  <si>
    <t>PPJP-030258</t>
  </si>
  <si>
    <t>PJPC-030552</t>
  </si>
  <si>
    <t>PJPC-1403119</t>
  </si>
  <si>
    <t>PJPC-20288</t>
  </si>
  <si>
    <t>PJPC-030421</t>
  </si>
  <si>
    <t>PPJP-030330</t>
  </si>
  <si>
    <t>PJPC-030377</t>
  </si>
  <si>
    <t>PPJP-030241</t>
  </si>
  <si>
    <t>PPJP-030119</t>
  </si>
  <si>
    <t>1603-GD-PAL-002</t>
  </si>
  <si>
    <t>PPJP-030261</t>
  </si>
  <si>
    <t>PPJP-030117</t>
  </si>
  <si>
    <t>تنخواهی 2583</t>
  </si>
  <si>
    <t>تنخواهی 2476</t>
  </si>
  <si>
    <t>تنخواهی 2299</t>
  </si>
  <si>
    <t>PPJPC-1403-100</t>
  </si>
  <si>
    <t>تنخواهی 2374</t>
  </si>
  <si>
    <t>تنخواهی 2377</t>
  </si>
  <si>
    <t>تنخواهی 2242</t>
  </si>
  <si>
    <t>PPJPC-1400-07</t>
  </si>
  <si>
    <t>تنخواهی RS-02047</t>
  </si>
  <si>
    <r>
      <rPr>
        <b/>
        <sz val="9"/>
        <color theme="1"/>
        <rFont val="Tahoma"/>
        <family val="2"/>
      </rPr>
      <t>سود</t>
    </r>
    <r>
      <rPr>
        <sz val="9"/>
        <color theme="1"/>
        <rFont val="Tahoma"/>
        <family val="2"/>
      </rPr>
      <t xml:space="preserve"> پرک خلوص98%</t>
    </r>
  </si>
  <si>
    <r>
      <rPr>
        <b/>
        <sz val="9"/>
        <color theme="1"/>
        <rFont val="Tahoma"/>
        <family val="2"/>
      </rPr>
      <t>لوپ</t>
    </r>
    <r>
      <rPr>
        <sz val="9"/>
        <color theme="1"/>
        <rFont val="Tahoma"/>
        <family val="2"/>
      </rPr>
      <t xml:space="preserve"> خوردگی های</t>
    </r>
  </si>
  <si>
    <t>WH-CH-139-140-142-141</t>
  </si>
  <si>
    <t>1404/01/23*01/25*01/25*01-19</t>
  </si>
  <si>
    <t>1403/07/23*06/14*06/11*05/01*09/17*10/27*10/25*11/29*12*29-1404/02/06</t>
  </si>
  <si>
    <t>WH-CH-027/WH-ME-791/CH-012/64/94/92/117/131/146</t>
  </si>
  <si>
    <r>
      <t xml:space="preserve">Behran </t>
    </r>
    <r>
      <rPr>
        <b/>
        <sz val="9"/>
        <color theme="5" tint="-0.249977111117893"/>
        <rFont val="Tahoma"/>
        <family val="2"/>
      </rPr>
      <t xml:space="preserve">Bordbar </t>
    </r>
    <r>
      <rPr>
        <sz val="9"/>
        <color rgb="FF0070C0"/>
        <rFont val="Tahoma"/>
        <family val="2"/>
      </rPr>
      <t>oil</t>
    </r>
    <r>
      <rPr>
        <sz val="9"/>
        <color theme="1"/>
        <rFont val="Tahoma"/>
        <family val="2"/>
      </rPr>
      <t xml:space="preserve"> 220</t>
    </r>
  </si>
  <si>
    <t>BEHRAN Turbo Diesel 15W40,  PARS Super Paydar 15W40</t>
  </si>
  <si>
    <t>9987112312</t>
  </si>
  <si>
    <t>9987118702</t>
  </si>
  <si>
    <t>9987112372</t>
  </si>
  <si>
    <t>9987112382</t>
  </si>
  <si>
    <t>9987119082</t>
  </si>
  <si>
    <t>PJPP-030258</t>
  </si>
  <si>
    <t>MIN</t>
  </si>
  <si>
    <t>MAX</t>
  </si>
  <si>
    <t>WH-58/72/73/126/147</t>
  </si>
  <si>
    <t>1403/09/06*09/25*09/26*12/19*1404/02/09</t>
  </si>
  <si>
    <t>1404/02/03</t>
  </si>
  <si>
    <t>Preservation Oil"</t>
  </si>
  <si>
    <t>"Preservation Oil"</t>
  </si>
  <si>
    <t>قرنطینه</t>
  </si>
  <si>
    <t>1403/04/11*04/17*05/06*06/03*02/15</t>
  </si>
  <si>
    <t>WH-CH-004/007/013/019/150</t>
  </si>
  <si>
    <t>1404/02/10</t>
  </si>
  <si>
    <t>WH-CH-0148</t>
  </si>
  <si>
    <t>1403/11/11*1404/02/10</t>
  </si>
  <si>
    <t>WH-CH-101*148</t>
  </si>
  <si>
    <t>WH-CH-148</t>
  </si>
  <si>
    <t>Heat/TAG/SERNo:</t>
  </si>
  <si>
    <t>تنخواهی</t>
  </si>
  <si>
    <t>3 Gall*20lit+4dr*209lit</t>
  </si>
  <si>
    <t>1403/12/27*1404/02/17</t>
  </si>
  <si>
    <t>PJPC-030464</t>
  </si>
  <si>
    <t>WH-CH-059</t>
  </si>
  <si>
    <t>1403/10/04*1404/02/20</t>
  </si>
  <si>
    <t>WH-CH-80-151</t>
  </si>
  <si>
    <t>1403/09/13*1404/02/20</t>
  </si>
  <si>
    <t>WH-CH-62-152</t>
  </si>
  <si>
    <t xml:space="preserve">شماره برید و تاریخ اعلام کسری روغن </t>
  </si>
  <si>
    <t>*1404/01/17*404/02/15-292386</t>
  </si>
  <si>
    <t>1403/04/11*1404/02/24</t>
  </si>
  <si>
    <t>WH-CH-004-154</t>
  </si>
  <si>
    <t>اکسترا توربو 20W15 - Oil</t>
  </si>
  <si>
    <t>WH-CH-061</t>
  </si>
  <si>
    <t>WH-CH-060</t>
  </si>
  <si>
    <t>PPJP-1403-125</t>
  </si>
  <si>
    <t>1403/06/11*1404/02/27</t>
  </si>
  <si>
    <t>WH-ME-778-WH-CH-156</t>
  </si>
  <si>
    <t>شرکت فرساشیمی</t>
  </si>
  <si>
    <t>1404/03/01</t>
  </si>
  <si>
    <t>1404/03/03</t>
  </si>
  <si>
    <t>WH-CH-159</t>
  </si>
  <si>
    <t>1403/04/17*04/24*08/27*10/07*11/30*12/18*1404/01/05*02/09*02/14*02/23*03/05*03/05</t>
  </si>
  <si>
    <r>
      <t>WH-CH-007/010+056+083+118+</t>
    </r>
    <r>
      <rPr>
        <sz val="9"/>
        <color theme="8"/>
        <rFont val="Tahoma"/>
        <family val="2"/>
      </rPr>
      <t>124</t>
    </r>
    <r>
      <rPr>
        <sz val="9"/>
        <color theme="1"/>
        <rFont val="Tahoma"/>
        <family val="2"/>
      </rPr>
      <t>+133+147+149+153+161+162</t>
    </r>
  </si>
  <si>
    <r>
      <t>WH-CH-115-</t>
    </r>
    <r>
      <rPr>
        <sz val="9"/>
        <color theme="8"/>
        <rFont val="Tahoma"/>
        <family val="2"/>
      </rPr>
      <t>124</t>
    </r>
    <r>
      <rPr>
        <sz val="9"/>
        <color theme="1"/>
        <rFont val="Tahoma"/>
        <family val="2"/>
      </rPr>
      <t>-137-147-162</t>
    </r>
  </si>
  <si>
    <t>1403/11/25*12/20*1404/01/14*02/09*03/05*03/05</t>
  </si>
  <si>
    <t>1403/10/11*11/03*11/30*12/27*02/09*1404/03/05</t>
  </si>
  <si>
    <t>WH-CH-84-096-118-129-147-162</t>
  </si>
  <si>
    <t>FQC040101</t>
  </si>
  <si>
    <t>FQC040102</t>
  </si>
  <si>
    <t>FQC040103</t>
  </si>
  <si>
    <t>FQC040105</t>
  </si>
  <si>
    <t>Part:1/2</t>
  </si>
  <si>
    <t>امانی پ جم</t>
  </si>
  <si>
    <t>فیلم استریچ هود</t>
  </si>
  <si>
    <t>2 ROLL</t>
  </si>
  <si>
    <t>1404/03/08</t>
  </si>
  <si>
    <t>WH-ME-778-CH-75-103-110-114-106-119-152-164</t>
  </si>
  <si>
    <t>1403/06/11*09/27*11/11*11/21*24/11*11/14*11/22/11/30*1404/02/21*03/14</t>
  </si>
  <si>
    <t>1404/03/18</t>
  </si>
  <si>
    <t>WH-CH-0165</t>
  </si>
  <si>
    <t>شرکت شیمیایی انرژِی سمنان</t>
  </si>
  <si>
    <t>Part:4</t>
  </si>
  <si>
    <t>10 dr*200KG</t>
  </si>
  <si>
    <t>28 dr*300KG</t>
  </si>
  <si>
    <t>1404/03/19</t>
  </si>
  <si>
    <t>1403-11-15*12/02*1404/01/10*02/28*03/20*03/22*04/08</t>
  </si>
  <si>
    <t>WH-CH-109--*ME1103-CH-135-157-167-168-170</t>
  </si>
  <si>
    <t>WH-CH-039-15</t>
  </si>
  <si>
    <t>Part:22-23-24</t>
  </si>
  <si>
    <t>1404/03/05-09-14</t>
  </si>
  <si>
    <t>4040483-404053-4040533</t>
  </si>
  <si>
    <t>1403/01/05*02/01*04/11*09/06*09/25*10/14*11/03-1404/02/25*03/04*04/07</t>
  </si>
  <si>
    <t>WH-ME-428-507/CH-004*005*72*86*96*155*160*169</t>
  </si>
  <si>
    <t>1404/01/14*02/01*03/01*04/07</t>
  </si>
  <si>
    <t>WH-CH-0137-145-158-169</t>
  </si>
  <si>
    <t>1403-11-14*11/27*1404/01/05*01/31*02/14*02/23*03/05*04/09</t>
  </si>
  <si>
    <t>WH-CH-105-116-133-144-149-153-162-171</t>
  </si>
  <si>
    <t>ENERGY 2301</t>
  </si>
  <si>
    <t>1404/04/10</t>
  </si>
  <si>
    <t>1 dr*200kg</t>
  </si>
  <si>
    <t>64 dr*250kg</t>
  </si>
  <si>
    <t>24dr*250kg</t>
  </si>
  <si>
    <t>1403/09/13*12/15*1404/01/15*03/14*04/14</t>
  </si>
  <si>
    <t>WH-CH-63-123-137-163-172</t>
  </si>
  <si>
    <t>Behran Bordbar oil 100</t>
  </si>
  <si>
    <t>Behran Bordbar oil 320</t>
  </si>
  <si>
    <t>Behran Bordbar oil 68</t>
  </si>
  <si>
    <t>Behran Bordbar PG oil 220</t>
  </si>
  <si>
    <t>Behran Bordbar PS oil 220</t>
  </si>
  <si>
    <t xml:space="preserve">AGIP OBI 12 /OBI T13 or MOBIL MARCOL 82 or SHELL ONDINA 917 </t>
  </si>
  <si>
    <t>Behran Bordbar oil Ps 46</t>
  </si>
  <si>
    <t>Shell ONDINA 917</t>
  </si>
  <si>
    <t>BEHRAN DOKHT 10</t>
  </si>
  <si>
    <t>Behran Bordbar oil 460</t>
  </si>
  <si>
    <t>Behran Bordbar oil 220</t>
  </si>
  <si>
    <t>Shell Lubricant Oil  Morlina S2 B46</t>
  </si>
  <si>
    <t>Shell Lubricant Oil  Omala S2 G 100</t>
  </si>
  <si>
    <t>AGIP BLASIA 220 - Oil</t>
  </si>
  <si>
    <t>Shell Morlina S2 BL 22 - Oil</t>
  </si>
  <si>
    <t>SHELL Omala S2 G 100 - Oil</t>
  </si>
  <si>
    <t>Shell Omala S2 GX 68-Oil</t>
  </si>
  <si>
    <t>NLGI GRADE گریس2</t>
  </si>
  <si>
    <t>SHELL LDPE COMPRESSOR LUB OIL 220</t>
  </si>
  <si>
    <t>LUBRUN WHITE OIL 917</t>
  </si>
  <si>
    <r>
      <t xml:space="preserve">Behran </t>
    </r>
    <r>
      <rPr>
        <b/>
        <sz val="9"/>
        <color theme="7" tint="-0.499984740745262"/>
        <rFont val="Tahoma"/>
        <family val="2"/>
      </rPr>
      <t>Hydraulic</t>
    </r>
    <r>
      <rPr>
        <sz val="9"/>
        <color theme="1"/>
        <rFont val="Tahoma"/>
        <family val="2"/>
      </rPr>
      <t xml:space="preserve"> H ISO oil 46</t>
    </r>
  </si>
  <si>
    <r>
      <t xml:space="preserve">Behran </t>
    </r>
    <r>
      <rPr>
        <b/>
        <sz val="9"/>
        <color theme="5" tint="-0.249977111117893"/>
        <rFont val="Tahoma"/>
        <family val="2"/>
      </rPr>
      <t>Bordbar</t>
    </r>
    <r>
      <rPr>
        <sz val="9"/>
        <color theme="1"/>
        <rFont val="Tahoma"/>
        <family val="2"/>
      </rPr>
      <t xml:space="preserve"> oil ISO 46</t>
    </r>
  </si>
  <si>
    <r>
      <t xml:space="preserve">Behran </t>
    </r>
    <r>
      <rPr>
        <b/>
        <sz val="9"/>
        <color theme="7" tint="-0.499984740745262"/>
        <rFont val="Tahoma"/>
        <family val="2"/>
      </rPr>
      <t>Hydraulic</t>
    </r>
    <r>
      <rPr>
        <sz val="9"/>
        <color theme="1"/>
        <rFont val="Tahoma"/>
        <family val="2"/>
      </rPr>
      <t xml:space="preserve"> H oil  ISO 68</t>
    </r>
  </si>
  <si>
    <t xml:space="preserve">CHEMICAL </t>
  </si>
  <si>
    <t>Bagging</t>
  </si>
  <si>
    <t>Grease</t>
  </si>
  <si>
    <t>Behran Bordbar oil ISO 46</t>
  </si>
  <si>
    <t>Behran Hydraulic H ISO oil 46</t>
  </si>
  <si>
    <t xml:space="preserve">تعداد 22 گالن  45 کیلو گرمی </t>
  </si>
  <si>
    <t>NAOCL 12%(آب ژاول)</t>
  </si>
  <si>
    <t>سود پرک خلوص98%</t>
  </si>
  <si>
    <t>سود مایع CAUSTIC 50%</t>
  </si>
  <si>
    <t>37796-37797</t>
  </si>
  <si>
    <t>37796-37798</t>
  </si>
  <si>
    <t>37796-37799</t>
  </si>
  <si>
    <t>WH-CH-062</t>
  </si>
  <si>
    <t>Part:1</t>
  </si>
  <si>
    <t>Part:2</t>
  </si>
  <si>
    <t>Part:3</t>
  </si>
  <si>
    <r>
      <rPr>
        <b/>
        <sz val="9"/>
        <color rgb="FFC00000"/>
        <rFont val="Tahoma"/>
        <family val="2"/>
      </rPr>
      <t>Transformer</t>
    </r>
    <r>
      <rPr>
        <b/>
        <sz val="9"/>
        <color theme="1"/>
        <rFont val="Tahoma"/>
        <family val="2"/>
      </rPr>
      <t xml:space="preserve"> oil</t>
    </r>
  </si>
  <si>
    <r>
      <t xml:space="preserve">Behran </t>
    </r>
    <r>
      <rPr>
        <b/>
        <sz val="9"/>
        <color theme="5" tint="-0.249977111117893"/>
        <rFont val="Tahoma"/>
        <family val="2"/>
      </rPr>
      <t>Bordbar</t>
    </r>
    <r>
      <rPr>
        <b/>
        <sz val="9"/>
        <color theme="1"/>
        <rFont val="Tahoma"/>
        <family val="2"/>
      </rPr>
      <t xml:space="preserve"> oil 100</t>
    </r>
  </si>
  <si>
    <r>
      <t xml:space="preserve">Behran </t>
    </r>
    <r>
      <rPr>
        <b/>
        <sz val="9"/>
        <color theme="5" tint="-0.249977111117893"/>
        <rFont val="Tahoma"/>
        <family val="2"/>
      </rPr>
      <t>Bordbar</t>
    </r>
    <r>
      <rPr>
        <b/>
        <sz val="9"/>
        <color theme="1"/>
        <rFont val="Tahoma"/>
        <family val="2"/>
      </rPr>
      <t xml:space="preserve"> oil 320</t>
    </r>
  </si>
  <si>
    <r>
      <t xml:space="preserve">Behran </t>
    </r>
    <r>
      <rPr>
        <b/>
        <sz val="9"/>
        <color theme="5" tint="-0.249977111117893"/>
        <rFont val="Tahoma"/>
        <family val="2"/>
      </rPr>
      <t>Bordbar</t>
    </r>
    <r>
      <rPr>
        <b/>
        <sz val="9"/>
        <color theme="1"/>
        <rFont val="Tahoma"/>
        <family val="2"/>
      </rPr>
      <t xml:space="preserve"> oil 68</t>
    </r>
  </si>
  <si>
    <r>
      <t xml:space="preserve">Behran </t>
    </r>
    <r>
      <rPr>
        <b/>
        <sz val="9"/>
        <color theme="5" tint="-0.249977111117893"/>
        <rFont val="Tahoma"/>
        <family val="2"/>
      </rPr>
      <t>Bordbar</t>
    </r>
    <r>
      <rPr>
        <b/>
        <sz val="9"/>
        <color theme="1"/>
        <rFont val="Tahoma"/>
        <family val="2"/>
      </rPr>
      <t xml:space="preserve"> PG oil 220</t>
    </r>
  </si>
  <si>
    <r>
      <t xml:space="preserve">Behran </t>
    </r>
    <r>
      <rPr>
        <b/>
        <sz val="9"/>
        <color theme="5" tint="-0.249977111117893"/>
        <rFont val="Tahoma"/>
        <family val="2"/>
      </rPr>
      <t>Bordbar</t>
    </r>
    <r>
      <rPr>
        <b/>
        <sz val="9"/>
        <color theme="1"/>
        <rFont val="Tahoma"/>
        <family val="2"/>
      </rPr>
      <t xml:space="preserve"> PS oil 220</t>
    </r>
  </si>
  <si>
    <r>
      <t xml:space="preserve">Behran </t>
    </r>
    <r>
      <rPr>
        <b/>
        <sz val="9"/>
        <color theme="7" tint="-0.499984740745262"/>
        <rFont val="Tahoma"/>
        <family val="2"/>
      </rPr>
      <t>Hydraulic</t>
    </r>
    <r>
      <rPr>
        <b/>
        <sz val="9"/>
        <color theme="1"/>
        <rFont val="Tahoma"/>
        <family val="2"/>
      </rPr>
      <t xml:space="preserve"> H ISO oil 46</t>
    </r>
  </si>
  <si>
    <r>
      <t xml:space="preserve">Behran </t>
    </r>
    <r>
      <rPr>
        <b/>
        <sz val="9"/>
        <color theme="5" tint="-0.249977111117893"/>
        <rFont val="Tahoma"/>
        <family val="2"/>
      </rPr>
      <t>Bordbar</t>
    </r>
    <r>
      <rPr>
        <b/>
        <sz val="9"/>
        <color theme="1"/>
        <rFont val="Tahoma"/>
        <family val="2"/>
      </rPr>
      <t xml:space="preserve"> oil 460</t>
    </r>
  </si>
  <si>
    <r>
      <t xml:space="preserve">Behran </t>
    </r>
    <r>
      <rPr>
        <b/>
        <sz val="9"/>
        <color theme="5" tint="-0.249977111117893"/>
        <rFont val="Tahoma"/>
        <family val="2"/>
      </rPr>
      <t>Bordbar</t>
    </r>
    <r>
      <rPr>
        <b/>
        <sz val="9"/>
        <color theme="1"/>
        <rFont val="Tahoma"/>
        <family val="2"/>
      </rPr>
      <t xml:space="preserve"> oil 220</t>
    </r>
  </si>
  <si>
    <r>
      <t xml:space="preserve">AGIP OBI 12 /OBI T13 or MOBIL MARCOL 82 or SHELL </t>
    </r>
    <r>
      <rPr>
        <b/>
        <sz val="9"/>
        <color rgb="FF7030A0"/>
        <rFont val="Tahoma"/>
        <family val="2"/>
      </rPr>
      <t>ONDINA</t>
    </r>
    <r>
      <rPr>
        <b/>
        <sz val="9"/>
        <color theme="1"/>
        <rFont val="Tahoma"/>
        <family val="2"/>
      </rPr>
      <t xml:space="preserve"> 917 </t>
    </r>
  </si>
  <si>
    <r>
      <t xml:space="preserve">AGIP </t>
    </r>
    <r>
      <rPr>
        <b/>
        <sz val="9"/>
        <color theme="3" tint="0.39997558519241921"/>
        <rFont val="Tahoma"/>
        <family val="2"/>
      </rPr>
      <t>BLASIA</t>
    </r>
    <r>
      <rPr>
        <b/>
        <sz val="9"/>
        <color theme="1"/>
        <rFont val="Tahoma"/>
        <family val="2"/>
      </rPr>
      <t xml:space="preserve"> 220 - Oil</t>
    </r>
  </si>
  <si>
    <r>
      <t xml:space="preserve">SHELL </t>
    </r>
    <r>
      <rPr>
        <b/>
        <sz val="9"/>
        <color rgb="FF002060"/>
        <rFont val="Tahoma"/>
        <family val="2"/>
      </rPr>
      <t>Omala</t>
    </r>
    <r>
      <rPr>
        <b/>
        <sz val="9"/>
        <color theme="1"/>
        <rFont val="Tahoma"/>
        <family val="2"/>
      </rPr>
      <t xml:space="preserve"> S2 G 100 - Oil</t>
    </r>
  </si>
  <si>
    <r>
      <t xml:space="preserve">Shell </t>
    </r>
    <r>
      <rPr>
        <b/>
        <sz val="9"/>
        <color rgb="FF002060"/>
        <rFont val="Tahoma"/>
        <family val="2"/>
      </rPr>
      <t>Omala</t>
    </r>
    <r>
      <rPr>
        <b/>
        <sz val="9"/>
        <color theme="1"/>
        <rFont val="Tahoma"/>
        <family val="2"/>
      </rPr>
      <t xml:space="preserve"> S2 GX 68-Oil</t>
    </r>
  </si>
  <si>
    <r>
      <t xml:space="preserve">Behran </t>
    </r>
    <r>
      <rPr>
        <b/>
        <sz val="9"/>
        <color theme="5" tint="-0.249977111117893"/>
        <rFont val="Tahoma"/>
        <family val="2"/>
      </rPr>
      <t xml:space="preserve">Bordbar </t>
    </r>
    <r>
      <rPr>
        <b/>
        <sz val="9"/>
        <color rgb="FF0070C0"/>
        <rFont val="Tahoma"/>
        <family val="2"/>
      </rPr>
      <t>oil</t>
    </r>
    <r>
      <rPr>
        <b/>
        <sz val="9"/>
        <color theme="1"/>
        <rFont val="Tahoma"/>
        <family val="2"/>
      </rPr>
      <t xml:space="preserve"> 220</t>
    </r>
  </si>
  <si>
    <r>
      <t xml:space="preserve">Behran </t>
    </r>
    <r>
      <rPr>
        <b/>
        <sz val="9"/>
        <color theme="5" tint="-0.249977111117893"/>
        <rFont val="Tahoma"/>
        <family val="2"/>
      </rPr>
      <t>Bordbar</t>
    </r>
    <r>
      <rPr>
        <b/>
        <sz val="9"/>
        <color theme="1"/>
        <rFont val="Tahoma"/>
        <family val="2"/>
      </rPr>
      <t xml:space="preserve"> oil Ps 46</t>
    </r>
  </si>
  <si>
    <r>
      <t xml:space="preserve">Shell </t>
    </r>
    <r>
      <rPr>
        <b/>
        <sz val="9"/>
        <color rgb="FF7030A0"/>
        <rFont val="Tahoma"/>
        <family val="2"/>
      </rPr>
      <t>ONDINA</t>
    </r>
    <r>
      <rPr>
        <b/>
        <sz val="9"/>
        <color theme="1"/>
        <rFont val="Tahoma"/>
        <family val="2"/>
      </rPr>
      <t xml:space="preserve"> 917</t>
    </r>
  </si>
  <si>
    <t>N/A</t>
  </si>
  <si>
    <t xml:space="preserve">پالت بسته بندی </t>
  </si>
  <si>
    <t>1404/04/16</t>
  </si>
  <si>
    <t>WH-CH-173</t>
  </si>
  <si>
    <t>24 dr*208</t>
  </si>
  <si>
    <r>
      <rPr>
        <b/>
        <sz val="10"/>
        <color theme="8" tint="-0.499984740745262"/>
        <rFont val="Tahoma"/>
        <family val="2"/>
      </rPr>
      <t>Mobil</t>
    </r>
    <r>
      <rPr>
        <b/>
        <sz val="9"/>
        <color theme="1"/>
        <rFont val="Tahoma"/>
        <family val="2"/>
      </rPr>
      <t xml:space="preserve"> OIL DTE 10 Excel 46</t>
    </r>
  </si>
  <si>
    <r>
      <rPr>
        <b/>
        <sz val="10"/>
        <color theme="8" tint="-0.499984740745262"/>
        <rFont val="Tahoma"/>
        <family val="2"/>
      </rPr>
      <t>Mobil</t>
    </r>
    <r>
      <rPr>
        <b/>
        <sz val="9"/>
        <color theme="1"/>
        <rFont val="Tahoma"/>
        <family val="2"/>
      </rPr>
      <t xml:space="preserve"> OIL SHC 634</t>
    </r>
  </si>
  <si>
    <t>MIV توسط امیر عباس صادر شود.</t>
  </si>
  <si>
    <t>MRVصادر شود به مقدار208</t>
  </si>
  <si>
    <t>تعداد بشکه</t>
  </si>
  <si>
    <t xml:space="preserve"> امانی پتروشیمی جم</t>
  </si>
  <si>
    <t>VENDOR</t>
  </si>
  <si>
    <t>BEHRAN Turbo Diesel 15W40</t>
  </si>
  <si>
    <t xml:space="preserve">تنخواهی </t>
  </si>
  <si>
    <t>1401/12/08</t>
  </si>
  <si>
    <t>PPJP-010125</t>
  </si>
  <si>
    <t>Grand Total</t>
  </si>
  <si>
    <r>
      <t xml:space="preserve">Behran </t>
    </r>
    <r>
      <rPr>
        <b/>
        <sz val="9"/>
        <color theme="5" tint="-0.249977111117893"/>
        <rFont val="Tahoma"/>
        <family val="2"/>
      </rPr>
      <t>Bordbar</t>
    </r>
    <r>
      <rPr>
        <b/>
        <sz val="9"/>
        <color theme="1"/>
        <rFont val="Tahoma"/>
        <family val="2"/>
      </rPr>
      <t xml:space="preserve"> PS oil 320</t>
    </r>
  </si>
  <si>
    <t>Behran Bordbar PS oil 320</t>
  </si>
  <si>
    <t>SHELL ONDINA oil 68</t>
  </si>
  <si>
    <r>
      <t xml:space="preserve">Shell </t>
    </r>
    <r>
      <rPr>
        <b/>
        <sz val="9"/>
        <color rgb="FF002060"/>
        <rFont val="Tahoma"/>
        <family val="2"/>
      </rPr>
      <t>Omala</t>
    </r>
    <r>
      <rPr>
        <b/>
        <sz val="9"/>
        <color theme="1"/>
        <rFont val="Tahoma"/>
        <family val="2"/>
      </rPr>
      <t xml:space="preserve"> s4we Oil220</t>
    </r>
  </si>
  <si>
    <t>Shell Omala s4we Oil220</t>
  </si>
  <si>
    <r>
      <rPr>
        <b/>
        <sz val="10"/>
        <color rgb="FF002060"/>
        <rFont val="Tahoma"/>
        <family val="2"/>
      </rPr>
      <t>Mobil</t>
    </r>
    <r>
      <rPr>
        <b/>
        <sz val="9"/>
        <color theme="1"/>
        <rFont val="Tahoma"/>
        <family val="2"/>
      </rPr>
      <t xml:space="preserve"> Gargoyle OIL Arcitic shc 224</t>
    </r>
  </si>
  <si>
    <t>Mobil Gargoyle OIL Arcitic shc 224</t>
  </si>
  <si>
    <t>Extra torbo OIL 20W50</t>
  </si>
  <si>
    <t>PETROFER Irus DU</t>
  </si>
  <si>
    <r>
      <t xml:space="preserve">Addinol  Heat </t>
    </r>
    <r>
      <rPr>
        <b/>
        <sz val="9"/>
        <color rgb="FFC00000"/>
        <rFont val="Tahoma"/>
        <family val="2"/>
      </rPr>
      <t>Transfer</t>
    </r>
    <r>
      <rPr>
        <b/>
        <sz val="9"/>
        <color theme="1"/>
        <rFont val="Tahoma"/>
        <family val="2"/>
      </rPr>
      <t xml:space="preserve"> Oil  XV 15 HT</t>
    </r>
  </si>
  <si>
    <t>Addinol  Heat Transfer Oil  XV 15 HT</t>
  </si>
  <si>
    <r>
      <t>AGIP</t>
    </r>
    <r>
      <rPr>
        <b/>
        <sz val="9"/>
        <color theme="9" tint="-0.249977111117893"/>
        <rFont val="Tahoma"/>
        <family val="2"/>
      </rPr>
      <t xml:space="preserve"> ARNICA </t>
    </r>
    <r>
      <rPr>
        <b/>
        <sz val="9"/>
        <color theme="4" tint="-0.499984740745262"/>
        <rFont val="Tahoma"/>
        <family val="2"/>
      </rPr>
      <t>OIL</t>
    </r>
    <r>
      <rPr>
        <b/>
        <sz val="9"/>
        <color theme="1"/>
        <rFont val="Tahoma"/>
        <family val="2"/>
      </rPr>
      <t xml:space="preserve"> SX/N 68</t>
    </r>
  </si>
  <si>
    <t>AGIP ARNICA OIL SX/N 68</t>
  </si>
  <si>
    <t>BEHRAN HOT OIL</t>
  </si>
  <si>
    <r>
      <t xml:space="preserve">Behran </t>
    </r>
    <r>
      <rPr>
        <b/>
        <sz val="9"/>
        <color theme="4" tint="-0.249977111117893"/>
        <rFont val="Tahoma"/>
        <family val="2"/>
      </rPr>
      <t>Derafsh</t>
    </r>
    <r>
      <rPr>
        <b/>
        <sz val="9"/>
        <color theme="1"/>
        <rFont val="Tahoma"/>
        <family val="2"/>
      </rPr>
      <t xml:space="preserve">  220</t>
    </r>
  </si>
  <si>
    <r>
      <t xml:space="preserve">Behran </t>
    </r>
    <r>
      <rPr>
        <b/>
        <sz val="9"/>
        <color theme="4" tint="-0.249977111117893"/>
        <rFont val="Tahoma"/>
        <family val="2"/>
      </rPr>
      <t>Derafsh</t>
    </r>
    <r>
      <rPr>
        <b/>
        <sz val="9"/>
        <color theme="1"/>
        <rFont val="Tahoma"/>
        <family val="2"/>
      </rPr>
      <t xml:space="preserve">  320</t>
    </r>
  </si>
  <si>
    <r>
      <t xml:space="preserve">Behran </t>
    </r>
    <r>
      <rPr>
        <b/>
        <sz val="9"/>
        <color theme="4" tint="-0.249977111117893"/>
        <rFont val="Tahoma"/>
        <family val="2"/>
      </rPr>
      <t>Derafsh</t>
    </r>
    <r>
      <rPr>
        <b/>
        <sz val="9"/>
        <color theme="1"/>
        <rFont val="Tahoma"/>
        <family val="2"/>
      </rPr>
      <t xml:space="preserve">  46</t>
    </r>
  </si>
  <si>
    <t>Behran Derafsh  320</t>
  </si>
  <si>
    <t>Behran Derafsh  46</t>
  </si>
  <si>
    <t xml:space="preserve">Behran Derafsh ISO VG 46 </t>
  </si>
  <si>
    <r>
      <t xml:space="preserve">Behran </t>
    </r>
    <r>
      <rPr>
        <b/>
        <sz val="9"/>
        <color theme="7" tint="-0.499984740745262"/>
        <rFont val="Tahoma"/>
        <family val="2"/>
      </rPr>
      <t>Hydraulic</t>
    </r>
    <r>
      <rPr>
        <b/>
        <sz val="9"/>
        <color theme="1"/>
        <rFont val="Tahoma"/>
        <family val="2"/>
      </rPr>
      <t xml:space="preserve"> H  22</t>
    </r>
  </si>
  <si>
    <r>
      <t xml:space="preserve">Behran </t>
    </r>
    <r>
      <rPr>
        <b/>
        <sz val="9"/>
        <color theme="7" tint="-0.499984740745262"/>
        <rFont val="Tahoma"/>
        <family val="2"/>
      </rPr>
      <t>Hydraulic</t>
    </r>
    <r>
      <rPr>
        <b/>
        <sz val="9"/>
        <color theme="1"/>
        <rFont val="Tahoma"/>
        <family val="2"/>
      </rPr>
      <t xml:space="preserve"> H  ISO 68</t>
    </r>
  </si>
  <si>
    <r>
      <t xml:space="preserve">Behran </t>
    </r>
    <r>
      <rPr>
        <b/>
        <sz val="9"/>
        <color theme="7" tint="-0.499984740745262"/>
        <rFont val="Tahoma"/>
        <family val="2"/>
      </rPr>
      <t>Hydraulic</t>
    </r>
    <r>
      <rPr>
        <b/>
        <sz val="9"/>
        <color theme="1"/>
        <rFont val="Tahoma"/>
        <family val="2"/>
      </rPr>
      <t xml:space="preserve"> T 68</t>
    </r>
  </si>
  <si>
    <r>
      <rPr>
        <b/>
        <sz val="9"/>
        <color theme="7" tint="-0.499984740745262"/>
        <rFont val="Tahoma"/>
        <family val="2"/>
      </rPr>
      <t xml:space="preserve">Behran Hydraulic </t>
    </r>
    <r>
      <rPr>
        <b/>
        <sz val="9"/>
        <color theme="1"/>
        <rFont val="Tahoma"/>
        <family val="2"/>
      </rPr>
      <t xml:space="preserve"> Gallon 20 lit  </t>
    </r>
  </si>
  <si>
    <t xml:space="preserve">Pars Babak Hydraulic Oil </t>
  </si>
  <si>
    <t>BEHRAN  HYDRAULICS ISO H 22</t>
  </si>
  <si>
    <t xml:space="preserve">Behran Hydraulic  Gallon 20 lit  </t>
  </si>
  <si>
    <t>Behran Hydraulic H  22</t>
  </si>
  <si>
    <t>Behran Hydraulic H  ISO 68</t>
  </si>
  <si>
    <t>Behran Hydraulic T 68</t>
  </si>
  <si>
    <r>
      <t xml:space="preserve">AGIP </t>
    </r>
    <r>
      <rPr>
        <b/>
        <sz val="9"/>
        <color theme="9" tint="-0.249977111117893"/>
        <rFont val="Tahoma"/>
        <family val="2"/>
      </rPr>
      <t>ARNICA</t>
    </r>
    <r>
      <rPr>
        <b/>
        <sz val="9"/>
        <color theme="1"/>
        <rFont val="Tahoma"/>
        <family val="2"/>
      </rPr>
      <t xml:space="preserve">  OIL 68</t>
    </r>
  </si>
  <si>
    <t>AGIP ARNICA  OIL 68</t>
  </si>
  <si>
    <t xml:space="preserve">Behran Bordbar ISO oil VG220 </t>
  </si>
  <si>
    <t>Behran Bordbar ISO oil VG320</t>
  </si>
  <si>
    <t>C-1</t>
  </si>
  <si>
    <t>B-C-1</t>
  </si>
  <si>
    <t>D-3</t>
  </si>
  <si>
    <t>E-1</t>
  </si>
  <si>
    <t>ENERGY 273i</t>
  </si>
  <si>
    <t>MIV صادر شود</t>
  </si>
  <si>
    <t>کسری دارد</t>
  </si>
  <si>
    <t>Safety chemical</t>
  </si>
  <si>
    <t>SKF LGWA 2</t>
  </si>
  <si>
    <t>Mobilux EP3
or
Shell Gadus S2 V220 3</t>
  </si>
  <si>
    <t xml:space="preserve"> به مقدار 10 کیلوگرم در ایندنت 30234 سفارش گذاری شده است</t>
  </si>
  <si>
    <t>Kluber Asonic GHY 72</t>
  </si>
  <si>
    <t xml:space="preserve"> به مقدار 3 کیلوگرم در ایندنت 30234 سفارش گذاری شده است</t>
  </si>
  <si>
    <t>SKF LGHP 2</t>
  </si>
  <si>
    <t xml:space="preserve"> MIN</t>
  </si>
  <si>
    <t xml:space="preserve"> MAX</t>
  </si>
  <si>
    <t xml:space="preserve"> INVENTORY</t>
  </si>
  <si>
    <t xml:space="preserve"> QTY
RECIVED</t>
  </si>
  <si>
    <t>یعنی فرمول MIN-MAXدارد</t>
  </si>
  <si>
    <t>درخواست خرید صادر شود</t>
  </si>
  <si>
    <t>روغن هایی که توسط تعمیرات MIN-MAX تعریف شده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</si>
  <si>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</si>
  <si>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مقدار کسری</t>
  </si>
  <si>
    <t>Row</t>
  </si>
  <si>
    <t>Behran a Derfsh 220</t>
  </si>
  <si>
    <t>Extra Coolant Oil(Ingersoland Rand- ISO VG100)</t>
  </si>
  <si>
    <t>6 dr*208</t>
  </si>
  <si>
    <t>1404/05/09</t>
  </si>
  <si>
    <t>1403-11-15*1404/05/13*05/23</t>
  </si>
  <si>
    <t>1403/03/19*12/18*1404/05/25</t>
  </si>
  <si>
    <t>WH-CH-001-125**04/154</t>
  </si>
  <si>
    <t>MIV.  NO/SMR.NO</t>
  </si>
  <si>
    <t>1403-11-14*11/27*1404/01/05*01/31*02/14*02/23*03/05*04/09*04/20*04/27*04/30*05/06*05/09*05/13*05/20*05/25*06/03</t>
  </si>
  <si>
    <t>1404/06/03</t>
  </si>
  <si>
    <t>پتاسیم لائورات</t>
  </si>
  <si>
    <t>WH-CH-063</t>
  </si>
  <si>
    <t>5 GAL*20LIT</t>
  </si>
  <si>
    <t>جهاد دانشگاهی کرج</t>
  </si>
  <si>
    <t>PBR 1220 OFF1</t>
  </si>
  <si>
    <t>SBR 1502 OFF1</t>
  </si>
  <si>
    <t>1404/05/30</t>
  </si>
  <si>
    <t>پتروشیمی تخت جمشید</t>
  </si>
  <si>
    <t>MINERAL OIL</t>
  </si>
  <si>
    <t>1404/04/25</t>
  </si>
  <si>
    <t>1404/05/29</t>
  </si>
  <si>
    <t>LEGACY VENTURES</t>
  </si>
  <si>
    <t>LVT25070149</t>
  </si>
  <si>
    <t>Behran Bordbar oil 46</t>
  </si>
  <si>
    <t>Petrofer ENVOLUBRIC HE 46</t>
  </si>
  <si>
    <t>AGIP ARNICA OIL SX/N 68 یه بشکه 208 لیتری قرنطینه</t>
  </si>
  <si>
    <t>AGIP ARNICA  OIL 68  دو بشکه 208 لیتری قرنطینه</t>
  </si>
  <si>
    <t>1404/06/10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</si>
  <si>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</si>
  <si>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1404/06/19</t>
  </si>
  <si>
    <t>Part:5</t>
  </si>
  <si>
    <t>60 dr*250kg</t>
  </si>
  <si>
    <t>تنخواهی مدیریت</t>
  </si>
  <si>
    <t>WH-CH-065</t>
  </si>
  <si>
    <t xml:space="preserve">WH-CH-064/1	</t>
  </si>
  <si>
    <t>1404/06/17</t>
  </si>
  <si>
    <t>1403/02/31*1404/06/28*06/31</t>
  </si>
  <si>
    <t>part:6</t>
  </si>
  <si>
    <t>1404/06/31</t>
  </si>
  <si>
    <t>1403/04/11*1404/02/24*07/06</t>
  </si>
  <si>
    <t>1404/07/06</t>
  </si>
  <si>
    <t>1404/07/10</t>
  </si>
  <si>
    <t>تحویل مستقیم-کالای امانی</t>
  </si>
  <si>
    <t>WH-CH-004-154(3910)</t>
  </si>
  <si>
    <t>WH-CH-068</t>
  </si>
  <si>
    <t>پتروشیمی هنگام</t>
  </si>
  <si>
    <t>PJPC-1403-119</t>
  </si>
  <si>
    <t>1404/01/05*1404/03/05*04/27*06/29*07/22</t>
  </si>
  <si>
    <t>WH-ME-623*4044*3907</t>
  </si>
  <si>
    <t>WH-CH-105-116-133-144-149-153-162-171-176-177-179-181-183-184-188**4116-4118-3937</t>
  </si>
  <si>
    <t>WH-CH-108-186-**4117</t>
  </si>
  <si>
    <t>WH-CH-133-147-162-177--3915*4111</t>
  </si>
  <si>
    <t xml:space="preserve"> 1404/07/03*08/03</t>
  </si>
  <si>
    <t>WH-CH-109--*ME1103-CH-135-157-167-168-170-3903-4192</t>
  </si>
  <si>
    <t>WH-CH-05*1404/08/06</t>
  </si>
  <si>
    <t xml:space="preserve">  Chemical character: Oracet Blue 640, Anthraquinone (blue powder) Optical Blech</t>
  </si>
  <si>
    <t>10کیلو از مشهد</t>
  </si>
  <si>
    <t>موجودی  به بشکه  / پالت</t>
  </si>
  <si>
    <t>WH-CH-070</t>
  </si>
  <si>
    <t>WH-CH-071</t>
  </si>
  <si>
    <t>TE/25-26/407-408</t>
  </si>
  <si>
    <t>WH-CH-064/2</t>
  </si>
  <si>
    <t>1404/08/04</t>
  </si>
  <si>
    <t>30446-30429</t>
  </si>
  <si>
    <t>NESTEKNIK</t>
  </si>
  <si>
    <t>15 PALLET*1000KG</t>
  </si>
  <si>
    <t>1404/07/14</t>
  </si>
  <si>
    <t>2کارتن 30 کیلوگرمی</t>
  </si>
  <si>
    <t>WH-CH-052/2</t>
  </si>
  <si>
    <t>-</t>
  </si>
  <si>
    <t>اشانتیون</t>
  </si>
  <si>
    <t>1404/07/30</t>
  </si>
  <si>
    <t>1404/08/14</t>
  </si>
  <si>
    <t>1404/08/15</t>
  </si>
  <si>
    <t>تعمیرات</t>
  </si>
  <si>
    <t>WH-ME-778-CH-75-103-110-114-106-119-152-164-4212-4259</t>
  </si>
  <si>
    <t>1403/06/11*09/27*11/11*11/21*24/11*11/14*11/22/11/30*1404/02/21*03/14-1404/07/05*08/05</t>
  </si>
  <si>
    <t>1404/09/01</t>
  </si>
  <si>
    <t>1403/04/17*04/24*08/27*10/07*11/30*12/18*1404/01/05*02/09*02/14*02/23*03/05*03/05*04/30*1404/09/01*09/02</t>
  </si>
  <si>
    <r>
      <t>WH-CH-007/010+056+083+118+</t>
    </r>
    <r>
      <rPr>
        <sz val="9"/>
        <color theme="8"/>
        <rFont val="Tahoma"/>
        <family val="2"/>
      </rPr>
      <t>124</t>
    </r>
    <r>
      <rPr>
        <sz val="9"/>
        <color theme="1"/>
        <rFont val="Tahoma"/>
        <family val="2"/>
      </rPr>
      <t>+133+147+149+153+161+162+179-4314-4330</t>
    </r>
  </si>
  <si>
    <t>1404/4369</t>
  </si>
  <si>
    <t>Aral Aralub HTG 2 (Castrol Spherol BNS2)</t>
  </si>
  <si>
    <t xml:space="preserve">Castrol Alpha SP 320 </t>
  </si>
  <si>
    <t>1404/09/18</t>
  </si>
  <si>
    <t xml:space="preserve">LUBCON Turmogrease CAK 4003 </t>
  </si>
  <si>
    <t xml:space="preserve">Exxon Mobil Unirex N 3 </t>
  </si>
  <si>
    <t xml:space="preserve">DuPont MOLYKOTE G‐Rapid Plus Paste </t>
  </si>
  <si>
    <t xml:space="preserve">Shell Gadus S2 V100 3 </t>
  </si>
  <si>
    <t xml:space="preserve">A.I. Schulze Birkosit sealing kitt </t>
  </si>
  <si>
    <t xml:space="preserve">TermoPasty Vaseline Oil </t>
  </si>
  <si>
    <t>PPJP-030169 &amp; PPJPC-1403-110</t>
  </si>
  <si>
    <t>PT/05-2024/9113</t>
  </si>
  <si>
    <t>Dr. Hauser pro Tech GmbH</t>
  </si>
  <si>
    <t>50 kg</t>
  </si>
  <si>
    <t>1 kg</t>
  </si>
  <si>
    <t>0.4 kg</t>
  </si>
  <si>
    <t>25 kg</t>
  </si>
  <si>
    <t>D1 , D2</t>
  </si>
  <si>
    <t xml:space="preserve"> Dr. Hauser pro Tech GmbH</t>
  </si>
  <si>
    <t>36 dr* 208 lit</t>
  </si>
  <si>
    <t>3 dr* 208 lit</t>
  </si>
  <si>
    <t>75 Gall* 20 lit</t>
  </si>
  <si>
    <t>WH-CH-073</t>
  </si>
  <si>
    <t>Silicone, Fluortek AB (Fluortek TP55)</t>
  </si>
  <si>
    <t>lithium KPF2/3N-30, Interflon InterflonMP 2/3</t>
  </si>
  <si>
    <t>Lubcon Turmsilon K3000W</t>
  </si>
  <si>
    <t>1404/09/08</t>
  </si>
  <si>
    <t>WH-CH-069</t>
  </si>
  <si>
    <t>1404/08/05*09/24</t>
  </si>
  <si>
    <t>4238*4396</t>
  </si>
  <si>
    <t>PJPC*پتروشیمی تبریز</t>
  </si>
  <si>
    <t>1404/09/24</t>
  </si>
  <si>
    <t>PPJP-030446</t>
  </si>
  <si>
    <t>WH-CH-064/3</t>
  </si>
  <si>
    <t>تعمیرات برق</t>
  </si>
  <si>
    <t>WH-CH-132/4381</t>
  </si>
  <si>
    <t>بهره برداری/ پتروشیمی مشهد</t>
  </si>
  <si>
    <t>1404/09/05</t>
  </si>
  <si>
    <t>پتروشمی تبریز</t>
  </si>
  <si>
    <t>4317*09/20</t>
  </si>
  <si>
    <t>1404/08/06*09/29</t>
  </si>
  <si>
    <t>4313*4317*4394*4395</t>
  </si>
  <si>
    <t>WH-CH-101*148*189</t>
  </si>
  <si>
    <t>1403/11/11*1404/02/10*10/03</t>
  </si>
  <si>
    <t>4117*3916*4048*4448</t>
  </si>
  <si>
    <t>1404/05/23*07/01*08/06*10/05</t>
  </si>
  <si>
    <t xml:space="preserve">تعداد 40 گالن  25 کیلو گرمی </t>
  </si>
  <si>
    <t>09/26</t>
  </si>
  <si>
    <t>1403/06/11*1404/08/15*10/10*10/10</t>
  </si>
  <si>
    <t>1404/06/03*10/05*09/26</t>
  </si>
  <si>
    <t>3938*4446*4433</t>
  </si>
  <si>
    <t>WH-ME-778*TT-4277*TT-4434*TT-4437</t>
  </si>
  <si>
    <t>1404/4452</t>
  </si>
  <si>
    <t>3024 نامه</t>
  </si>
  <si>
    <t>PPJP-030169</t>
  </si>
  <si>
    <t>PPJP-030571</t>
  </si>
  <si>
    <t>WH-CH-074</t>
  </si>
  <si>
    <t>روغن سیلیکونی Lubrun Lubtherm K3000</t>
  </si>
  <si>
    <t>1404/10/22</t>
  </si>
  <si>
    <t>20 CAN* 5 LIT</t>
  </si>
  <si>
    <t>5 container * 20000 KG</t>
  </si>
  <si>
    <t>1 container * 20000 KG</t>
  </si>
  <si>
    <t>TE/25-26/435-436</t>
  </si>
  <si>
    <t>PPJP-030132</t>
  </si>
  <si>
    <t>WH-CH-064-5</t>
  </si>
  <si>
    <t>1404/10/28</t>
  </si>
  <si>
    <t>6 container * 20000 KG</t>
  </si>
  <si>
    <t>1404/08/17</t>
  </si>
  <si>
    <t>1403/06/11*1404/10/08</t>
  </si>
  <si>
    <t>WH-ME-778*4427</t>
  </si>
  <si>
    <t>WH-CH-002/ME-778-ch-111-125*4427</t>
  </si>
  <si>
    <t>1404/10/08</t>
  </si>
  <si>
    <t>9987111972</t>
  </si>
  <si>
    <t>1403/12/20*1404/10/27</t>
  </si>
  <si>
    <t>1404/01/13*07/03*10/27</t>
  </si>
  <si>
    <t>1404/11/03</t>
  </si>
  <si>
    <t>تنخواهی 4005</t>
  </si>
  <si>
    <t>WH-GEN-075</t>
  </si>
  <si>
    <t>فروشگاه ابزار آسیا</t>
  </si>
  <si>
    <t>فامکو</t>
  </si>
  <si>
    <t>ژل اسید شویی</t>
  </si>
  <si>
    <t>انتقال از جنرال</t>
  </si>
  <si>
    <t>8 CAN* 1 KG</t>
  </si>
  <si>
    <t>1404/10/20</t>
  </si>
  <si>
    <t>Alkaline detergentدترجنت قلیایی ایرانی</t>
  </si>
  <si>
    <t>3 gall* 20 lit</t>
  </si>
  <si>
    <t>lit</t>
  </si>
  <si>
    <t>WH-CH-136-3903-4494</t>
  </si>
  <si>
    <t>B-1</t>
  </si>
  <si>
    <t>A-1</t>
  </si>
  <si>
    <t>A-3</t>
  </si>
  <si>
    <t>B-2</t>
  </si>
  <si>
    <t>B-3</t>
  </si>
  <si>
    <t>C-3</t>
  </si>
  <si>
    <t>E-2</t>
  </si>
  <si>
    <t>D-1</t>
  </si>
  <si>
    <t xml:space="preserve">D-1 </t>
  </si>
  <si>
    <t>77پالت طوسی 308 بشکه208 کیلوگرمی</t>
  </si>
  <si>
    <t>WH-CH-06*1404/07/01</t>
  </si>
  <si>
    <t>16B016-INV-001</t>
  </si>
  <si>
    <t>ASL-PME-95123</t>
  </si>
  <si>
    <t>ME-00442</t>
  </si>
  <si>
    <t>DONGHAE INDUSTRIAL CO  LTD</t>
  </si>
  <si>
    <t xml:space="preserve"> Coating &amp; Wrapping for Pipe &amp; Flar Glass Mat, Resin  Net Weight (Kg):(Unit:1 Total:330)</t>
  </si>
  <si>
    <t>انتقال از مکانیکال</t>
  </si>
  <si>
    <t>4 GALL* 15 KG &amp;      10 GALL * 20 KG</t>
  </si>
  <si>
    <t>1397/08/06</t>
  </si>
  <si>
    <t>1404/4451</t>
  </si>
  <si>
    <t>9987119152</t>
  </si>
  <si>
    <t>تنخواهی O-02093</t>
  </si>
  <si>
    <t>WH-ME-096</t>
  </si>
  <si>
    <t>غفاری</t>
  </si>
  <si>
    <t>Cleaner مایع</t>
  </si>
  <si>
    <t>1 GALL * 20 LIT</t>
  </si>
  <si>
    <t>1402/06/06</t>
  </si>
  <si>
    <t>WH-ME-725*4504</t>
  </si>
  <si>
    <t>1403/04/07**1404/11/19</t>
  </si>
  <si>
    <t>1404/11/02</t>
  </si>
  <si>
    <t>6 GALL * 20 kg</t>
  </si>
  <si>
    <t>4486*4508</t>
  </si>
  <si>
    <t>1403/03/19*03/21*06/11*09/09*10/22*11/11*11/02*05/13*1404/07/01*10/08*11/19</t>
  </si>
  <si>
    <t>WH-CH-001/ME-681/ME-778/914/91-ch-104-095-185*4427*4530</t>
  </si>
  <si>
    <t>1404/11/27</t>
  </si>
  <si>
    <t>1404/10/28*1404/4490</t>
  </si>
  <si>
    <t>ME</t>
  </si>
  <si>
    <t>INDUSTRIAL SOLVENT U-CLENER FOR METAL , ARIOSTEA , BATCH NO: 1173U032</t>
  </si>
  <si>
    <t>ARIOSTEA</t>
  </si>
  <si>
    <t>49 BOTTEL * 1 LIT</t>
  </si>
  <si>
    <t>INDUSTRIAL PRIMER PAINT FOR METALS , ARIOSTEA , BATCH NO: 728036</t>
  </si>
  <si>
    <t>5 BOTTEL * 1 LIT</t>
  </si>
  <si>
    <t>WH-CH-03-REV.01</t>
  </si>
  <si>
    <t>انتقال از SF</t>
  </si>
  <si>
    <t>2 * 200 + 5 *20</t>
  </si>
  <si>
    <t>6 * 200 + 5 * 20</t>
  </si>
  <si>
    <t>4 * 200 + 2 * 20</t>
  </si>
  <si>
    <t>1403/10/11*11/03*11/30*12/27*1404/02/09*08/20*09/02*09/16*10/05*11/08*10/05</t>
  </si>
  <si>
    <t>WH-CH-84-096-118-129-4322-4331-4366-4447-4509-4533</t>
  </si>
  <si>
    <t>1403/06/12*05/25*08/02*09/22*09/25*11/11*11/15*1404/01/25*08/04</t>
  </si>
  <si>
    <t>ME-780*CH-018-037-070-072-0102-0107-0140-1404/4337</t>
  </si>
  <si>
    <t>CH-074-0139-0141-0142-0178-0180(ضایعات)</t>
  </si>
  <si>
    <t>1403/09/27*1404/01/23*01/19*01/25*04/30*05/01*</t>
  </si>
  <si>
    <t>WH-EL-0116</t>
  </si>
  <si>
    <t>1401/07/06</t>
  </si>
  <si>
    <t>انتقال از EL</t>
  </si>
  <si>
    <t>MRV-EL-0026</t>
  </si>
  <si>
    <t>EL-00207</t>
  </si>
  <si>
    <t>1404/04/18</t>
  </si>
  <si>
    <t>1404/09/12</t>
  </si>
  <si>
    <t>9987112052</t>
  </si>
  <si>
    <t>6053-023~029</t>
  </si>
  <si>
    <t>1404/4427</t>
  </si>
  <si>
    <t>WH-ME-690</t>
  </si>
  <si>
    <t>WH-ME-903</t>
  </si>
  <si>
    <t>1403/09/01</t>
  </si>
  <si>
    <t>1403/03/17</t>
  </si>
  <si>
    <t>1403/03/23</t>
  </si>
  <si>
    <r>
      <t xml:space="preserve">Behran </t>
    </r>
    <r>
      <rPr>
        <b/>
        <sz val="9"/>
        <color theme="5" tint="-0.249977111117893"/>
        <rFont val="Tahoma"/>
        <family val="2"/>
      </rPr>
      <t>Bordbar</t>
    </r>
    <r>
      <rPr>
        <b/>
        <sz val="9"/>
        <color theme="1"/>
        <rFont val="Tahoma"/>
        <family val="2"/>
      </rPr>
      <t xml:space="preserve"> oil 46</t>
    </r>
  </si>
  <si>
    <t>1404/05/01</t>
  </si>
  <si>
    <t>WH-CH-0180</t>
  </si>
  <si>
    <t>ضایعات</t>
  </si>
  <si>
    <t>1403/09/10*09/12*09/13*1404/05/01</t>
  </si>
  <si>
    <t>WH-CH-60-61-180</t>
  </si>
  <si>
    <r>
      <t>WH-CH-001*</t>
    </r>
    <r>
      <rPr>
        <sz val="9"/>
        <color theme="4" tint="-0.249977111117893"/>
        <rFont val="Tahoma"/>
        <family val="2"/>
      </rPr>
      <t>127</t>
    </r>
    <r>
      <rPr>
        <sz val="9"/>
        <color theme="1"/>
        <rFont val="Tahoma"/>
        <family val="2"/>
      </rPr>
      <t>*4495</t>
    </r>
  </si>
  <si>
    <t>WH-CH-67-88*ME-661</t>
  </si>
  <si>
    <r>
      <t xml:space="preserve">BEHRAN </t>
    </r>
    <r>
      <rPr>
        <b/>
        <sz val="9"/>
        <color theme="7" tint="-0.499984740745262"/>
        <rFont val="Tahoma"/>
        <family val="2"/>
      </rPr>
      <t>HYDRAULIC</t>
    </r>
    <r>
      <rPr>
        <b/>
        <sz val="9"/>
        <color theme="1"/>
        <rFont val="Tahoma"/>
        <family val="2"/>
      </rPr>
      <t xml:space="preserve"> T 46</t>
    </r>
  </si>
  <si>
    <t>140MRV</t>
  </si>
  <si>
    <t>10 GALL*20</t>
  </si>
  <si>
    <t>WH-CH-62-152*04/709</t>
  </si>
  <si>
    <t>9987119452</t>
  </si>
  <si>
    <t>WH-ME-236</t>
  </si>
  <si>
    <t>WH-EL-433</t>
  </si>
  <si>
    <t>WH-CH-174**1404/4397</t>
  </si>
  <si>
    <t>PPJP-020288</t>
  </si>
  <si>
    <t>H-42166</t>
  </si>
  <si>
    <t>0.454 kg</t>
  </si>
  <si>
    <t>9987118932</t>
  </si>
  <si>
    <t>WH-CH-182(4302)</t>
  </si>
  <si>
    <t>REFERENCE IRAN CO.</t>
  </si>
  <si>
    <t>1404/11/02*11/30</t>
  </si>
  <si>
    <t>4513*4545</t>
  </si>
  <si>
    <t>1404-05-19*06/03*06/12*06/25*06/29*07/09*07/14*07/22*07/29*08/12*08/20*08/30*09/16*09/12*10/05*10/09*10/27*11/07*11/15*11/20*11/28</t>
  </si>
  <si>
    <t>WH-CH-187*4040*4045*3915*3914*4062*4112*4111*4176*4264*4322*(4309,4316)*4366*4355*4445*4428*4450*4505*4507*4510*4528*4543</t>
  </si>
  <si>
    <t>1404/08/06*10/05*11/15*10/14</t>
  </si>
  <si>
    <t>4048*4448*4506*4550</t>
  </si>
  <si>
    <t>1403/03/24*03/19*04/15/0-1404/07/06*08/02*10/10*11/19*12/06</t>
  </si>
  <si>
    <t>CH-001/006/4210/4109/4199/4429/4530/4562</t>
  </si>
  <si>
    <t>انبارگردانی 1404</t>
  </si>
  <si>
    <t>9987118802</t>
  </si>
  <si>
    <t>9987119052</t>
  </si>
  <si>
    <t>WH-ME-778-WH-CH-156-4427-CH-191</t>
  </si>
  <si>
    <t xml:space="preserve">امانی پتروشیمی تخت جمشید </t>
  </si>
  <si>
    <t>1404/03/19-1405/02/17</t>
  </si>
  <si>
    <t>ENERGY 10100</t>
  </si>
  <si>
    <t>1405/02/17</t>
  </si>
  <si>
    <t>1405/02/27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</si>
</sst>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* #,##0.0_);_(* \(#,##0.0\);_(* &quot;-&quot;??_);_(@_)"/>
  </numFmts>
  <fonts count="7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B050"/>
      <name val="Tahoma"/>
      <family val="2"/>
    </font>
    <font>
      <sz val="8"/>
      <color theme="1"/>
      <name val="Tahoma"/>
      <family val="2"/>
    </font>
    <font>
      <sz val="9"/>
      <color rgb="FF7030A0"/>
      <name val="Tahoma"/>
      <family val="2"/>
    </font>
    <font>
      <sz val="9"/>
      <color rgb="FFFF0000"/>
      <name val="Tahoma"/>
      <family val="2"/>
    </font>
    <font>
      <sz val="10"/>
      <color rgb="FF000000"/>
      <name val="Times New Roman"/>
      <family val="1"/>
    </font>
    <font>
      <sz val="11"/>
      <color theme="1"/>
      <name val="Calibri"/>
      <family val="2"/>
      <charset val="178"/>
      <scheme val="minor"/>
    </font>
    <font>
      <sz val="8"/>
      <color theme="1"/>
      <name val="Calibri Light"/>
      <family val="2"/>
    </font>
    <font>
      <sz val="9"/>
      <color rgb="FFFFFF00"/>
      <name val="Tahoma"/>
      <family val="2"/>
    </font>
    <font>
      <sz val="8"/>
      <color rgb="FFFFFF00"/>
      <name val="Tahoma"/>
      <family val="2"/>
    </font>
    <font>
      <b/>
      <sz val="9"/>
      <color theme="5" tint="-0.249977111117893"/>
      <name val="Tahoma"/>
      <family val="2"/>
    </font>
    <font>
      <b/>
      <sz val="9"/>
      <color theme="7" tint="-0.499984740745262"/>
      <name val="Tahoma"/>
      <family val="2"/>
    </font>
    <font>
      <sz val="9"/>
      <color theme="7" tint="-0.499984740745262"/>
      <name val="Tahoma"/>
      <family val="2"/>
    </font>
    <font>
      <b/>
      <sz val="9"/>
      <color theme="3" tint="0.39997558519241921"/>
      <name val="Tahoma"/>
      <family val="2"/>
    </font>
    <font>
      <b/>
      <sz val="9"/>
      <color theme="4" tint="-0.249977111117893"/>
      <name val="Tahoma"/>
      <family val="2"/>
    </font>
    <font>
      <b/>
      <sz val="9"/>
      <color theme="1"/>
      <name val="Tahoma"/>
      <family val="2"/>
    </font>
    <font>
      <sz val="9"/>
      <color rgb="FF0070C0"/>
      <name val="Tahoma"/>
      <family val="2"/>
    </font>
    <font>
      <b/>
      <sz val="9"/>
      <color theme="9" tint="-0.249977111117893"/>
      <name val="Tahoma"/>
      <family val="2"/>
    </font>
    <font>
      <sz val="9"/>
      <color theme="4" tint="-0.499984740745262"/>
      <name val="Tahoma"/>
      <family val="2"/>
    </font>
    <font>
      <b/>
      <sz val="9"/>
      <color rgb="FF002060"/>
      <name val="Tahoma"/>
      <family val="2"/>
    </font>
    <font>
      <b/>
      <sz val="9"/>
      <color rgb="FF7030A0"/>
      <name val="Tahoma"/>
      <family val="2"/>
    </font>
    <font>
      <b/>
      <sz val="9"/>
      <color rgb="FFC00000"/>
      <name val="Tahoma"/>
      <family val="2"/>
    </font>
    <font>
      <sz val="10"/>
      <color theme="1"/>
      <name val="Calibri"/>
      <family val="2"/>
      <scheme val="minor"/>
    </font>
    <font>
      <b/>
      <sz val="9"/>
      <color theme="3"/>
      <name val="Tahoma"/>
      <family val="2"/>
    </font>
    <font>
      <b/>
      <sz val="9"/>
      <color theme="2" tint="-0.749992370372631"/>
      <name val="Tahoma"/>
      <family val="2"/>
    </font>
    <font>
      <sz val="9"/>
      <color theme="4" tint="-0.249977111117893"/>
      <name val="Tahoma"/>
      <family val="2"/>
    </font>
    <font>
      <sz val="9"/>
      <color theme="8"/>
      <name val="Tahoma"/>
      <family val="2"/>
    </font>
    <font>
      <sz val="9"/>
      <color theme="8" tint="-0.249977111117893"/>
      <name val="Tahoma"/>
      <family val="2"/>
    </font>
    <font>
      <b/>
      <sz val="9"/>
      <color rgb="FFFFFF00"/>
      <name val="Tahoma"/>
      <family val="2"/>
    </font>
    <font>
      <b/>
      <sz val="8"/>
      <color rgb="FFFFFF00"/>
      <name val="Tahoma"/>
      <family val="2"/>
    </font>
    <font>
      <sz val="9"/>
      <color theme="0"/>
      <name val="Calibri"/>
      <family val="2"/>
      <scheme val="minor"/>
    </font>
    <font>
      <b/>
      <sz val="9"/>
      <color rgb="FFFF0000"/>
      <name val="Tahoma"/>
      <family val="2"/>
    </font>
    <font>
      <b/>
      <sz val="9"/>
      <color theme="0"/>
      <name val="Tahoma"/>
      <family val="2"/>
    </font>
    <font>
      <sz val="9"/>
      <color theme="5" tint="-0.249977111117893"/>
      <name val="Tahoma"/>
      <family val="2"/>
    </font>
    <font>
      <sz val="10"/>
      <color theme="1"/>
      <name val="B Nazanin"/>
      <charset val="178"/>
    </font>
    <font>
      <sz val="9"/>
      <color rgb="FF00B0F0"/>
      <name val="Tahoma"/>
      <family val="2"/>
    </font>
    <font>
      <sz val="8"/>
      <color theme="1"/>
      <name val="B Nazanin"/>
      <charset val="178"/>
    </font>
    <font>
      <b/>
      <sz val="20"/>
      <color theme="7" tint="-0.249977111117893"/>
      <name val="Tahoma"/>
      <family val="2"/>
    </font>
    <font>
      <b/>
      <sz val="18"/>
      <color theme="9" tint="-0.249977111117893"/>
      <name val="Tahoma"/>
      <family val="2"/>
    </font>
    <font>
      <b/>
      <sz val="22"/>
      <color theme="0" tint="-0.499984740745262"/>
      <name val="Calibri"/>
      <family val="2"/>
      <scheme val="minor"/>
    </font>
    <font>
      <b/>
      <sz val="18"/>
      <name val="Tahoma"/>
      <family val="2"/>
    </font>
    <font>
      <b/>
      <sz val="9"/>
      <color theme="4" tint="-0.499984740745262"/>
      <name val="Tahoma"/>
      <family val="2"/>
    </font>
    <font>
      <b/>
      <sz val="9"/>
      <color rgb="FF0070C0"/>
      <name val="Tahoma"/>
      <family val="2"/>
    </font>
    <font>
      <b/>
      <sz val="8"/>
      <color theme="1"/>
      <name val="Tahoma"/>
      <family val="2"/>
    </font>
    <font>
      <b/>
      <sz val="10"/>
      <color rgb="FF002060"/>
      <name val="Tahoma"/>
      <family val="2"/>
    </font>
    <font>
      <b/>
      <sz val="10"/>
      <color theme="8" tint="-0.499984740745262"/>
      <name val="Tahoma"/>
      <family val="2"/>
    </font>
    <font>
      <b/>
      <sz val="9"/>
      <color rgb="FF00B050"/>
      <name val="Tahoma"/>
      <family val="2"/>
    </font>
    <font>
      <b/>
      <sz val="11"/>
      <color rgb="FFFFFF00"/>
      <name val="Calibri"/>
      <family val="2"/>
      <scheme val="minor"/>
    </font>
    <font>
      <sz val="9"/>
      <color theme="1" tint="4.9989318521683403E-2"/>
      <name val="Tahoma"/>
      <family val="2"/>
    </font>
    <font>
      <b/>
      <sz val="9"/>
      <color theme="1" tint="4.9989318521683403E-2"/>
      <name val="Tahoma"/>
      <family val="2"/>
    </font>
    <font>
      <b/>
      <sz val="8"/>
      <color theme="1" tint="4.9989318521683403E-2"/>
      <name val="Tahoma"/>
      <family val="2"/>
    </font>
    <font>
      <sz val="10"/>
      <color theme="1" tint="4.9989318521683403E-2"/>
      <name val="Tahoma"/>
      <family val="2"/>
    </font>
    <font>
      <b/>
      <sz val="10"/>
      <color theme="1" tint="4.9989318521683403E-2"/>
      <name val="Tahoma"/>
      <family val="2"/>
    </font>
    <font>
      <b/>
      <sz val="16"/>
      <color theme="1" tint="4.9989318521683403E-2"/>
      <name val="Tahoma"/>
      <family val="2"/>
    </font>
    <font>
      <b/>
      <sz val="14"/>
      <color theme="1"/>
      <name val="Calibri"/>
      <family val="2"/>
      <scheme val="minor"/>
    </font>
    <font>
      <sz val="18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 Light"/>
      <family val="2"/>
      <scheme val="major"/>
    </font>
    <font>
      <b/>
      <sz val="11"/>
      <name val="Calibri"/>
      <family val="2"/>
      <scheme val="minor"/>
    </font>
    <font>
      <b/>
      <sz val="10"/>
      <name val="Calibri Light"/>
      <family val="2"/>
    </font>
    <font>
      <sz val="10"/>
      <name val="Calibri Light"/>
      <family val="2"/>
    </font>
    <font>
      <sz val="9"/>
      <color rgb="FF000000"/>
      <name val="Tahoma"/>
      <family val="2"/>
    </font>
    <font>
      <sz val="9"/>
      <color theme="4"/>
      <name val="Tahoma"/>
      <family val="2"/>
    </font>
    <font>
      <b/>
      <sz val="11"/>
      <name val="Calibri"/>
      <family val="2"/>
    </font>
    <font>
      <sz val="10"/>
      <color rgb="FFFF0000"/>
      <name val="Tahoma"/>
      <family val="2"/>
    </font>
    <font>
      <sz val="11"/>
      <color rgb="FFFF0000"/>
      <name val="Tahoma"/>
      <family val="2"/>
    </font>
    <font>
      <sz val="10"/>
      <color rgb="FFFFFF00"/>
      <name val="Tahoma"/>
      <family val="2"/>
    </font>
    <font>
      <sz val="10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4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medium">
        <color rgb="FF000000"/>
      </bottom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0" fontId="11" fillId="0" borderId="0"/>
    <xf numFmtId="0" fontId="12" fillId="0" borderId="0"/>
    <xf numFmtId="0" fontId="3" fillId="0" borderId="0"/>
    <xf numFmtId="0" fontId="1" fillId="0" borderId="0"/>
  </cellStyleXfs>
  <cellXfs count="311">
    <xf numFmtId="0" fontId="0" fillId="0" borderId="0" xfId="0"/>
    <xf numFmtId="0" fontId="4" fillId="0" borderId="0" xfId="0" applyFont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center" wrapText="1"/>
    </xf>
    <xf numFmtId="0" fontId="4" fillId="0" borderId="10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4" fontId="4" fillId="0" borderId="1" xfId="1" applyNumberFormat="1" applyFont="1" applyBorder="1" applyAlignment="1">
      <alignment horizontal="right" vertical="center" wrapText="1"/>
    </xf>
    <xf numFmtId="164" fontId="10" fillId="0" borderId="1" xfId="1" applyNumberFormat="1" applyFont="1" applyBorder="1" applyAlignment="1">
      <alignment horizontal="right" vertical="center" wrapText="1"/>
    </xf>
    <xf numFmtId="164" fontId="4" fillId="0" borderId="9" xfId="1" applyNumberFormat="1" applyFont="1" applyBorder="1" applyAlignment="1">
      <alignment horizontal="right" vertical="center" wrapText="1"/>
    </xf>
    <xf numFmtId="164" fontId="4" fillId="0" borderId="0" xfId="1" applyNumberFormat="1" applyFont="1" applyAlignment="1">
      <alignment horizontal="right" vertical="center" wrapText="1"/>
    </xf>
    <xf numFmtId="164" fontId="4" fillId="0" borderId="1" xfId="1" applyNumberFormat="1" applyFont="1" applyBorder="1" applyAlignment="1">
      <alignment horizontal="center" vertical="center" wrapText="1"/>
    </xf>
    <xf numFmtId="164" fontId="4" fillId="0" borderId="9" xfId="1" applyNumberFormat="1" applyFont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164" fontId="14" fillId="4" borderId="1" xfId="1" applyNumberFormat="1" applyFont="1" applyFill="1" applyBorder="1" applyAlignment="1">
      <alignment horizontal="right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4" fillId="0" borderId="1" xfId="1" applyNumberFormat="1" applyFont="1" applyBorder="1" applyAlignment="1">
      <alignment horizontal="right" vertical="center" wrapText="1"/>
    </xf>
    <xf numFmtId="0" fontId="13" fillId="0" borderId="1" xfId="2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164" fontId="21" fillId="0" borderId="1" xfId="1" applyNumberFormat="1" applyFont="1" applyBorder="1" applyAlignment="1">
      <alignment horizontal="center" vertical="center" wrapText="1"/>
    </xf>
    <xf numFmtId="0" fontId="34" fillId="2" borderId="21" xfId="0" applyFont="1" applyFill="1" applyBorder="1" applyAlignment="1">
      <alignment horizontal="center" vertical="center" wrapText="1"/>
    </xf>
    <xf numFmtId="0" fontId="36" fillId="9" borderId="16" xfId="0" applyFont="1" applyFill="1" applyBorder="1"/>
    <xf numFmtId="0" fontId="34" fillId="5" borderId="20" xfId="0" applyFont="1" applyFill="1" applyBorder="1" applyAlignment="1">
      <alignment horizontal="center" vertical="center" wrapText="1"/>
    </xf>
    <xf numFmtId="0" fontId="34" fillId="5" borderId="21" xfId="0" applyFont="1" applyFill="1" applyBorder="1" applyAlignment="1">
      <alignment horizontal="center" vertical="center" wrapText="1"/>
    </xf>
    <xf numFmtId="0" fontId="35" fillId="5" borderId="21" xfId="0" applyFont="1" applyFill="1" applyBorder="1" applyAlignment="1">
      <alignment horizontal="center" vertical="center" wrapText="1"/>
    </xf>
    <xf numFmtId="164" fontId="34" fillId="4" borderId="21" xfId="1" applyNumberFormat="1" applyFont="1" applyFill="1" applyBorder="1" applyAlignment="1">
      <alignment horizontal="right" vertical="center" wrapText="1"/>
    </xf>
    <xf numFmtId="0" fontId="34" fillId="4" borderId="21" xfId="0" applyFont="1" applyFill="1" applyBorder="1" applyAlignment="1">
      <alignment horizontal="center" vertical="center" wrapText="1"/>
    </xf>
    <xf numFmtId="164" fontId="34" fillId="4" borderId="21" xfId="1" applyNumberFormat="1" applyFont="1" applyFill="1" applyBorder="1" applyAlignment="1">
      <alignment horizontal="center" vertical="center" wrapText="1"/>
    </xf>
    <xf numFmtId="0" fontId="34" fillId="3" borderId="21" xfId="0" applyFont="1" applyFill="1" applyBorder="1" applyAlignment="1">
      <alignment horizontal="center" vertical="center" wrapText="1"/>
    </xf>
    <xf numFmtId="164" fontId="4" fillId="6" borderId="1" xfId="1" applyNumberFormat="1" applyFont="1" applyFill="1" applyBorder="1" applyAlignment="1">
      <alignment horizontal="right" vertical="center" wrapText="1"/>
    </xf>
    <xf numFmtId="0" fontId="8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1" fillId="0" borderId="9" xfId="0" applyFont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center" vertical="center" wrapText="1"/>
    </xf>
    <xf numFmtId="164" fontId="37" fillId="0" borderId="1" xfId="0" applyNumberFormat="1" applyFont="1" applyBorder="1" applyAlignment="1">
      <alignment horizontal="center" vertical="center" wrapText="1"/>
    </xf>
    <xf numFmtId="166" fontId="37" fillId="0" borderId="1" xfId="0" applyNumberFormat="1" applyFont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24" fillId="10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shrinkToFit="1"/>
    </xf>
    <xf numFmtId="0" fontId="24" fillId="6" borderId="6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4" fillId="0" borderId="22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3" fillId="0" borderId="6" xfId="0" applyFont="1" applyBorder="1" applyAlignment="1">
      <alignment horizontal="center" vertical="center" wrapText="1"/>
    </xf>
    <xf numFmtId="0" fontId="41" fillId="0" borderId="23" xfId="0" applyFont="1" applyBorder="1" applyAlignment="1">
      <alignment horizontal="center" vertical="center" wrapText="1"/>
    </xf>
    <xf numFmtId="0" fontId="40" fillId="0" borderId="0" xfId="0" applyFont="1" applyAlignment="1">
      <alignment horizontal="center" wrapText="1"/>
    </xf>
    <xf numFmtId="0" fontId="4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164" fontId="14" fillId="4" borderId="1" xfId="1" applyNumberFormat="1" applyFont="1" applyFill="1" applyBorder="1" applyAlignment="1">
      <alignment vertical="center" wrapText="1"/>
    </xf>
    <xf numFmtId="164" fontId="4" fillId="0" borderId="1" xfId="1" applyNumberFormat="1" applyFont="1" applyBorder="1" applyAlignment="1">
      <alignment vertical="center" wrapText="1"/>
    </xf>
    <xf numFmtId="164" fontId="33" fillId="6" borderId="1" xfId="1" applyNumberFormat="1" applyFont="1" applyFill="1" applyBorder="1" applyAlignment="1">
      <alignment vertical="center" wrapText="1"/>
    </xf>
    <xf numFmtId="164" fontId="4" fillId="6" borderId="1" xfId="1" applyNumberFormat="1" applyFont="1" applyFill="1" applyBorder="1" applyAlignment="1">
      <alignment vertical="center" wrapText="1"/>
    </xf>
    <xf numFmtId="164" fontId="4" fillId="0" borderId="0" xfId="1" applyNumberFormat="1" applyFont="1" applyAlignment="1">
      <alignment vertical="center" wrapText="1"/>
    </xf>
    <xf numFmtId="0" fontId="33" fillId="7" borderId="1" xfId="0" applyFont="1" applyFill="1" applyBorder="1" applyAlignment="1">
      <alignment horizontal="center" vertical="center" wrapText="1"/>
    </xf>
    <xf numFmtId="0" fontId="33" fillId="7" borderId="25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164" fontId="14" fillId="4" borderId="1" xfId="1" applyNumberFormat="1" applyFont="1" applyFill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49" fillId="0" borderId="9" xfId="0" applyFont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41" fillId="0" borderId="2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164" fontId="26" fillId="0" borderId="1" xfId="0" applyNumberFormat="1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64" fontId="10" fillId="0" borderId="1" xfId="1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4" fontId="26" fillId="0" borderId="1" xfId="1" applyNumberFormat="1" applyFont="1" applyBorder="1" applyAlignment="1">
      <alignment horizontal="center" vertical="center"/>
    </xf>
    <xf numFmtId="164" fontId="4" fillId="6" borderId="1" xfId="1" applyNumberFormat="1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164" fontId="4" fillId="0" borderId="0" xfId="1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164" fontId="21" fillId="6" borderId="1" xfId="1" applyNumberFormat="1" applyFont="1" applyFill="1" applyBorder="1" applyAlignment="1">
      <alignment vertical="center"/>
    </xf>
    <xf numFmtId="0" fontId="43" fillId="6" borderId="28" xfId="0" applyFont="1" applyFill="1" applyBorder="1" applyAlignment="1">
      <alignment horizontal="center" vertical="center"/>
    </xf>
    <xf numFmtId="0" fontId="43" fillId="6" borderId="28" xfId="0" applyFont="1" applyFill="1" applyBorder="1" applyAlignment="1">
      <alignment vertical="center"/>
    </xf>
    <xf numFmtId="0" fontId="43" fillId="6" borderId="27" xfId="0" applyFont="1" applyFill="1" applyBorder="1" applyAlignment="1">
      <alignment horizontal="left" vertical="center"/>
    </xf>
    <xf numFmtId="164" fontId="21" fillId="6" borderId="1" xfId="1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4" fillId="2" borderId="1" xfId="0" applyFont="1" applyFill="1" applyBorder="1" applyAlignment="1">
      <alignment horizontal="center" vertical="center"/>
    </xf>
    <xf numFmtId="0" fontId="52" fillId="0" borderId="22" xfId="0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 wrapText="1"/>
    </xf>
    <xf numFmtId="0" fontId="14" fillId="5" borderId="9" xfId="0" applyFont="1" applyFill="1" applyBorder="1" applyAlignment="1">
      <alignment horizontal="center" vertical="center"/>
    </xf>
    <xf numFmtId="0" fontId="53" fillId="9" borderId="32" xfId="0" applyFont="1" applyFill="1" applyBorder="1" applyAlignment="1">
      <alignment horizontal="center" vertical="center"/>
    </xf>
    <xf numFmtId="0" fontId="14" fillId="9" borderId="9" xfId="0" applyFont="1" applyFill="1" applyBorder="1" applyAlignment="1">
      <alignment horizontal="center" vertical="center"/>
    </xf>
    <xf numFmtId="0" fontId="53" fillId="9" borderId="32" xfId="0" applyFont="1" applyFill="1" applyBorder="1" applyAlignment="1">
      <alignment horizontal="left" vertical="center"/>
    </xf>
    <xf numFmtId="164" fontId="14" fillId="4" borderId="9" xfId="1" applyNumberFormat="1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34" fillId="2" borderId="9" xfId="0" applyFont="1" applyFill="1" applyBorder="1" applyAlignment="1">
      <alignment horizontal="center" vertical="center"/>
    </xf>
    <xf numFmtId="0" fontId="34" fillId="2" borderId="9" xfId="0" applyFont="1" applyFill="1" applyBorder="1" applyAlignment="1">
      <alignment horizontal="center" vertical="center" wrapText="1"/>
    </xf>
    <xf numFmtId="0" fontId="57" fillId="0" borderId="31" xfId="0" applyFont="1" applyBorder="1" applyAlignment="1">
      <alignment horizontal="center" vertical="center"/>
    </xf>
    <xf numFmtId="0" fontId="57" fillId="0" borderId="16" xfId="0" applyFont="1" applyBorder="1" applyAlignment="1">
      <alignment horizontal="center" vertical="center"/>
    </xf>
    <xf numFmtId="0" fontId="58" fillId="0" borderId="16" xfId="0" applyFont="1" applyBorder="1" applyAlignment="1">
      <alignment horizontal="center" vertical="center"/>
    </xf>
    <xf numFmtId="0" fontId="57" fillId="0" borderId="30" xfId="0" applyFont="1" applyBorder="1" applyAlignment="1">
      <alignment horizontal="center" vertical="center"/>
    </xf>
    <xf numFmtId="0" fontId="57" fillId="0" borderId="32" xfId="0" applyFont="1" applyBorder="1" applyAlignment="1">
      <alignment horizontal="center" vertical="center"/>
    </xf>
    <xf numFmtId="0" fontId="58" fillId="0" borderId="32" xfId="0" applyFont="1" applyBorder="1" applyAlignment="1">
      <alignment horizontal="center" vertical="center"/>
    </xf>
    <xf numFmtId="0" fontId="57" fillId="0" borderId="32" xfId="0" applyFont="1" applyBorder="1" applyAlignment="1">
      <alignment horizontal="center" vertical="center" wrapText="1"/>
    </xf>
    <xf numFmtId="164" fontId="58" fillId="0" borderId="32" xfId="1" applyNumberFormat="1" applyFont="1" applyBorder="1" applyAlignment="1">
      <alignment horizontal="center" vertical="center"/>
    </xf>
    <xf numFmtId="0" fontId="57" fillId="0" borderId="29" xfId="0" applyFont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 wrapText="1"/>
    </xf>
    <xf numFmtId="164" fontId="14" fillId="4" borderId="9" xfId="1" applyNumberFormat="1" applyFont="1" applyFill="1" applyBorder="1" applyAlignment="1">
      <alignment horizontal="center" wrapText="1"/>
    </xf>
    <xf numFmtId="0" fontId="57" fillId="0" borderId="16" xfId="0" applyFont="1" applyBorder="1" applyAlignment="1">
      <alignment horizontal="center" vertical="center" wrapText="1"/>
    </xf>
    <xf numFmtId="0" fontId="54" fillId="8" borderId="17" xfId="0" applyFont="1" applyFill="1" applyBorder="1" applyAlignment="1">
      <alignment horizontal="center" vertical="center" wrapText="1"/>
    </xf>
    <xf numFmtId="0" fontId="54" fillId="8" borderId="1" xfId="0" applyFont="1" applyFill="1" applyBorder="1" applyAlignment="1">
      <alignment horizontal="center" vertical="center" wrapText="1"/>
    </xf>
    <xf numFmtId="0" fontId="55" fillId="8" borderId="1" xfId="0" applyFont="1" applyFill="1" applyBorder="1" applyAlignment="1">
      <alignment horizontal="center" vertical="center" wrapText="1"/>
    </xf>
    <xf numFmtId="0" fontId="56" fillId="8" borderId="1" xfId="0" applyFont="1" applyFill="1" applyBorder="1" applyAlignment="1">
      <alignment horizontal="center" vertical="center" wrapText="1"/>
    </xf>
    <xf numFmtId="0" fontId="54" fillId="0" borderId="17" xfId="0" applyFont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 wrapText="1"/>
    </xf>
    <xf numFmtId="0" fontId="55" fillId="0" borderId="1" xfId="0" applyFont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60" fillId="11" borderId="16" xfId="0" applyFont="1" applyFill="1" applyBorder="1" applyAlignment="1">
      <alignment horizontal="center" vertical="center" wrapText="1"/>
    </xf>
    <xf numFmtId="0" fontId="0" fillId="11" borderId="33" xfId="0" applyFill="1" applyBorder="1" applyAlignment="1">
      <alignment horizontal="center" vertical="center" wrapText="1"/>
    </xf>
    <xf numFmtId="0" fontId="0" fillId="11" borderId="16" xfId="0" applyFill="1" applyBorder="1" applyAlignment="1">
      <alignment horizontal="center" vertical="center"/>
    </xf>
    <xf numFmtId="0" fontId="0" fillId="11" borderId="34" xfId="0" applyFill="1" applyBorder="1" applyAlignment="1">
      <alignment horizontal="center" vertical="center"/>
    </xf>
    <xf numFmtId="0" fontId="0" fillId="11" borderId="35" xfId="0" applyFill="1" applyBorder="1" applyAlignment="1">
      <alignment horizontal="center" vertical="center"/>
    </xf>
    <xf numFmtId="1" fontId="61" fillId="11" borderId="36" xfId="0" applyNumberFormat="1" applyFont="1" applyFill="1" applyBorder="1" applyAlignment="1">
      <alignment horizontal="center" vertical="center"/>
    </xf>
    <xf numFmtId="1" fontId="61" fillId="11" borderId="37" xfId="0" applyNumberFormat="1" applyFont="1" applyFill="1" applyBorder="1" applyAlignment="1">
      <alignment horizontal="center" vertical="center"/>
    </xf>
    <xf numFmtId="0" fontId="60" fillId="0" borderId="16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 wrapText="1"/>
    </xf>
    <xf numFmtId="1" fontId="61" fillId="0" borderId="38" xfId="0" applyNumberFormat="1" applyFont="1" applyBorder="1" applyAlignment="1">
      <alignment horizontal="center" vertical="center" wrapText="1"/>
    </xf>
    <xf numFmtId="1" fontId="61" fillId="0" borderId="39" xfId="0" applyNumberFormat="1" applyFont="1" applyBorder="1" applyAlignment="1">
      <alignment horizontal="center" vertical="center" wrapText="1"/>
    </xf>
    <xf numFmtId="0" fontId="60" fillId="11" borderId="16" xfId="0" applyFont="1" applyFill="1" applyBorder="1" applyAlignment="1">
      <alignment horizontal="center" vertical="center"/>
    </xf>
    <xf numFmtId="0" fontId="0" fillId="11" borderId="35" xfId="0" applyFill="1" applyBorder="1" applyAlignment="1">
      <alignment horizontal="center" vertical="center" wrapText="1"/>
    </xf>
    <xf numFmtId="0" fontId="61" fillId="11" borderId="38" xfId="0" applyFont="1" applyFill="1" applyBorder="1" applyAlignment="1">
      <alignment horizontal="center" vertical="center"/>
    </xf>
    <xf numFmtId="0" fontId="61" fillId="11" borderId="39" xfId="0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 wrapText="1"/>
    </xf>
    <xf numFmtId="0" fontId="61" fillId="0" borderId="38" xfId="0" applyFont="1" applyBorder="1" applyAlignment="1">
      <alignment horizontal="center" vertical="center"/>
    </xf>
    <xf numFmtId="0" fontId="61" fillId="0" borderId="39" xfId="0" applyFont="1" applyBorder="1" applyAlignment="1">
      <alignment horizontal="center" vertical="center"/>
    </xf>
    <xf numFmtId="0" fontId="3" fillId="0" borderId="0" xfId="4"/>
    <xf numFmtId="164" fontId="0" fillId="0" borderId="0" xfId="0" applyNumberFormat="1"/>
    <xf numFmtId="0" fontId="0" fillId="0" borderId="16" xfId="0" pivotButton="1" applyBorder="1" applyAlignment="1">
      <alignment horizontal="center" vertical="center"/>
    </xf>
    <xf numFmtId="0" fontId="0" fillId="12" borderId="0" xfId="0" applyFill="1"/>
    <xf numFmtId="164" fontId="63" fillId="0" borderId="0" xfId="0" applyNumberFormat="1" applyFont="1"/>
    <xf numFmtId="0" fontId="62" fillId="0" borderId="0" xfId="0" applyFont="1"/>
    <xf numFmtId="0" fontId="63" fillId="0" borderId="0" xfId="0" applyFont="1"/>
    <xf numFmtId="0" fontId="62" fillId="0" borderId="16" xfId="0" applyFont="1" applyBorder="1" applyAlignment="1">
      <alignment horizontal="center" vertical="center"/>
    </xf>
    <xf numFmtId="164" fontId="63" fillId="13" borderId="0" xfId="0" applyNumberFormat="1" applyFont="1" applyFill="1"/>
    <xf numFmtId="0" fontId="63" fillId="13" borderId="0" xfId="0" applyFont="1" applyFill="1"/>
    <xf numFmtId="0" fontId="63" fillId="0" borderId="0" xfId="0" applyFont="1" applyAlignment="1">
      <alignment horizontal="center"/>
    </xf>
    <xf numFmtId="0" fontId="62" fillId="0" borderId="0" xfId="0" applyFont="1" applyAlignment="1">
      <alignment horizontal="center"/>
    </xf>
    <xf numFmtId="0" fontId="0" fillId="13" borderId="0" xfId="0" applyFill="1" applyAlignment="1">
      <alignment horizontal="center"/>
    </xf>
    <xf numFmtId="0" fontId="0" fillId="12" borderId="0" xfId="0" applyFill="1" applyAlignment="1">
      <alignment horizontal="center"/>
    </xf>
    <xf numFmtId="164" fontId="0" fillId="0" borderId="0" xfId="1" applyNumberFormat="1" applyFont="1" applyAlignment="1">
      <alignment horizontal="center"/>
    </xf>
    <xf numFmtId="164" fontId="64" fillId="0" borderId="0" xfId="0" applyNumberFormat="1" applyFont="1"/>
    <xf numFmtId="164" fontId="0" fillId="13" borderId="0" xfId="0" applyNumberFormat="1" applyFill="1"/>
    <xf numFmtId="0" fontId="0" fillId="0" borderId="0" xfId="0" applyAlignment="1">
      <alignment wrapText="1"/>
    </xf>
    <xf numFmtId="0" fontId="21" fillId="0" borderId="8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65" fillId="0" borderId="16" xfId="0" applyFont="1" applyBorder="1" applyAlignment="1">
      <alignment horizontal="center" vertical="center" wrapText="1"/>
    </xf>
    <xf numFmtId="0" fontId="66" fillId="0" borderId="16" xfId="0" applyFont="1" applyBorder="1" applyAlignment="1">
      <alignment horizontal="center" vertical="center" wrapText="1"/>
    </xf>
    <xf numFmtId="49" fontId="68" fillId="6" borderId="43" xfId="0" applyNumberFormat="1" applyFont="1" applyFill="1" applyBorder="1" applyAlignment="1">
      <alignment horizontal="center" vertical="center" wrapText="1"/>
    </xf>
    <xf numFmtId="49" fontId="69" fillId="6" borderId="42" xfId="0" applyNumberFormat="1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 shrinkToFit="1"/>
    </xf>
    <xf numFmtId="0" fontId="43" fillId="6" borderId="28" xfId="0" applyFont="1" applyFill="1" applyBorder="1" applyAlignment="1">
      <alignment vertical="center" wrapText="1" shrinkToFit="1"/>
    </xf>
    <xf numFmtId="0" fontId="4" fillId="2" borderId="14" xfId="0" applyFont="1" applyFill="1" applyBorder="1" applyAlignment="1">
      <alignment horizontal="center" vertical="center" wrapText="1" shrinkToFit="1"/>
    </xf>
    <xf numFmtId="0" fontId="14" fillId="2" borderId="1" xfId="0" applyFont="1" applyFill="1" applyBorder="1" applyAlignment="1">
      <alignment horizontal="center" vertical="center" wrapText="1" shrinkToFit="1"/>
    </xf>
    <xf numFmtId="0" fontId="4" fillId="6" borderId="1" xfId="0" applyFont="1" applyFill="1" applyBorder="1" applyAlignment="1">
      <alignment horizontal="center" vertical="center" wrapText="1" shrinkToFit="1"/>
    </xf>
    <xf numFmtId="0" fontId="4" fillId="0" borderId="0" xfId="0" applyFont="1" applyAlignment="1">
      <alignment horizontal="center" vertical="center" wrapText="1" shrinkToFit="1"/>
    </xf>
    <xf numFmtId="0" fontId="4" fillId="2" borderId="5" xfId="0" applyFont="1" applyFill="1" applyBorder="1" applyAlignment="1">
      <alignment vertical="center" wrapText="1"/>
    </xf>
    <xf numFmtId="0" fontId="4" fillId="2" borderId="24" xfId="0" applyFont="1" applyFill="1" applyBorder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4" fillId="0" borderId="19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164" fontId="4" fillId="0" borderId="9" xfId="1" applyNumberFormat="1" applyFont="1" applyBorder="1" applyAlignment="1">
      <alignment horizontal="center" vertical="center"/>
    </xf>
    <xf numFmtId="164" fontId="26" fillId="0" borderId="9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 shrinkToFit="1"/>
    </xf>
    <xf numFmtId="0" fontId="52" fillId="0" borderId="9" xfId="0" applyFont="1" applyBorder="1" applyAlignment="1">
      <alignment horizontal="center" vertical="center"/>
    </xf>
    <xf numFmtId="0" fontId="70" fillId="0" borderId="1" xfId="0" applyFont="1" applyBorder="1" applyAlignment="1">
      <alignment horizontal="center" vertical="center" wrapText="1"/>
    </xf>
    <xf numFmtId="0" fontId="70" fillId="0" borderId="22" xfId="0" applyFont="1" applyBorder="1" applyAlignment="1">
      <alignment horizontal="center" vertical="center" wrapText="1"/>
    </xf>
    <xf numFmtId="0" fontId="70" fillId="0" borderId="9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 wrapText="1"/>
    </xf>
    <xf numFmtId="0" fontId="71" fillId="5" borderId="6" xfId="0" applyFont="1" applyFill="1" applyBorder="1" applyAlignment="1">
      <alignment horizontal="center" vertical="center" wrapText="1"/>
    </xf>
    <xf numFmtId="0" fontId="71" fillId="0" borderId="6" xfId="0" applyFont="1" applyBorder="1" applyAlignment="1">
      <alignment horizontal="center" vertical="center" wrapText="1"/>
    </xf>
    <xf numFmtId="0" fontId="71" fillId="0" borderId="41" xfId="0" applyFont="1" applyBorder="1" applyAlignment="1">
      <alignment horizontal="center" vertical="center" wrapText="1"/>
    </xf>
    <xf numFmtId="0" fontId="71" fillId="0" borderId="10" xfId="0" applyFont="1" applyBorder="1" applyAlignment="1">
      <alignment horizontal="center" vertical="center" wrapText="1"/>
    </xf>
    <xf numFmtId="0" fontId="71" fillId="0" borderId="0" xfId="0" applyFont="1" applyAlignment="1">
      <alignment horizontal="center" vertical="center" wrapText="1"/>
    </xf>
    <xf numFmtId="0" fontId="72" fillId="0" borderId="0" xfId="0" applyFont="1" applyAlignment="1">
      <alignment horizontal="center"/>
    </xf>
    <xf numFmtId="0" fontId="21" fillId="7" borderId="1" xfId="0" applyFont="1" applyFill="1" applyBorder="1" applyAlignment="1">
      <alignment horizontal="center" vertical="center"/>
    </xf>
    <xf numFmtId="0" fontId="21" fillId="7" borderId="9" xfId="0" applyFont="1" applyFill="1" applyBorder="1" applyAlignment="1">
      <alignment horizontal="center" vertical="center"/>
    </xf>
    <xf numFmtId="0" fontId="72" fillId="0" borderId="16" xfId="0" applyFont="1" applyBorder="1" applyAlignment="1">
      <alignment horizontal="center"/>
    </xf>
    <xf numFmtId="0" fontId="57" fillId="0" borderId="16" xfId="0" applyFont="1" applyBorder="1" applyAlignment="1">
      <alignment horizontal="center" vertical="center" wrapText="1" shrinkToFit="1"/>
    </xf>
    <xf numFmtId="165" fontId="14" fillId="4" borderId="1" xfId="1" applyNumberFormat="1" applyFont="1" applyFill="1" applyBorder="1" applyAlignment="1">
      <alignment vertical="center" wrapText="1"/>
    </xf>
    <xf numFmtId="165" fontId="4" fillId="0" borderId="1" xfId="1" applyNumberFormat="1" applyFont="1" applyBorder="1" applyAlignment="1">
      <alignment horizontal="center" vertical="center" wrapText="1"/>
    </xf>
    <xf numFmtId="165" fontId="4" fillId="0" borderId="0" xfId="1" applyNumberFormat="1" applyFont="1" applyAlignment="1">
      <alignment vertical="center" wrapText="1"/>
    </xf>
    <xf numFmtId="2" fontId="26" fillId="0" borderId="1" xfId="0" applyNumberFormat="1" applyFont="1" applyBorder="1" applyAlignment="1">
      <alignment vertical="center" wrapText="1"/>
    </xf>
    <xf numFmtId="2" fontId="34" fillId="4" borderId="1" xfId="0" applyNumberFormat="1" applyFont="1" applyFill="1" applyBorder="1" applyAlignment="1">
      <alignment vertical="center" wrapText="1"/>
    </xf>
    <xf numFmtId="2" fontId="26" fillId="0" borderId="1" xfId="0" applyNumberFormat="1" applyFont="1" applyBorder="1" applyAlignment="1">
      <alignment horizontal="center" vertical="center" wrapText="1"/>
    </xf>
    <xf numFmtId="2" fontId="26" fillId="0" borderId="0" xfId="0" applyNumberFormat="1" applyFont="1" applyAlignment="1">
      <alignment vertical="center" wrapText="1"/>
    </xf>
    <xf numFmtId="49" fontId="14" fillId="2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3" fillId="6" borderId="28" xfId="0" applyNumberFormat="1" applyFont="1" applyFill="1" applyBorder="1" applyAlignment="1">
      <alignment vertical="center"/>
    </xf>
    <xf numFmtId="49" fontId="14" fillId="5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67" fillId="0" borderId="16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73" fillId="0" borderId="7" xfId="0" applyFont="1" applyBorder="1" applyAlignment="1">
      <alignment horizontal="center" vertical="center" wrapText="1"/>
    </xf>
    <xf numFmtId="0" fontId="74" fillId="0" borderId="7" xfId="0" applyFont="1" applyBorder="1" applyAlignment="1">
      <alignment horizontal="center" vertical="center" wrapText="1"/>
    </xf>
    <xf numFmtId="0" fontId="74" fillId="0" borderId="8" xfId="0" applyFont="1" applyBorder="1" applyAlignment="1">
      <alignment horizontal="center" vertical="center" wrapText="1"/>
    </xf>
    <xf numFmtId="0" fontId="74" fillId="0" borderId="19" xfId="0" applyFont="1" applyBorder="1" applyAlignment="1">
      <alignment horizontal="center" vertical="center" wrapText="1"/>
    </xf>
    <xf numFmtId="0" fontId="73" fillId="0" borderId="7" xfId="0" applyFont="1" applyBorder="1" applyAlignment="1">
      <alignment horizontal="center" vertical="center"/>
    </xf>
    <xf numFmtId="0" fontId="73" fillId="6" borderId="7" xfId="0" applyFont="1" applyFill="1" applyBorder="1" applyAlignment="1">
      <alignment horizontal="center" vertical="center"/>
    </xf>
    <xf numFmtId="0" fontId="73" fillId="0" borderId="1" xfId="0" applyFont="1" applyBorder="1" applyAlignment="1">
      <alignment horizontal="center" vertical="center"/>
    </xf>
    <xf numFmtId="0" fontId="73" fillId="0" borderId="8" xfId="0" applyFont="1" applyBorder="1" applyAlignment="1">
      <alignment horizontal="center" vertical="center"/>
    </xf>
    <xf numFmtId="0" fontId="73" fillId="7" borderId="7" xfId="0" applyFont="1" applyFill="1" applyBorder="1" applyAlignment="1">
      <alignment horizontal="center" vertical="center"/>
    </xf>
    <xf numFmtId="0" fontId="73" fillId="0" borderId="12" xfId="0" applyFont="1" applyBorder="1" applyAlignment="1">
      <alignment horizontal="center" vertical="center"/>
    </xf>
    <xf numFmtId="0" fontId="73" fillId="0" borderId="9" xfId="0" applyFont="1" applyBorder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73" fillId="6" borderId="1" xfId="0" applyFont="1" applyFill="1" applyBorder="1" applyAlignment="1">
      <alignment horizontal="center" vertical="center"/>
    </xf>
    <xf numFmtId="0" fontId="76" fillId="0" borderId="0" xfId="0" applyFont="1"/>
    <xf numFmtId="0" fontId="75" fillId="14" borderId="1" xfId="0" applyFont="1" applyFill="1" applyBorder="1" applyAlignment="1">
      <alignment horizontal="center" vertical="center"/>
    </xf>
    <xf numFmtId="2" fontId="26" fillId="0" borderId="1" xfId="0" applyNumberFormat="1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57" fillId="0" borderId="32" xfId="0" applyFont="1" applyBorder="1" applyAlignment="1">
      <alignment horizontal="center" vertical="center" shrinkToFit="1"/>
    </xf>
    <xf numFmtId="0" fontId="38" fillId="5" borderId="26" xfId="0" applyFont="1" applyFill="1" applyBorder="1" applyAlignment="1">
      <alignment horizontal="center" vertical="center"/>
    </xf>
    <xf numFmtId="0" fontId="38" fillId="5" borderId="14" xfId="0" applyFont="1" applyFill="1" applyBorder="1" applyAlignment="1">
      <alignment horizontal="center" vertical="center"/>
    </xf>
    <xf numFmtId="0" fontId="38" fillId="5" borderId="15" xfId="0" applyFont="1" applyFill="1" applyBorder="1" applyAlignment="1">
      <alignment horizontal="center" vertical="center"/>
    </xf>
    <xf numFmtId="164" fontId="4" fillId="4" borderId="13" xfId="1" applyNumberFormat="1" applyFont="1" applyFill="1" applyBorder="1" applyAlignment="1">
      <alignment horizontal="center" vertical="center"/>
    </xf>
    <xf numFmtId="164" fontId="4" fillId="4" borderId="14" xfId="1" applyNumberFormat="1" applyFont="1" applyFill="1" applyBorder="1" applyAlignment="1">
      <alignment horizontal="center" vertical="center"/>
    </xf>
    <xf numFmtId="164" fontId="4" fillId="4" borderId="15" xfId="1" applyNumberFormat="1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8" fillId="5" borderId="26" xfId="0" applyFont="1" applyFill="1" applyBorder="1" applyAlignment="1">
      <alignment horizontal="center" vertical="center" wrapText="1"/>
    </xf>
    <xf numFmtId="0" fontId="38" fillId="5" borderId="14" xfId="0" applyFont="1" applyFill="1" applyBorder="1" applyAlignment="1">
      <alignment horizontal="center" vertical="center" wrapText="1"/>
    </xf>
    <xf numFmtId="0" fontId="38" fillId="5" borderId="15" xfId="0" applyFont="1" applyFill="1" applyBorder="1" applyAlignment="1">
      <alignment horizontal="center" vertical="center" wrapText="1"/>
    </xf>
    <xf numFmtId="164" fontId="4" fillId="4" borderId="13" xfId="1" applyNumberFormat="1" applyFont="1" applyFill="1" applyBorder="1" applyAlignment="1">
      <alignment horizontal="center" vertical="center" wrapText="1"/>
    </xf>
    <xf numFmtId="164" fontId="4" fillId="4" borderId="14" xfId="1" applyNumberFormat="1" applyFont="1" applyFill="1" applyBorder="1" applyAlignment="1">
      <alignment horizontal="center" vertical="center" wrapText="1"/>
    </xf>
    <xf numFmtId="165" fontId="4" fillId="4" borderId="14" xfId="1" applyNumberFormat="1" applyFont="1" applyFill="1" applyBorder="1" applyAlignment="1">
      <alignment horizontal="center" vertical="center" wrapText="1"/>
    </xf>
    <xf numFmtId="164" fontId="4" fillId="4" borderId="15" xfId="1" applyNumberFormat="1" applyFont="1" applyFill="1" applyBorder="1" applyAlignment="1">
      <alignment horizontal="center" vertical="center" wrapText="1"/>
    </xf>
    <xf numFmtId="0" fontId="46" fillId="0" borderId="18" xfId="0" applyFont="1" applyBorder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165" fontId="46" fillId="0" borderId="0" xfId="0" applyNumberFormat="1" applyFont="1" applyAlignment="1">
      <alignment horizontal="center" vertical="center" wrapText="1"/>
    </xf>
    <xf numFmtId="49" fontId="46" fillId="0" borderId="0" xfId="0" applyNumberFormat="1" applyFont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49" fontId="4" fillId="2" borderId="14" xfId="0" applyNumberFormat="1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0" fontId="44" fillId="0" borderId="3" xfId="0" applyFont="1" applyBorder="1" applyAlignment="1">
      <alignment horizontal="center" vertical="center" wrapText="1"/>
    </xf>
    <xf numFmtId="164" fontId="44" fillId="0" borderId="3" xfId="1" applyNumberFormat="1" applyFont="1" applyBorder="1" applyAlignment="1">
      <alignment horizontal="center" vertical="center" wrapText="1"/>
    </xf>
    <xf numFmtId="0" fontId="44" fillId="0" borderId="3" xfId="0" applyFont="1" applyBorder="1" applyAlignment="1">
      <alignment vertical="center" wrapText="1"/>
    </xf>
    <xf numFmtId="0" fontId="38" fillId="5" borderId="4" xfId="0" applyFont="1" applyFill="1" applyBorder="1" applyAlignment="1">
      <alignment horizontal="center" vertical="center" wrapText="1"/>
    </xf>
    <xf numFmtId="0" fontId="38" fillId="5" borderId="5" xfId="0" applyFont="1" applyFill="1" applyBorder="1" applyAlignment="1">
      <alignment horizontal="center" vertical="center" wrapText="1"/>
    </xf>
    <xf numFmtId="164" fontId="4" fillId="4" borderId="14" xfId="1" applyNumberFormat="1" applyFont="1" applyFill="1" applyBorder="1" applyAlignment="1">
      <alignment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5" fillId="0" borderId="16" xfId="0" applyFont="1" applyBorder="1" applyAlignment="1">
      <alignment horizontal="center"/>
    </xf>
    <xf numFmtId="0" fontId="59" fillId="6" borderId="18" xfId="0" applyFont="1" applyFill="1" applyBorder="1" applyAlignment="1">
      <alignment horizontal="center" vertical="center"/>
    </xf>
    <xf numFmtId="0" fontId="59" fillId="6" borderId="0" xfId="0" applyFont="1" applyFill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164" fontId="21" fillId="0" borderId="3" xfId="1" applyNumberFormat="1" applyFont="1" applyBorder="1" applyAlignment="1">
      <alignment horizontal="center" vertical="center" wrapText="1"/>
    </xf>
    <xf numFmtId="0" fontId="21" fillId="0" borderId="3" xfId="0" applyFont="1" applyBorder="1" applyAlignment="1">
      <alignment vertical="center" wrapText="1"/>
    </xf>
  </cellXfs>
  <cellStyles count="6">
    <cellStyle name="Comma" xfId="1" builtinId="3"/>
    <cellStyle name="Normal" xfId="0" builtinId="0"/>
    <cellStyle name="Normal 2" xfId="3" xr:uid="{824E93CA-8A19-439B-AE1F-A8EE41983B18}"/>
    <cellStyle name="Normal 2 2" xfId="4" xr:uid="{7EEDB710-86F9-4335-B1CD-14F03AA076A6}"/>
    <cellStyle name="Normal 2 3" xfId="5" xr:uid="{44CE941B-D6CF-4E4B-B12D-8EDDB0249A57}"/>
    <cellStyle name="Normal 3" xfId="2" xr:uid="{487170A7-3D4E-46EC-B1AB-4528A1944EA1}"/>
  </cellStyles>
  <dxfs count="385"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7030A0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_(* #,##0_);_(* \(#,##0\);_(* &quot;-&quot;??_);_(@_)"/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_(* #,##0_);_(* \(#,##0\);_(* &quot;-&quot;??_);_(@_)"/>
      <alignment horizontal="right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9"/>
        <color rgb="FF000000"/>
        <name val="Tahoma"/>
        <family val="2"/>
        <scheme val="none"/>
      </font>
      <alignment horizontal="center" vertical="center" textRotation="0" wrapText="1" indent="0" justifyLastLine="0" shrinkToFit="0" readingOrder="0"/>
    </dxf>
    <dxf>
      <border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9"/>
        <color rgb="FFFFFF00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ont>
        <b/>
      </font>
    </dxf>
    <dxf>
      <font>
        <color rgb="FF7030A0"/>
      </font>
    </dxf>
    <dxf>
      <font>
        <b/>
      </font>
    </dxf>
    <dxf>
      <font>
        <color rgb="FF7030A0"/>
      </font>
    </dxf>
    <dxf>
      <font>
        <b/>
      </font>
    </dxf>
    <dxf>
      <font>
        <color rgb="FF7030A0"/>
      </font>
    </dxf>
    <dxf>
      <font>
        <b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b/>
      </font>
    </dxf>
    <dxf>
      <font>
        <b/>
      </font>
    </dxf>
    <dxf>
      <font>
        <b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7030A0"/>
      </font>
    </dxf>
    <dxf>
      <font>
        <color rgb="FF7030A0"/>
      </font>
    </dxf>
    <dxf>
      <font>
        <b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b/>
      </font>
    </dxf>
    <dxf>
      <font>
        <color rgb="FF7030A0"/>
      </font>
    </dxf>
    <dxf>
      <font>
        <color rgb="FF7030A0"/>
      </font>
    </dxf>
    <dxf>
      <font>
        <b/>
      </font>
    </dxf>
    <dxf>
      <font>
        <b/>
      </font>
    </dxf>
    <dxf>
      <font>
        <b/>
      </font>
    </dxf>
    <dxf>
      <font>
        <color rgb="FF7030A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4" formatCode="_(* #,##0_);_(* \(#,##0\);_(* &quot;-&quot;??_);_(@_)"/>
    </dxf>
    <dxf>
      <numFmt numFmtId="164" formatCode="_(* #,##0_);_(* \(#,##0\);_(* &quot;-&quot;??_);_(@_)"/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color theme="1" tint="4.9989318521683403E-2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 tint="4.9989318521683403E-2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 tint="4.9989318521683403E-2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 tint="4.9989318521683403E-2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 tint="4.9989318521683403E-2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 tint="4.9989318521683403E-2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 tint="4.9989318521683403E-2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 tint="4.9989318521683403E-2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 tint="4.9989318521683403E-2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 tint="4.9989318521683403E-2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 tint="4.9989318521683403E-2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 tint="4.9989318521683403E-2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 tint="4.9989318521683403E-2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 tint="4.9989318521683403E-2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 tint="4.9989318521683403E-2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 tint="4.9989318521683403E-2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 tint="4.9989318521683403E-2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 tint="4.9989318521683403E-2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 tint="4.9989318521683403E-2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 tint="4.9989318521683403E-2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_(* #,##0_);_(* \(#,##0\);_(* &quot;-&quot;??_);_(@_)"/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_(* #,##0_);_(* \(#,##0\);_(* &quot;-&quot;??_);_(@_)"/>
      <alignment horizontal="right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9"/>
        <color rgb="FF000000"/>
        <name val="Tahoma"/>
        <family val="2"/>
        <scheme val="none"/>
      </font>
      <alignment horizontal="center" vertical="center" textRotation="0" wrapText="1" indent="0" justifyLastLine="0" shrinkToFit="0" readingOrder="0"/>
    </dxf>
    <dxf>
      <border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9"/>
        <color rgb="FFFFFF00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7030A0"/>
        <name val="Tahoma"/>
        <family val="2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_(* #,##0_);_(* \(#,##0\);_(* &quot;-&quot;??_);_(@_)"/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_(* #,##0_);_(* \(#,##0\);_(* &quot;-&quot;??_);_(@_)"/>
      <alignment horizontal="right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4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9"/>
        <color rgb="FF000000"/>
        <name val="Tahoma"/>
        <family val="2"/>
        <scheme val="none"/>
      </font>
      <alignment horizontal="center" vertical="center" textRotation="0" wrapText="1" indent="0" justifyLastLine="0" shrinkToFit="0" readingOrder="0"/>
    </dxf>
    <dxf>
      <border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9"/>
        <color rgb="FFFFFF00"/>
        <name val="Tahom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ill>
        <patternFill>
          <bgColor rgb="FFFFFF00"/>
        </patternFill>
      </fill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color rgb="FF00B050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color rgb="FF00B050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rgb="FFFF0000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1" indent="0" justifyLastLine="0" shrinkToFit="1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7030A0"/>
        <name val="Tahoma"/>
        <family val="2"/>
        <scheme val="none"/>
      </font>
      <numFmt numFmtId="164" formatCode="_(* #,##0_);_(* \(#,##0\);_(* &quot;-&quot;??_);_(@_)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_(* #,##0_);_(* \(#,##0\);_(* &quot;-&quot;??_);_(@_)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_(* #,##0_);_(* \(#,##0\);_(* &quot;-&quot;??_);_(@_)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rgb="FFFFFF00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88</xdr:row>
      <xdr:rowOff>275724</xdr:rowOff>
    </xdr:from>
    <xdr:ext cx="35678648" cy="2867526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D46B890-CCFA-DE93-458B-50C34F052789}"/>
            </a:ext>
          </a:extLst>
        </xdr:cNvPr>
        <xdr:cNvSpPr/>
      </xdr:nvSpPr>
      <xdr:spPr>
        <a:xfrm>
          <a:off x="0" y="28048619"/>
          <a:ext cx="35678648" cy="2867526"/>
        </a:xfrm>
        <a:prstGeom prst="rect">
          <a:avLst/>
        </a:prstGeom>
        <a:solidFill>
          <a:srgbClr val="FF0000"/>
        </a:solidFill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square" lIns="91440" tIns="45720" rIns="91440" bIns="45720">
          <a:noAutofit/>
        </a:bodyPr>
        <a:lstStyle/>
        <a:p>
          <a:pPr algn="ctr"/>
          <a:r>
            <a:rPr lang="en-US" sz="54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lgerian" panose="04020705040A02060702" pitchFamily="82" charset="0"/>
            </a:rPr>
            <a:t>BACKUP</a:t>
          </a:r>
          <a:r>
            <a:rPr lang="en-US" sz="5400" b="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lgerian" panose="04020705040A02060702" pitchFamily="82" charset="0"/>
            </a:rPr>
            <a:t> </a:t>
          </a:r>
        </a:p>
        <a:p>
          <a:pPr algn="ctr"/>
          <a:r>
            <a:rPr lang="fa-IR" sz="5400" b="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Algerian" panose="04020705040A02060702" pitchFamily="82" charset="0"/>
            </a:rPr>
            <a:t>جهت اطلاع</a:t>
          </a:r>
          <a:endParaRPr lang="en-US" sz="54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Algerian" panose="04020705040A02060702" pitchFamily="82" charset="0"/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علی رضایی" refreshedDate="45874.376273842594" createdVersion="8" refreshedVersion="8" minRefreshableVersion="3" recordCount="67" xr:uid="{EE0CCC56-0DC7-4B69-91EE-9A801DBDBF2D}">
  <cacheSource type="worksheet">
    <worksheetSource name="Table1"/>
  </cacheSource>
  <cacheFields count="24">
    <cacheField name="ROW" numFmtId="0">
      <sharedItems containsSemiMixedTypes="0" containsString="0" containsNumber="1" containsInteger="1" minValue="1" maxValue="68"/>
    </cacheField>
    <cacheField name="PACKING NO." numFmtId="0">
      <sharedItems containsBlank="1" containsMixedTypes="1" containsNumber="1" containsInteger="1" minValue="634" maxValue="2024525"/>
    </cacheField>
    <cacheField name="PO  NO." numFmtId="0">
      <sharedItems containsBlank="1"/>
    </cacheField>
    <cacheField name="ITEM CODE" numFmtId="0">
      <sharedItems containsMixedTypes="1" containsNumber="1" containsInteger="1" minValue="9987009302" maxValue="9987119402"/>
    </cacheField>
    <cacheField name="MRS NO" numFmtId="0">
      <sharedItems/>
    </cacheField>
    <cacheField name="SUPLYER" numFmtId="0">
      <sharedItems/>
    </cacheField>
    <cacheField name="VENDOR" numFmtId="0">
      <sharedItems containsBlank="1"/>
    </cacheField>
    <cacheField name="DESCRIPTION" numFmtId="0">
      <sharedItems count="55">
        <s v="Transformer oil"/>
        <s v="BEHRAN Turbo Diesel 15W40"/>
        <s v="Behran Hydraulic H  22"/>
        <s v="Behran Derafsh  220"/>
        <s v="Behran Bordbar PG oil 220"/>
        <s v="Behran Hydraulic T 68"/>
        <s v="Behran Derafsh  46"/>
        <s v="Behran Hydraulic H ISO oil 46"/>
        <s v="Behran Bordbar PS oil 320"/>
        <s v="Behran Bordbar oil 320"/>
        <s v="Behran Bordbar oil ISO 46"/>
        <s v="Behran Bordbar oil 68"/>
        <s v="Behran Bordbar oil 100"/>
        <s v="Behran Hydraulic H  ISO 68"/>
        <s v="Behran Bordbar PS oil 220"/>
        <s v="Behran Derafsh  320"/>
        <s v="BEHRAN HYDRAULIC T46"/>
        <s v="Behran Bordbar oil 460"/>
        <s v="Behran Bordbar oil 220"/>
        <s v="AGIP OBI 12 /OBI T13 or MOBIL MARCOL 82 or SHELL ONDINA 917 "/>
        <s v="Shell Lubricant Oil  Omala S2 G 100"/>
        <s v="Shell Lubricant Oil  Morlina S2 B46"/>
        <s v="Behran Hydraulic  Gallon 20 lit  "/>
        <s v="Shell Omala s4we Oil220"/>
        <s v="Shell Omala S2 GX 68-Oil"/>
        <s v="SHELL Omala S2 G 100 - Oil"/>
        <s v="Shell Morlina S2 BL 22 - Oil"/>
        <s v="Extra torbo OIL 20W50"/>
        <s v="Behran Bordbar ISO oil VG320"/>
        <s v="Behran Bordbar ISO oil VG220 "/>
        <s v="Alphasyn GS 220 - Oil"/>
        <s v="AGIP BLASIA 220 - Oil"/>
        <s v="AGIP ARNICA OIL SX/N 68"/>
        <s v="Behran Derafsh ISO VG 46 "/>
        <s v="Mobil Gargoyle OIL Arcitic shc 224"/>
        <s v="BEHRAN  HYDRAULICS ISO H 22"/>
        <s v="THERMINOL OIL 66"/>
        <s v="BEHRAN HOT OIL"/>
        <s v="Mobil OIL SHC 634"/>
        <s v="Mobil OIL DTE 10 Excel 46"/>
        <s v="SHELL LDPE COMPRESSOR LUB OIL 220"/>
        <s v="Mineral oil 68"/>
        <s v="PETROFER Irus DU"/>
        <s v="Behran Bordbar oil Ps 46"/>
        <s v="AGIP ARNICA  OIL 68"/>
        <s v="Addinol  Heat Transfer Oil  XV 15 HT"/>
        <s v="Shell ONDINA 917"/>
        <s v="LUBRUN WHITE OIL 917"/>
        <s v="Pars Babak Hydraulic Oil "/>
        <s v="BEHRAN DOKHT 10"/>
        <s v="Extra Coolant Oil(Ingersoland Rand- ISO VG100)"/>
        <s v="SHELL ONDINA oil 68"/>
        <s v="MOBIL EXXON OIL SHC-224 " u="1"/>
        <s v="MOBIL EXXON  SHC-224(Mobil  DTE 10 Excel 46) " u="1"/>
        <s v="Extra Coolant Oil" u="1"/>
      </sharedItems>
    </cacheField>
    <cacheField name="DATE RECIVED" numFmtId="0">
      <sharedItems/>
    </cacheField>
    <cacheField name="REMARK2" numFmtId="0">
      <sharedItems containsBlank="1"/>
    </cacheField>
    <cacheField name="QTY_x000a_RECIVED" numFmtId="164">
      <sharedItems containsSemiMixedTypes="0" containsString="0" containsNumber="1" containsInteger="1" minValue="20" maxValue="500332"/>
    </cacheField>
    <cacheField name="UNT" numFmtId="0">
      <sharedItems count="3">
        <s v="LIT"/>
        <s v="KG"/>
        <s v="LT" u="1"/>
      </sharedItems>
    </cacheField>
    <cacheField name="INVENTORY" numFmtId="164">
      <sharedItems containsSemiMixedTypes="0" containsString="0" containsNumber="1" minValue="0" maxValue="500332"/>
    </cacheField>
    <cacheField name="تعداد بشکه" numFmtId="164">
      <sharedItems containsString="0" containsBlank="1" containsNumber="1" minValue="0" maxValue="2338"/>
    </cacheField>
    <cacheField name="QTY _x000a_ISSUED" numFmtId="0">
      <sharedItems containsString="0" containsBlank="1" containsNumber="1" minValue="0" maxValue="374116"/>
    </cacheField>
    <cacheField name="DATE .ISSUED" numFmtId="0">
      <sharedItems containsBlank="1"/>
    </cacheField>
    <cacheField name="MIV.  NO" numFmtId="0">
      <sharedItems containsBlank="1"/>
    </cacheField>
    <cacheField name="MRV.NO&amp; DATE" numFmtId="0">
      <sharedItems containsBlank="1"/>
    </cacheField>
    <cacheField name="تحویل گیرنده" numFmtId="0">
      <sharedItems containsBlank="1"/>
    </cacheField>
    <cacheField name="LOCATION" numFmtId="0">
      <sharedItems containsBlank="1"/>
    </cacheField>
    <cacheField name="MIN" numFmtId="0">
      <sharedItems containsString="0" containsBlank="1" containsNumber="1" containsInteger="1" minValue="12" maxValue="2080"/>
    </cacheField>
    <cacheField name="MAX" numFmtId="0">
      <sharedItems containsString="0" containsBlank="1" containsNumber="1" containsInteger="1" minValue="25" maxValue="9360"/>
    </cacheField>
    <cacheField name="شماره برید و تاریخ اعلام کسری روغن " numFmtId="0">
      <sharedItems containsBlank="1"/>
    </cacheField>
    <cacheField name="کسری دارد" numFmtId="0">
      <sharedItems containsString="0" containsBlank="1" containsNumber="1" containsInteger="1" minValue="25" maxValue="49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n v="1"/>
    <n v="634"/>
    <s v="PPJP-010125"/>
    <n v="9987112052"/>
    <s v="NO MRS"/>
    <s v="IRAN TRANSFO CO."/>
    <s v="IRAN TRANSFO CO."/>
    <x v="0"/>
    <s v="1396/07/24"/>
    <s v=" *208L/10"/>
    <n v="420"/>
    <x v="0"/>
    <n v="400"/>
    <n v="1.9230769230769231"/>
    <n v="20"/>
    <s v="1404/04/18"/>
    <m/>
    <m/>
    <m/>
    <m/>
    <m/>
    <m/>
    <m/>
    <m/>
  </r>
  <r>
    <n v="2"/>
    <n v="50838"/>
    <s v="تنخواهی "/>
    <n v="9987112482"/>
    <s v="WH-ME-064"/>
    <s v="بازرگانی محمودی "/>
    <s v="BEHRAN"/>
    <x v="1"/>
    <s v="1401/10/07"/>
    <m/>
    <n v="20"/>
    <x v="0"/>
    <n v="0"/>
    <n v="0"/>
    <n v="20"/>
    <s v="1401/11/26"/>
    <s v="WH-ME-176"/>
    <m/>
    <m/>
    <m/>
    <m/>
    <m/>
    <m/>
    <m/>
  </r>
  <r>
    <n v="3"/>
    <n v="74498"/>
    <s v="تنخواهی"/>
    <n v="9987112482"/>
    <s v="WH-ME-077"/>
    <s v="بازرگانی افسری"/>
    <s v="BEHRAN"/>
    <x v="1"/>
    <s v="1401/12/08"/>
    <s v="1 dr*200"/>
    <n v="200"/>
    <x v="0"/>
    <n v="11"/>
    <n v="0"/>
    <n v="200"/>
    <s v="1401/12/15"/>
    <s v="WH-ME-185"/>
    <m/>
    <s v="EXIR"/>
    <m/>
    <n v="12"/>
    <n v="25"/>
    <s v="*1404/01/17*404/02/15-292386"/>
    <n v="25"/>
  </r>
  <r>
    <n v="13"/>
    <s v="930&amp;935"/>
    <s v="PPJP-030046"/>
    <n v="9987119082"/>
    <s v="WH-CH-006"/>
    <s v="شرکت نفت بهران"/>
    <s v="BEHRAN"/>
    <x v="2"/>
    <s v="1402/03/17"/>
    <m/>
    <n v="208"/>
    <x v="0"/>
    <n v="0"/>
    <n v="0"/>
    <n v="208"/>
    <s v="1403/07/23*06/14"/>
    <s v="WH-CH-027/WH-ME-791"/>
    <m/>
    <s v="EXIR"/>
    <m/>
    <n v="110"/>
    <n v="416"/>
    <s v="*1404/01/17*404/02/15-292386"/>
    <n v="416"/>
  </r>
  <r>
    <n v="11"/>
    <s v="930&amp;935"/>
    <s v="PPJP-030046"/>
    <n v="9987119122"/>
    <s v="WH-CH-006"/>
    <s v="شرکت نفت بهران"/>
    <s v="BEHRAN"/>
    <x v="3"/>
    <s v="1402/03/17"/>
    <m/>
    <n v="416"/>
    <x v="0"/>
    <n v="208"/>
    <n v="1"/>
    <n v="208"/>
    <s v="1403/06/11"/>
    <s v="WH-ME-778"/>
    <m/>
    <s v="PJPC"/>
    <s v="C-1"/>
    <n v="416"/>
    <n v="832"/>
    <s v="*1404/01/17*404/02/15-292386"/>
    <m/>
  </r>
  <r>
    <n v="9"/>
    <s v="930&amp;935"/>
    <s v="PPJP-030046"/>
    <n v="9987119012"/>
    <s v="WH-CH-006"/>
    <s v="شرکت نفت بهران"/>
    <s v="BEHRAN"/>
    <x v="4"/>
    <s v="1402/03/17"/>
    <m/>
    <n v="832"/>
    <x v="0"/>
    <n v="0"/>
    <n v="0"/>
    <n v="832"/>
    <s v="1403/07/23*06/14*06/11*05/01*09/17*10/27*10/25*11/29*12*29-1404/02/06"/>
    <s v="WH-CH-027/WH-ME-791/CH-012/64/94/92/117/131/146"/>
    <s v="96لیتر عودت شد"/>
    <s v="EXIR"/>
    <s v="C-1"/>
    <n v="416"/>
    <n v="832"/>
    <s v="*1404/01/17*404/02/15-292386"/>
    <n v="832"/>
  </r>
  <r>
    <n v="16"/>
    <s v="930&amp;935"/>
    <s v="PPJP-030046"/>
    <n v="9987119112"/>
    <s v="WH-CH-006"/>
    <s v="شرکت نفت بهران"/>
    <s v="BEHRAN"/>
    <x v="5"/>
    <s v="1402/03/17"/>
    <m/>
    <n v="208"/>
    <x v="0"/>
    <n v="0"/>
    <n v="0"/>
    <n v="208"/>
    <s v="1403/06/11"/>
    <s v="WH-ME-778"/>
    <s v="خروج نشد"/>
    <s v="PJPC"/>
    <s v="C-1"/>
    <n v="45"/>
    <n v="208"/>
    <s v="*1404/01/17*404/02/15-292386"/>
    <n v="208"/>
  </r>
  <r>
    <n v="12"/>
    <s v="930&amp;935"/>
    <s v="PPJP-030046"/>
    <n v="9987119052"/>
    <s v="WH-CH-006"/>
    <s v="شرکت نفت بهران"/>
    <s v="BEHRAN"/>
    <x v="6"/>
    <s v="1402/03/17"/>
    <m/>
    <n v="416"/>
    <x v="0"/>
    <n v="98"/>
    <n v="0.47115384615384615"/>
    <n v="318"/>
    <s v="1403/06/11*1404/02/27"/>
    <s v="WH-ME-778-WH-CH-156"/>
    <m/>
    <m/>
    <s v="C-1"/>
    <n v="208"/>
    <n v="416"/>
    <s v="*1404/01/17*404/02/15-292386"/>
    <n v="208"/>
  </r>
  <r>
    <n v="14"/>
    <s v="930&amp;935"/>
    <s v="PPJP-030046"/>
    <n v="9987119092"/>
    <s v="WH-CH-006"/>
    <s v="شرکت نفت بهران"/>
    <s v="BEHRAN"/>
    <x v="7"/>
    <s v="1402/03/17"/>
    <m/>
    <n v="208"/>
    <x v="0"/>
    <n v="0"/>
    <n v="0"/>
    <n v="208"/>
    <s v="1403/03/27*03/19"/>
    <s v="WH-ME-706/WH-CH-001"/>
    <m/>
    <s v="PJPC"/>
    <m/>
    <m/>
    <m/>
    <m/>
    <m/>
  </r>
  <r>
    <n v="4"/>
    <s v="930&amp;935"/>
    <s v="PPJP-030046"/>
    <n v="9987119042"/>
    <s v="WH-CH-006"/>
    <s v="شرکت نفت بهران"/>
    <s v="BEHRAN"/>
    <x v="8"/>
    <s v="1402/03/17"/>
    <m/>
    <n v="208"/>
    <x v="0"/>
    <n v="128"/>
    <n v="0.61538461538461542"/>
    <n v="80"/>
    <s v="1403/12/20"/>
    <s v="WH-CH-127"/>
    <m/>
    <s v="CM"/>
    <s v="C-1"/>
    <n v="45"/>
    <n v="208"/>
    <s v="*1404/01/17*404/02/15-292386"/>
    <m/>
  </r>
  <r>
    <n v="6"/>
    <s v="930&amp;935"/>
    <s v="PPJP-030046"/>
    <n v="9987118972"/>
    <s v="WH-CH-006"/>
    <s v="شرکت نفت بهران"/>
    <s v="BEHRAN"/>
    <x v="9"/>
    <s v="1402/03/17"/>
    <m/>
    <n v="208"/>
    <x v="0"/>
    <n v="0"/>
    <n v="0"/>
    <n v="208"/>
    <s v="1403/03/19"/>
    <s v="WH-CH-001"/>
    <m/>
    <s v="EXIR"/>
    <m/>
    <m/>
    <m/>
    <m/>
    <m/>
  </r>
  <r>
    <n v="7"/>
    <s v="930&amp;935"/>
    <s v="PPJP-030046"/>
    <n v="9987118982"/>
    <s v="WH-CH-006"/>
    <s v="شرکت نفت بهران"/>
    <s v="BEHRAN"/>
    <x v="10"/>
    <s v="1402/03/17"/>
    <m/>
    <n v="208"/>
    <x v="0"/>
    <n v="158"/>
    <n v="0.75961538461538458"/>
    <n v="50"/>
    <s v="1403/03/19*06/11"/>
    <s v="WH-CH-001/ME-778"/>
    <m/>
    <s v="EXIR/PJPC"/>
    <s v="C-1"/>
    <n v="110"/>
    <n v="416"/>
    <s v="*1404/01/17*404/02/15-292386"/>
    <n v="208"/>
  </r>
  <r>
    <n v="8"/>
    <s v="930&amp;935"/>
    <s v="PPJP-030046"/>
    <n v="9987119002"/>
    <s v="WH-CH-006"/>
    <s v="شرکت نفت بهران"/>
    <s v="BEHRAN"/>
    <x v="11"/>
    <s v="1402/03/17"/>
    <m/>
    <n v="208"/>
    <x v="0"/>
    <n v="181"/>
    <n v="0.87019230769230771"/>
    <n v="27"/>
    <s v="1403/03/23*06/11*11/22*12/18"/>
    <s v="WH-CH-002/ME-778-ch-111-125"/>
    <m/>
    <s v="PJPC"/>
    <s v="C-1"/>
    <n v="45"/>
    <n v="208"/>
    <m/>
    <m/>
  </r>
  <r>
    <n v="5"/>
    <s v="930&amp;935"/>
    <s v="PPJP-030046"/>
    <n v="9987118952"/>
    <s v="WH-CH-006"/>
    <s v="شرکت نفت بهران"/>
    <s v="BEHRAN"/>
    <x v="12"/>
    <s v="1402/03/17"/>
    <m/>
    <n v="208"/>
    <x v="0"/>
    <n v="196"/>
    <n v="0.94230769230769229"/>
    <n v="12"/>
    <s v="1403/09/13*1404/02/20"/>
    <s v="WH-CH-62-152"/>
    <m/>
    <m/>
    <s v="C-1"/>
    <n v="28"/>
    <n v="208"/>
    <m/>
    <m/>
  </r>
  <r>
    <n v="15"/>
    <s v="930&amp;935"/>
    <s v="PPJP-030046"/>
    <n v="9987119072"/>
    <s v="WH-CH-006"/>
    <s v="شرکت نفت بهران"/>
    <s v="BEHRAN"/>
    <x v="13"/>
    <s v="1402/03/17"/>
    <m/>
    <n v="416"/>
    <x v="0"/>
    <n v="416"/>
    <n v="2"/>
    <n v="0"/>
    <s v="1403/03/19*12/18"/>
    <s v="WH-CH-001-125"/>
    <s v="MRVصادر شود به مقدار208"/>
    <m/>
    <s v="C-1"/>
    <n v="110"/>
    <n v="208"/>
    <m/>
    <m/>
  </r>
  <r>
    <n v="10"/>
    <s v="930&amp;935"/>
    <s v="PPJP-030046"/>
    <n v="9987119032"/>
    <s v="WH-CH-006"/>
    <s v="شرکت نفت بهران"/>
    <s v="BEHRAN"/>
    <x v="14"/>
    <s v="1402/03/17"/>
    <s v="6 dr*208"/>
    <n v="1248"/>
    <x v="0"/>
    <n v="396"/>
    <n v="1.9038461538461537"/>
    <n v="852"/>
    <s v="1403/03/19*03/21*06/11*09/09*10/22*11/11*11/02*05/13"/>
    <s v="WH-CH-001/ME-681/ME-778/914/91-ch-104-095-185"/>
    <s v="حواله 914 از انبار خارج نشد و به موجودی اضافه شد."/>
    <s v="EXIR/PJPC"/>
    <s v="C-1"/>
    <n v="832"/>
    <n v="1664"/>
    <s v="*1404/01/17*404/02/15-292386"/>
    <n v="832"/>
  </r>
  <r>
    <n v="17"/>
    <n v="2994"/>
    <s v="تنخواهی 2447"/>
    <n v="9987119322"/>
    <s v="WH-CH-007"/>
    <s v="بازرگانی محمودی"/>
    <s v="BEHRAN"/>
    <x v="15"/>
    <s v="1402/03/21"/>
    <m/>
    <n v="624"/>
    <x v="0"/>
    <n v="0"/>
    <n v="0"/>
    <n v="624"/>
    <s v="1403/04/18"/>
    <s v="WH-ME-735"/>
    <m/>
    <s v="PJPC"/>
    <m/>
    <m/>
    <m/>
    <m/>
    <m/>
  </r>
  <r>
    <n v="19"/>
    <m/>
    <m/>
    <n v="9987119102"/>
    <s v="WH-CH-008"/>
    <s v="شرکت نفت بهران"/>
    <s v="BEHRAN"/>
    <x v="16"/>
    <s v="1402/03/23"/>
    <m/>
    <n v="416"/>
    <x v="0"/>
    <n v="261.5"/>
    <n v="1.2572115384615385"/>
    <n v="154.5"/>
    <s v="1403/06/11*09/27*11/11*11/21*24/11*11/14*11/22/11/30*1404/02/21*03/14"/>
    <s v="WH-ME-778-CH-75-103-110-114-106-119-152-164"/>
    <m/>
    <s v="PJPC"/>
    <s v="C-1"/>
    <m/>
    <m/>
    <m/>
    <m/>
  </r>
  <r>
    <n v="18"/>
    <m/>
    <m/>
    <n v="9987118992"/>
    <s v="WH-CH-008"/>
    <s v="شرکت نفت بهران"/>
    <s v="BEHRAN"/>
    <x v="17"/>
    <s v="1402/03/23"/>
    <m/>
    <n v="208"/>
    <x v="0"/>
    <n v="208"/>
    <n v="1"/>
    <m/>
    <m/>
    <m/>
    <m/>
    <m/>
    <m/>
    <n v="110"/>
    <n v="208"/>
    <m/>
    <m/>
  </r>
  <r>
    <n v="21"/>
    <n v="68282"/>
    <s v="تنخواهی 2461"/>
    <n v="9987118972"/>
    <s v="WH-CH-009"/>
    <s v="بازرگانی محمودی"/>
    <s v="BEHRAN"/>
    <x v="9"/>
    <s v="1402/03/23"/>
    <m/>
    <n v="208"/>
    <x v="0"/>
    <n v="0"/>
    <n v="0"/>
    <n v="208"/>
    <s v="1403/06/11*09/13"/>
    <s v="WH-ME-778/922"/>
    <m/>
    <s v="PJPC"/>
    <m/>
    <m/>
    <m/>
    <m/>
    <m/>
  </r>
  <r>
    <n v="20"/>
    <n v="68282"/>
    <s v="تنخواهی 2461"/>
    <n v="9987118962"/>
    <s v="WH-CH-009"/>
    <s v="بازرگانی محمودی"/>
    <s v="BEHRAN"/>
    <x v="18"/>
    <s v="1402/03/23"/>
    <m/>
    <n v="624"/>
    <x v="0"/>
    <n v="0"/>
    <n v="0"/>
    <n v="624"/>
    <s v="1403/04/18*06/11*11/14"/>
    <s v="WH-ME-735-778-ch-106"/>
    <m/>
    <s v="PJPC"/>
    <m/>
    <m/>
    <m/>
    <m/>
    <m/>
  </r>
  <r>
    <n v="22"/>
    <n v="230303"/>
    <s v="PPJP-030051"/>
    <n v="9987119132"/>
    <s v="WH-CH-013"/>
    <s v="OIL INO"/>
    <s v="AGIP/SHELL"/>
    <x v="19"/>
    <s v="1402/03/24&amp;29*"/>
    <s v="تعداد 10 بشکه _x000a_"/>
    <n v="2090"/>
    <x v="0"/>
    <n v="0"/>
    <n v="0"/>
    <n v="2090"/>
    <s v="1403/03/24*04/07*07/16*07/21*08/07*08/17*09/10"/>
    <s v="WH-ME-703/WH-ME-725-840-856/CH-40-49-059"/>
    <m/>
    <s v="EXIR"/>
    <m/>
    <m/>
    <m/>
    <m/>
    <m/>
  </r>
  <r>
    <n v="24"/>
    <n v="68280"/>
    <s v="تنخواهی 2466"/>
    <n v="9987118972"/>
    <s v="WH-CH-017"/>
    <s v="بازرگانی محمودی"/>
    <s v="BEHRAN"/>
    <x v="9"/>
    <s v="1402/04/03"/>
    <m/>
    <n v="416"/>
    <x v="0"/>
    <n v="0"/>
    <n v="0"/>
    <n v="416"/>
    <s v="1403/03/22*09/13"/>
    <s v="WH-ME-690/922"/>
    <m/>
    <s v="EXIR"/>
    <m/>
    <m/>
    <m/>
    <m/>
    <m/>
  </r>
  <r>
    <n v="23"/>
    <n v="68280"/>
    <s v="تنخواهی 2466"/>
    <n v="9987118962"/>
    <s v="WH-CH-017"/>
    <s v="بازرگانی محمودی"/>
    <s v="BEHRAN"/>
    <x v="18"/>
    <s v="1402/04/03"/>
    <m/>
    <n v="416"/>
    <x v="0"/>
    <n v="208"/>
    <n v="1"/>
    <n v="208"/>
    <s v="1403/03/24*03/19*04/15/0"/>
    <s v="WH-ME-700-CH-001/006/0217-"/>
    <m/>
    <s v="EXIR"/>
    <s v="C-1"/>
    <m/>
    <m/>
    <m/>
    <m/>
  </r>
  <r>
    <n v="26"/>
    <n v="6844"/>
    <s v="تنخواهی RS-02047"/>
    <n v="9987112462"/>
    <s v="WH-ME-088"/>
    <s v="فروشگاه روغن سهیل "/>
    <s v="SHELL"/>
    <x v="20"/>
    <s v="1402/04/08"/>
    <m/>
    <n v="20"/>
    <x v="0"/>
    <n v="10"/>
    <n v="0"/>
    <n v="10"/>
    <s v="1402/05/22"/>
    <s v="WH-ME-235"/>
    <m/>
    <m/>
    <m/>
    <m/>
    <m/>
    <m/>
    <m/>
  </r>
  <r>
    <n v="25"/>
    <n v="6844"/>
    <s v="تنخواهی RS-02047"/>
    <n v="9987112342"/>
    <s v="WH-ME-088"/>
    <s v="فروشگاه روغن سهیل "/>
    <s v="SHELL"/>
    <x v="21"/>
    <s v="1402/04/08"/>
    <m/>
    <n v="209"/>
    <x v="0"/>
    <n v="114"/>
    <n v="0.54545454545454541"/>
    <n v="95"/>
    <s v="1402/04/26*12/13"/>
    <s v="WH-ME-226-414"/>
    <m/>
    <m/>
    <s v="C-1"/>
    <m/>
    <m/>
    <m/>
    <m/>
  </r>
  <r>
    <n v="27"/>
    <m/>
    <m/>
    <n v="9987118962"/>
    <s v="WH-ME-090"/>
    <s v="بازرگانی محمودی"/>
    <s v="BEHRAN"/>
    <x v="18"/>
    <s v="1402/04/15"/>
    <m/>
    <n v="208"/>
    <x v="0"/>
    <n v="208"/>
    <n v="1"/>
    <n v="0"/>
    <s v="1403/03/21"/>
    <s v="WH-ME-684"/>
    <s v="عودت شد "/>
    <m/>
    <s v="C-1"/>
    <m/>
    <m/>
    <m/>
    <m/>
  </r>
  <r>
    <n v="28"/>
    <m/>
    <s v="PPJPC-1400-07"/>
    <n v="9987119112"/>
    <s v="WH-ME-124"/>
    <s v="Devin Machine Co"/>
    <m/>
    <x v="22"/>
    <s v="1402/09/14"/>
    <s v="9گالن"/>
    <n v="169"/>
    <x v="0"/>
    <n v="0"/>
    <n v="0"/>
    <n v="169"/>
    <m/>
    <m/>
    <m/>
    <m/>
    <m/>
    <m/>
    <m/>
    <m/>
    <m/>
  </r>
  <r>
    <n v="32"/>
    <s v="EXIR-MEH-001"/>
    <s v="PJPC-1400-76"/>
    <n v="9987112312"/>
    <s v="PJPC-EXIR-MEC-015"/>
    <s v="EXIR"/>
    <s v="SHELL"/>
    <x v="23"/>
    <s v="1402/11/25"/>
    <m/>
    <n v="20"/>
    <x v="0"/>
    <n v="0"/>
    <n v="0"/>
    <n v="20"/>
    <s v="1403*01/23"/>
    <s v="WH-ME-449"/>
    <m/>
    <s v="EXIR"/>
    <m/>
    <m/>
    <m/>
    <m/>
    <m/>
  </r>
  <r>
    <n v="35"/>
    <s v="EXIR-MEH-001"/>
    <s v="PJPC-1400-76"/>
    <n v="9987118702"/>
    <s v="PJPC-EXIR-MEC-015"/>
    <s v="EXIR"/>
    <s v="SHELL"/>
    <x v="24"/>
    <s v="1402/11/25"/>
    <m/>
    <n v="20"/>
    <x v="0"/>
    <n v="20"/>
    <n v="0"/>
    <m/>
    <s v="MIV توسط امیر عباس صادر شود."/>
    <m/>
    <m/>
    <m/>
    <m/>
    <m/>
    <m/>
    <m/>
    <m/>
  </r>
  <r>
    <n v="34"/>
    <s v="EXIR-MEH-001"/>
    <s v="PJPC-1400-76"/>
    <n v="9987118702"/>
    <s v="PJPC-EXIR-MEC-015"/>
    <s v="EXIR"/>
    <s v="SHELL"/>
    <x v="25"/>
    <s v="1402/11/25"/>
    <m/>
    <n v="20"/>
    <x v="0"/>
    <n v="20"/>
    <n v="0"/>
    <m/>
    <s v="MIV توسط امیر عباس صادر شود."/>
    <m/>
    <m/>
    <m/>
    <m/>
    <m/>
    <m/>
    <m/>
    <m/>
  </r>
  <r>
    <n v="33"/>
    <s v="EXIR-MEH-001"/>
    <s v="PJPC-1400-76"/>
    <n v="9987112312"/>
    <s v="PJPC-EXIR-MEC-015"/>
    <s v="EXIR"/>
    <s v="SHELL"/>
    <x v="26"/>
    <s v="1402/11/25"/>
    <m/>
    <n v="40"/>
    <x v="0"/>
    <n v="20"/>
    <n v="0"/>
    <n v="20"/>
    <s v="1403/01/23"/>
    <s v="WH-ME-449"/>
    <m/>
    <s v="EXIR"/>
    <m/>
    <m/>
    <m/>
    <m/>
    <m/>
  </r>
  <r>
    <n v="38"/>
    <m/>
    <m/>
    <n v="9987119402"/>
    <s v="PJPC-EXIR-MEC-015"/>
    <s v="EXIR"/>
    <m/>
    <x v="27"/>
    <s v="1402/11/25"/>
    <m/>
    <n v="20"/>
    <x v="0"/>
    <n v="20"/>
    <n v="0"/>
    <m/>
    <m/>
    <m/>
    <m/>
    <m/>
    <m/>
    <m/>
    <m/>
    <m/>
    <m/>
  </r>
  <r>
    <n v="37"/>
    <s v="EXIR-MEH-001"/>
    <s v="PJPC-1400-76"/>
    <n v="9987112382"/>
    <s v="PJPC-EXIR-MEC-015"/>
    <s v="EXIR"/>
    <s v="SHELL"/>
    <x v="28"/>
    <s v="1402/11/25"/>
    <m/>
    <n v="208"/>
    <x v="0"/>
    <n v="0"/>
    <n v="0"/>
    <n v="208"/>
    <s v="1403/02/06"/>
    <s v="WH-ME-534"/>
    <m/>
    <s v="EXIR"/>
    <m/>
    <m/>
    <m/>
    <m/>
    <m/>
  </r>
  <r>
    <n v="36"/>
    <s v="EXIR-MEH-001"/>
    <s v="PJPC-1400-76"/>
    <n v="9987112372"/>
    <s v="PJPC-EXIR-MEC-015"/>
    <s v="EXIR"/>
    <s v="SHELL"/>
    <x v="29"/>
    <s v="1402/11/25"/>
    <m/>
    <n v="208"/>
    <x v="0"/>
    <n v="0"/>
    <n v="0"/>
    <n v="208"/>
    <s v="1403/02/10"/>
    <s v="WH-ME-555"/>
    <m/>
    <s v="EXIR"/>
    <m/>
    <m/>
    <m/>
    <m/>
    <m/>
  </r>
  <r>
    <n v="31"/>
    <s v="EXIR-MEH-001"/>
    <s v="PJPC-1400-76"/>
    <n v="9987118812"/>
    <s v="PJPC-EXIR-MEC-015"/>
    <s v="EXIR"/>
    <s v="AGIP"/>
    <x v="30"/>
    <s v="1402/11/25"/>
    <m/>
    <n v="20"/>
    <x v="0"/>
    <n v="0"/>
    <n v="0"/>
    <n v="20"/>
    <s v="1403/02/10*02/26"/>
    <s v="WH-ME-553-613"/>
    <m/>
    <s v="EXIR"/>
    <m/>
    <m/>
    <m/>
    <m/>
    <m/>
  </r>
  <r>
    <n v="30"/>
    <s v="EXIR-MEH-001"/>
    <s v="PJPC-1400-76"/>
    <n v="9987119262"/>
    <s v="PJPC-EXIR-MEC-015"/>
    <s v="EXIR"/>
    <s v="AGIP"/>
    <x v="31"/>
    <s v="1402/11/25"/>
    <m/>
    <n v="416"/>
    <x v="0"/>
    <n v="0"/>
    <n v="0"/>
    <n v="416"/>
    <s v="1403/03/22"/>
    <s v="WH-ME-691"/>
    <m/>
    <s v="EXIR"/>
    <m/>
    <m/>
    <m/>
    <m/>
    <m/>
  </r>
  <r>
    <n v="29"/>
    <s v="EXIR-MEH-001"/>
    <s v="PJPC-1400-76"/>
    <n v="9987009302"/>
    <s v="PJPC-EXIR-MEC-015"/>
    <s v="EXIR"/>
    <s v="AGIP"/>
    <x v="32"/>
    <s v="1402/11/25"/>
    <s v="24 dr*208"/>
    <n v="4994"/>
    <x v="0"/>
    <n v="0"/>
    <n v="0"/>
    <n v="4994"/>
    <s v="1403/02/29*04/07"/>
    <s v="WH-ME-620/725"/>
    <m/>
    <s v="EXIR/PJPC"/>
    <m/>
    <m/>
    <m/>
    <m/>
    <m/>
  </r>
  <r>
    <n v="39"/>
    <n v="57918"/>
    <s v="تنخواهی 2242"/>
    <n v="9987118782"/>
    <s v="WH-ME-137"/>
    <s v="بازرگانی محمودی "/>
    <s v="BEHRAN"/>
    <x v="33"/>
    <s v="1402/12/17"/>
    <m/>
    <n v="208"/>
    <x v="0"/>
    <n v="0"/>
    <n v="0"/>
    <n v="208"/>
    <s v="1403/02/19*02/29*04/18*06/13*11/11"/>
    <s v="WH-ME-593-619-615-735-605-781-505-ch-103"/>
    <m/>
    <m/>
    <m/>
    <m/>
    <m/>
    <m/>
    <m/>
  </r>
  <r>
    <n v="40"/>
    <m/>
    <m/>
    <n v="9987119282"/>
    <s v="PJPC-EXIR-MEC-034"/>
    <s v="EXIR SANAT CO."/>
    <s v="MOBIL"/>
    <x v="34"/>
    <s v="1403/02/15"/>
    <s v="27 dr*208lit"/>
    <n v="5616"/>
    <x v="0"/>
    <n v="1664"/>
    <n v="8"/>
    <n v="3952"/>
    <s v="1403/02/31"/>
    <s v="WH-ME-623"/>
    <m/>
    <m/>
    <s v="E-1"/>
    <m/>
    <m/>
    <m/>
    <m/>
  </r>
  <r>
    <n v="42"/>
    <n v="56901"/>
    <s v="تنخواهی 2377"/>
    <n v="9987119082"/>
    <s v="WH-ME-169"/>
    <s v="بازرگانی محمودی"/>
    <s v="BEHRAN"/>
    <x v="35"/>
    <s v="1403/02/26"/>
    <m/>
    <n v="208"/>
    <x v="0"/>
    <n v="0"/>
    <m/>
    <n v="208"/>
    <s v="1403/02/26*08/09*11/21"/>
    <s v="WH-ME-613/CH-043-110"/>
    <m/>
    <s v="MECHANICAL"/>
    <m/>
    <n v="110"/>
    <n v="416"/>
    <s v="*1404/01/17*404/02/15-292386"/>
    <m/>
  </r>
  <r>
    <n v="41"/>
    <n v="58357"/>
    <s v="تنخواهی 2374"/>
    <n v="9987118962"/>
    <s v="WH-ME-170"/>
    <s v="بازرگانی محمودی"/>
    <s v="BEHRAN"/>
    <x v="18"/>
    <s v="1403/02/26"/>
    <m/>
    <n v="208"/>
    <x v="0"/>
    <n v="208"/>
    <n v="1"/>
    <m/>
    <m/>
    <m/>
    <m/>
    <m/>
    <s v="C-1"/>
    <n v="416"/>
    <n v="832"/>
    <s v="MIV صادر شود"/>
    <n v="624"/>
  </r>
  <r>
    <n v="43"/>
    <m/>
    <s v="PPJPC-1403-100"/>
    <n v="9987119392"/>
    <s v="WH-ME-167"/>
    <s v="Voltronic"/>
    <s v="Voltronic"/>
    <x v="36"/>
    <s v="1403/02/27"/>
    <s v="77پالت طوسی 308 بشکه208لیتری"/>
    <n v="64064"/>
    <x v="0"/>
    <n v="63648"/>
    <n v="306"/>
    <n v="416"/>
    <s v="1403/09/18-10/19"/>
    <s v="WH-CH-67-88"/>
    <m/>
    <m/>
    <s v="E-1-2"/>
    <m/>
    <m/>
    <m/>
    <m/>
  </r>
  <r>
    <n v="44"/>
    <m/>
    <m/>
    <n v="9987112552"/>
    <s v="WH-CH-004"/>
    <s v="شرکت نفت بهران "/>
    <s v="BEHRAN"/>
    <x v="37"/>
    <s v="1403/02/27~ 1403/03/01"/>
    <s v="معادل 1800 بشکه "/>
    <n v="374400"/>
    <x v="0"/>
    <n v="284"/>
    <n v="0"/>
    <n v="374116"/>
    <s v="1403/06/12*05/25*08/02*09/22*09/25*09/27*11/11*11/15"/>
    <s v="WH-ME-780/CH-018-037-70-72-74-102-107"/>
    <m/>
    <s v="PJPC"/>
    <m/>
    <m/>
    <m/>
    <m/>
    <m/>
  </r>
  <r>
    <n v="46"/>
    <m/>
    <s v="تنخواهی 2299"/>
    <n v="9987119372"/>
    <s v="WH-ME-199-02"/>
    <s v="بازرگانی مجمودی"/>
    <s v="MOBIL"/>
    <x v="38"/>
    <s v="1403/03/08"/>
    <m/>
    <n v="20"/>
    <x v="0"/>
    <n v="20"/>
    <n v="0"/>
    <m/>
    <m/>
    <m/>
    <m/>
    <m/>
    <m/>
    <m/>
    <m/>
    <m/>
    <m/>
  </r>
  <r>
    <n v="45"/>
    <m/>
    <s v="تنخواهی 2299"/>
    <n v="9987119362"/>
    <s v="WH-ME-199-02"/>
    <s v="بازرگانی مجمودی"/>
    <s v="MOBIL"/>
    <x v="39"/>
    <s v="1403/03/08"/>
    <m/>
    <n v="20"/>
    <x v="0"/>
    <n v="20"/>
    <n v="0"/>
    <m/>
    <m/>
    <m/>
    <m/>
    <m/>
    <m/>
    <m/>
    <m/>
    <m/>
    <m/>
  </r>
  <r>
    <n v="47"/>
    <s v="INWH-FO-001"/>
    <m/>
    <n v="9987119382"/>
    <s v="WH-CH-025"/>
    <s v="پتروشیمی آریا ساسول "/>
    <s v="SHELL"/>
    <x v="40"/>
    <s v="1403/03/21"/>
    <s v="تعداد 2 بشکه  208 کیلو گرمی "/>
    <n v="416"/>
    <x v="0"/>
    <n v="0"/>
    <n v="0"/>
    <n v="416"/>
    <s v="1403/10/03"/>
    <s v="WH-CH-79"/>
    <m/>
    <s v="پتروشیمی آریا ساسول"/>
    <m/>
    <m/>
    <m/>
    <m/>
    <m/>
  </r>
  <r>
    <n v="48"/>
    <m/>
    <m/>
    <n v="9987119152"/>
    <s v="WH-CH-023"/>
    <s v="پتروشیمی تخت جمشید "/>
    <s v="MINERAL"/>
    <x v="41"/>
    <s v="1403/03/30"/>
    <s v="2بشکه 208 لیتری"/>
    <n v="416"/>
    <x v="0"/>
    <n v="208"/>
    <n v="0"/>
    <n v="208"/>
    <s v="1403/04/07"/>
    <s v="WH-ME-725"/>
    <m/>
    <s v="PJPC"/>
    <s v="D-3"/>
    <m/>
    <m/>
    <m/>
    <m/>
  </r>
  <r>
    <n v="49"/>
    <m/>
    <s v="OPI-ME-126"/>
    <n v="9987009302"/>
    <s v="NO MRS"/>
    <s v="EXIR"/>
    <s v="AGIP"/>
    <x v="32"/>
    <s v="1403/04/01"/>
    <s v="4 بشکه 80 لیتری"/>
    <n v="80"/>
    <x v="0"/>
    <n v="0"/>
    <n v="0"/>
    <n v="80"/>
    <s v="1403/04/07"/>
    <s v="WH-ME-725"/>
    <m/>
    <s v="PJPC"/>
    <m/>
    <m/>
    <m/>
    <m/>
    <m/>
  </r>
  <r>
    <n v="50"/>
    <m/>
    <s v="OPI-ME-127"/>
    <n v="9987009302"/>
    <s v="NO MRS"/>
    <s v="EXIR"/>
    <s v="AGIP"/>
    <x v="32"/>
    <s v="1403/04/02"/>
    <s v="3 بشکه 208 لیتری"/>
    <n v="624"/>
    <x v="0"/>
    <n v="208"/>
    <n v="1"/>
    <n v="416"/>
    <s v="MIV توسط امیر عباس صادر شود."/>
    <m/>
    <m/>
    <m/>
    <s v="B-C-1"/>
    <m/>
    <m/>
    <m/>
    <m/>
  </r>
  <r>
    <n v="51"/>
    <m/>
    <s v="تنخواهی 2476"/>
    <n v="9987009302"/>
    <s v="WH-ME-209"/>
    <s v="بازرگانی کیان پارس "/>
    <s v="AGIP"/>
    <x v="32"/>
    <s v="1403/04/10"/>
    <s v="3 بشکه 208 لیتری"/>
    <n v="624"/>
    <x v="0"/>
    <n v="0"/>
    <n v="0"/>
    <n v="624"/>
    <s v="1403/04/18*08/12"/>
    <s v="WH-ME-735*CH-044"/>
    <m/>
    <m/>
    <m/>
    <m/>
    <m/>
    <m/>
    <m/>
  </r>
  <r>
    <n v="52"/>
    <n v="11161"/>
    <s v="تنخواهی 2583"/>
    <n v="9987118972"/>
    <s v="WH-ME-221"/>
    <s v="بازرگانی محمودی"/>
    <s v="BEHRAN"/>
    <x v="9"/>
    <s v="1403/06/12"/>
    <s v="Preservation Oil&quot;"/>
    <n v="624"/>
    <x v="0"/>
    <n v="0"/>
    <n v="0"/>
    <n v="624"/>
    <s v="1403/09/10*09/12*09/13"/>
    <s v="WH-CH-60-61/ME/922"/>
    <m/>
    <m/>
    <s v="B-C-1"/>
    <n v="624"/>
    <n v="3120"/>
    <s v="*1404/01/17*404/02/15-292386"/>
    <n v="3120"/>
  </r>
  <r>
    <n v="53"/>
    <m/>
    <s v="PPJP-030117"/>
    <n v="9987119142"/>
    <s v="WH-ME-229"/>
    <s v="شرکت تامین روانکار دایان"/>
    <s v="PETROFRE"/>
    <x v="42"/>
    <s v="1403/06/29"/>
    <m/>
    <n v="1080"/>
    <x v="0"/>
    <n v="180"/>
    <n v="0.86538461538461542"/>
    <n v="900"/>
    <s v="1403/07/02*09/17*09/09*09/17*09/20*10/04*10/22*11/24"/>
    <s v="WH-ME-810-ME-914-CH-66-69-81-91-114"/>
    <s v="180MRV"/>
    <m/>
    <s v="C-1"/>
    <n v="416"/>
    <n v="832"/>
    <s v="MIV صادر شود"/>
    <n v="832"/>
  </r>
  <r>
    <n v="54"/>
    <m/>
    <s v="PPJP-030261"/>
    <n v="9987119272"/>
    <s v="WH-ME-235"/>
    <s v="شرکت تامین روانکار دایان"/>
    <s v="BEHRAN"/>
    <x v="43"/>
    <s v="1403/07/29"/>
    <s v="روغن دنده"/>
    <n v="208"/>
    <x v="0"/>
    <n v="0"/>
    <n v="0"/>
    <n v="208"/>
    <m/>
    <m/>
    <m/>
    <m/>
    <m/>
    <n v="208"/>
    <n v="624"/>
    <s v="*1404/01/17*404/02/15-292386"/>
    <n v="208"/>
  </r>
  <r>
    <n v="55"/>
    <s v="1603-GD-PAL-002"/>
    <s v="PPJP-030119"/>
    <n v="9987119092"/>
    <s v="WH-ME-239"/>
    <s v="شرکت نفت بهران"/>
    <s v="BEHRAN"/>
    <x v="7"/>
    <s v="1403/08/03"/>
    <s v="7 بشکه "/>
    <n v="1456"/>
    <x v="0"/>
    <n v="206"/>
    <n v="0.99038461538461542"/>
    <n v="1250"/>
    <s v="1403/08/08*10/22*12/22"/>
    <s v="WH-CH-041/091/128"/>
    <m/>
    <m/>
    <s v="C-1"/>
    <n v="832"/>
    <n v="1664"/>
    <s v="*1404/01/17*404/02/15-292386"/>
    <n v="1248"/>
  </r>
  <r>
    <n v="56"/>
    <m/>
    <m/>
    <n v="9987119302"/>
    <s v="WH-ME-241"/>
    <s v="شرکت بازرگانی روغن کار ناظم"/>
    <s v="AGIP"/>
    <x v="44"/>
    <s v="1403/08/05"/>
    <s v="81 بشکه"/>
    <n v="16929"/>
    <x v="0"/>
    <n v="1248"/>
    <n v="6"/>
    <n v="15681"/>
    <s v="1403/09/13*09/18*10/25*1404/01/21"/>
    <s v="WH-ME-922/CH-68/093/138"/>
    <m/>
    <m/>
    <s v="D-3"/>
    <n v="2080"/>
    <n v="6240"/>
    <s v="*1404/01/17*404/02/15-292386"/>
    <n v="4992"/>
  </r>
  <r>
    <n v="57"/>
    <n v="2024525"/>
    <m/>
    <n v="9987119332"/>
    <s v="WH-CH-043"/>
    <s v="BADICO"/>
    <s v="BADICO"/>
    <x v="45"/>
    <s v="1403/08/24-09/05-10/16&amp;17"/>
    <s v="2338 dr*214"/>
    <n v="500332"/>
    <x v="1"/>
    <n v="500332"/>
    <n v="2338"/>
    <m/>
    <m/>
    <m/>
    <m/>
    <m/>
    <m/>
    <m/>
    <m/>
    <m/>
    <m/>
  </r>
  <r>
    <n v="58"/>
    <m/>
    <s v="PPJP-030241"/>
    <n v="9987119262"/>
    <s v="WH-CH-046"/>
    <s v="OILINO CO."/>
    <s v="OILINO CO."/>
    <x v="31"/>
    <s v="1403/10/01"/>
    <s v="یک پالت 4 تایی "/>
    <n v="832"/>
    <x v="0"/>
    <n v="208"/>
    <n v="1"/>
    <n v="624"/>
    <s v="1403/10/04*1404/02/20"/>
    <s v="WH-CH-80-151"/>
    <m/>
    <m/>
    <s v="D-3"/>
    <n v="624"/>
    <n v="1248"/>
    <s v="*1404/01/17*404/02/15-292386"/>
    <n v="832"/>
  </r>
  <r>
    <n v="60"/>
    <m/>
    <m/>
    <n v="9987119292"/>
    <s v="WH-CH-051"/>
    <s v="شرکت اویل اینو"/>
    <s v="شرکت اویل اینو"/>
    <x v="46"/>
    <s v="1403/11/15"/>
    <s v="4 gal*20lit"/>
    <n v="80"/>
    <x v="0"/>
    <n v="0"/>
    <m/>
    <n v="80"/>
    <s v="1403-11-21"/>
    <s v="WH-CH-110"/>
    <m/>
    <m/>
    <m/>
    <m/>
    <m/>
    <m/>
    <m/>
  </r>
  <r>
    <n v="59"/>
    <m/>
    <s v="PJPC-030377"/>
    <n v="9987119352"/>
    <s v="WH-CH-050"/>
    <s v="شرکت روغن پارسیان"/>
    <s v="شرکت روغن پارسیان"/>
    <x v="47"/>
    <s v="1403/11/15"/>
    <s v="10 dr*208lit"/>
    <n v="2080"/>
    <x v="0"/>
    <n v="1198"/>
    <n v="5.759615384615385"/>
    <n v="882"/>
    <s v="1403-11-15*12/02*1404/01/10*02/28*03/20*03/22*04/08"/>
    <s v="WH-CH-109--*ME1103-CH-135-157-167-168-170"/>
    <m/>
    <m/>
    <m/>
    <n v="1040"/>
    <n v="3120"/>
    <s v="*1404/01/17*404/02/15-292386"/>
    <m/>
  </r>
  <r>
    <n v="61"/>
    <m/>
    <s v="PJPC-030421"/>
    <n v="9987112552"/>
    <s v="WH-CH-054"/>
    <s v="شرکت نفت  بهران"/>
    <s v="BEHRAN"/>
    <x v="37"/>
    <s v="1403/11/18"/>
    <s v="480 dr208lit"/>
    <n v="99840"/>
    <x v="0"/>
    <n v="33696"/>
    <n v="162"/>
    <n v="66144"/>
    <s v="1404/01/23*01/25*01/25*01-19*04*30*05/01"/>
    <s v="WH-CH-139-140-142-141-178"/>
    <s v="MRVصادر شود به مقدار1246"/>
    <s v="PJPC"/>
    <m/>
    <m/>
    <m/>
    <m/>
    <m/>
  </r>
  <r>
    <n v="64"/>
    <s v="N/A"/>
    <s v="N/A"/>
    <s v="N/A"/>
    <s v="NO MRS"/>
    <s v=" امانی پتروشیمی جم"/>
    <s v=" امانی پتروشیمی جم"/>
    <x v="48"/>
    <s v="1403/11/21"/>
    <s v="2 dr*208li"/>
    <n v="416"/>
    <x v="0"/>
    <n v="416"/>
    <n v="2"/>
    <m/>
    <m/>
    <m/>
    <m/>
    <m/>
    <s v="C-1"/>
    <m/>
    <m/>
    <m/>
    <m/>
  </r>
  <r>
    <n v="63"/>
    <s v="N/A"/>
    <s v="N/A"/>
    <s v="N/A"/>
    <s v="NO MRS"/>
    <s v=" امانی پتروشیمی جم"/>
    <s v=" امانی پتروشیمی جم"/>
    <x v="16"/>
    <s v="1403/11/21"/>
    <s v="2 dr*208li"/>
    <n v="416"/>
    <x v="0"/>
    <n v="416"/>
    <n v="2"/>
    <m/>
    <m/>
    <m/>
    <m/>
    <m/>
    <s v="C-1"/>
    <n v="110"/>
    <n v="416"/>
    <m/>
    <m/>
  </r>
  <r>
    <n v="62"/>
    <s v="N/A"/>
    <s v="N/A"/>
    <s v="N/A"/>
    <s v="NO MRS"/>
    <s v=" امانی پتروشیمی جم"/>
    <s v=" امانی پتروشیمی جم"/>
    <x v="49"/>
    <s v="1403/11/21"/>
    <s v="2 dr*208li"/>
    <n v="416"/>
    <x v="0"/>
    <n v="416"/>
    <n v="2"/>
    <m/>
    <m/>
    <m/>
    <m/>
    <m/>
    <s v="C-1"/>
    <m/>
    <m/>
    <m/>
    <m/>
  </r>
  <r>
    <n v="65"/>
    <m/>
    <s v="PPJP-030330"/>
    <n v="9987119282"/>
    <s v="WH-CH-055"/>
    <s v=" شرکت روغن کار ناظم"/>
    <s v=" شرکت روغن کار ناظم"/>
    <x v="34"/>
    <s v="1403/11/27"/>
    <s v="20 dr*208lit"/>
    <n v="4160"/>
    <x v="0"/>
    <n v="4160"/>
    <n v="20"/>
    <m/>
    <m/>
    <m/>
    <m/>
    <m/>
    <s v="E-1"/>
    <n v="2080"/>
    <n v="9360"/>
    <m/>
    <m/>
  </r>
  <r>
    <n v="66"/>
    <m/>
    <s v="PJPC-20288"/>
    <n v="9987118932"/>
    <s v="WH-CH-056"/>
    <s v="شرکت هواکاران "/>
    <s v="شرکت هواکاران "/>
    <x v="50"/>
    <s v="1403/12/12"/>
    <s v="5 Gllon*20lit"/>
    <n v="100"/>
    <x v="0"/>
    <n v="40"/>
    <n v="0.19230769230769232"/>
    <n v="60"/>
    <s v="1404/05/09"/>
    <s v="WH-CH-182"/>
    <m/>
    <m/>
    <m/>
    <n v="50"/>
    <n v="150"/>
    <m/>
    <m/>
  </r>
  <r>
    <n v="68"/>
    <m/>
    <s v="PJPC-030464"/>
    <n v="9987112562"/>
    <s v="WH-CH-059"/>
    <s v="روغن کار"/>
    <s v="SHELL"/>
    <x v="51"/>
    <s v="1403/12/27*1404/02/17"/>
    <s v="3 Gall*20lit+4dr*209lit"/>
    <n v="836"/>
    <x v="0"/>
    <n v="806"/>
    <n v="3.875"/>
    <n v="30"/>
    <s v="1404/01/13"/>
    <s v="WH-CH-136"/>
    <m/>
    <m/>
    <s v="D-3"/>
    <n v="208"/>
    <n v="624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A35FD7-5EB6-48FD-9294-D87ACA968B1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:H54" firstHeaderRow="0" firstDataRow="1" firstDataCol="2"/>
  <pivotFields count="24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5">
        <item x="45"/>
        <item x="44"/>
        <item x="32"/>
        <item x="31"/>
        <item x="19"/>
        <item x="30"/>
        <item x="35"/>
        <item x="29"/>
        <item x="28"/>
        <item x="12"/>
        <item x="18"/>
        <item x="9"/>
        <item x="17"/>
        <item x="11"/>
        <item x="10"/>
        <item x="43"/>
        <item x="4"/>
        <item x="14"/>
        <item x="8"/>
        <item n="Behran a Derfsh 220" x="3"/>
        <item x="15"/>
        <item x="6"/>
        <item x="33"/>
        <item x="49"/>
        <item x="37"/>
        <item x="22"/>
        <item x="2"/>
        <item x="13"/>
        <item x="7"/>
        <item x="5"/>
        <item x="16"/>
        <item x="1"/>
        <item m="1" x="54"/>
        <item x="27"/>
        <item x="47"/>
        <item x="41"/>
        <item m="1" x="52"/>
        <item x="34"/>
        <item x="39"/>
        <item x="38"/>
        <item x="48"/>
        <item x="42"/>
        <item x="40"/>
        <item x="21"/>
        <item x="20"/>
        <item x="26"/>
        <item x="25"/>
        <item x="24"/>
        <item x="23"/>
        <item x="46"/>
        <item x="51"/>
        <item x="36"/>
        <item x="0"/>
        <item m="1" x="53"/>
        <item x="50"/>
      </items>
    </pivotField>
    <pivotField compact="0" outline="0" showAll="0" defaultSubtotal="0"/>
    <pivotField compact="0" outline="0" showAll="0" defaultSubtotal="0"/>
    <pivotField dataField="1" compact="0" numFmtId="164" outline="0" showAll="0" defaultSubtotal="0"/>
    <pivotField axis="axisRow" compact="0" outline="0" showAll="0" defaultSubtotal="0">
      <items count="3">
        <item x="1"/>
        <item x="0"/>
        <item m="1" x="2"/>
      </items>
    </pivotField>
    <pivotField dataField="1"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dataField="1" compact="0" outline="0" subtotalTop="0" showAll="0" defaultSubtotal="0"/>
  </pivotFields>
  <rowFields count="2">
    <field x="7"/>
    <field x="11"/>
  </rowFields>
  <rowItems count="53">
    <i>
      <x/>
      <x/>
    </i>
    <i>
      <x v="1"/>
      <x v="1"/>
    </i>
    <i>
      <x v="2"/>
      <x v="1"/>
    </i>
    <i>
      <x v="3"/>
      <x v="1"/>
    </i>
    <i>
      <x v="4"/>
      <x v="1"/>
    </i>
    <i>
      <x v="5"/>
      <x v="1"/>
    </i>
    <i>
      <x v="6"/>
      <x v="1"/>
    </i>
    <i>
      <x v="7"/>
      <x v="1"/>
    </i>
    <i>
      <x v="8"/>
      <x v="1"/>
    </i>
    <i>
      <x v="9"/>
      <x v="1"/>
    </i>
    <i>
      <x v="10"/>
      <x v="1"/>
    </i>
    <i>
      <x v="11"/>
      <x v="1"/>
    </i>
    <i>
      <x v="12"/>
      <x v="1"/>
    </i>
    <i>
      <x v="13"/>
      <x v="1"/>
    </i>
    <i>
      <x v="14"/>
      <x v="1"/>
    </i>
    <i>
      <x v="15"/>
      <x v="1"/>
    </i>
    <i>
      <x v="16"/>
      <x v="1"/>
    </i>
    <i>
      <x v="17"/>
      <x v="1"/>
    </i>
    <i>
      <x v="18"/>
      <x v="1"/>
    </i>
    <i>
      <x v="19"/>
      <x v="1"/>
    </i>
    <i>
      <x v="20"/>
      <x v="1"/>
    </i>
    <i>
      <x v="21"/>
      <x v="1"/>
    </i>
    <i>
      <x v="22"/>
      <x v="1"/>
    </i>
    <i>
      <x v="23"/>
      <x v="1"/>
    </i>
    <i>
      <x v="24"/>
      <x v="1"/>
    </i>
    <i>
      <x v="25"/>
      <x v="1"/>
    </i>
    <i>
      <x v="26"/>
      <x v="1"/>
    </i>
    <i>
      <x v="27"/>
      <x v="1"/>
    </i>
    <i>
      <x v="28"/>
      <x v="1"/>
    </i>
    <i>
      <x v="29"/>
      <x v="1"/>
    </i>
    <i>
      <x v="30"/>
      <x v="1"/>
    </i>
    <i>
      <x v="31"/>
      <x v="1"/>
    </i>
    <i>
      <x v="33"/>
      <x v="1"/>
    </i>
    <i>
      <x v="34"/>
      <x v="1"/>
    </i>
    <i>
      <x v="35"/>
      <x v="1"/>
    </i>
    <i>
      <x v="37"/>
      <x v="1"/>
    </i>
    <i>
      <x v="38"/>
      <x v="1"/>
    </i>
    <i>
      <x v="39"/>
      <x v="1"/>
    </i>
    <i>
      <x v="40"/>
      <x v="1"/>
    </i>
    <i>
      <x v="41"/>
      <x v="1"/>
    </i>
    <i>
      <x v="42"/>
      <x v="1"/>
    </i>
    <i>
      <x v="43"/>
      <x v="1"/>
    </i>
    <i>
      <x v="44"/>
      <x v="1"/>
    </i>
    <i>
      <x v="45"/>
      <x v="1"/>
    </i>
    <i>
      <x v="46"/>
      <x v="1"/>
    </i>
    <i>
      <x v="47"/>
      <x v="1"/>
    </i>
    <i>
      <x v="48"/>
      <x v="1"/>
    </i>
    <i>
      <x v="49"/>
      <x v="1"/>
    </i>
    <i>
      <x v="50"/>
      <x v="1"/>
    </i>
    <i>
      <x v="51"/>
      <x v="1"/>
    </i>
    <i>
      <x v="52"/>
      <x v="1"/>
    </i>
    <i>
      <x v="54"/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QTY_x000a_RECIVED" fld="10" baseField="0" baseItem="0" numFmtId="164"/>
    <dataField name=" INVENTORY" fld="12" baseField="0" baseItem="0"/>
    <dataField name=" MIN" fld="20" baseField="0" baseItem="0"/>
    <dataField name=" MAX" fld="21" baseField="0" baseItem="0"/>
    <dataField name="مقدار کسری" fld="23" baseField="0" baseItem="0"/>
  </dataFields>
  <formats count="153">
    <format dxfId="206">
      <pivotArea outline="0" collapsedLevelsAreSubtotals="1" fieldPosition="0"/>
    </format>
    <format dxfId="205">
      <pivotArea dataOnly="0" labelOnly="1" outline="0" axis="axisValues" fieldPosition="0"/>
    </format>
    <format dxfId="204">
      <pivotArea field="7" type="button" dataOnly="0" labelOnly="1" outline="0" axis="axisRow" fieldPosition="0"/>
    </format>
    <format dxfId="203">
      <pivotArea field="11" type="button" dataOnly="0" labelOnly="1" outline="0" axis="axisRow" fieldPosition="1"/>
    </format>
    <format dxfId="20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01">
      <pivotArea field="7" type="button" dataOnly="0" labelOnly="1" outline="0" axis="axisRow" fieldPosition="0"/>
    </format>
    <format dxfId="200">
      <pivotArea field="11" type="button" dataOnly="0" labelOnly="1" outline="0" axis="axisRow" fieldPosition="1"/>
    </format>
    <format dxfId="19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98">
      <pivotArea field="7" type="button" dataOnly="0" labelOnly="1" outline="0" axis="axisRow" fieldPosition="0"/>
    </format>
    <format dxfId="197">
      <pivotArea field="11" type="button" dataOnly="0" labelOnly="1" outline="0" axis="axisRow" fieldPosition="1"/>
    </format>
    <format dxfId="19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95">
      <pivotArea outline="0" fieldPosition="0">
        <references count="3">
          <reference field="4294967294" count="3" selected="0">
            <x v="1"/>
            <x v="2"/>
            <x v="3"/>
          </reference>
          <reference field="7" count="1" selected="0">
            <x v="1"/>
          </reference>
          <reference field="11" count="1" selected="0">
            <x v="1"/>
          </reference>
        </references>
      </pivotArea>
    </format>
    <format dxfId="194">
      <pivotArea outline="0" fieldPosition="0">
        <references count="3">
          <reference field="4294967294" count="4" selected="0">
            <x v="1"/>
            <x v="2"/>
            <x v="3"/>
            <x v="4"/>
          </reference>
          <reference field="7" count="1" selected="0">
            <x v="1"/>
          </reference>
          <reference field="11" count="1" selected="0">
            <x v="1"/>
          </reference>
        </references>
      </pivotArea>
    </format>
    <format dxfId="193">
      <pivotArea outline="0" fieldPosition="0">
        <references count="3">
          <reference field="4294967294" count="4" selected="0">
            <x v="1"/>
            <x v="2"/>
            <x v="3"/>
            <x v="4"/>
          </reference>
          <reference field="7" count="1" selected="0">
            <x v="3"/>
          </reference>
          <reference field="11" count="1" selected="0">
            <x v="1"/>
          </reference>
        </references>
      </pivotArea>
    </format>
    <format dxfId="192">
      <pivotArea outline="0" fieldPosition="0">
        <references count="3">
          <reference field="4294967294" count="4" selected="0">
            <x v="1"/>
            <x v="2"/>
            <x v="3"/>
            <x v="4"/>
          </reference>
          <reference field="7" count="1" selected="0">
            <x v="10"/>
          </reference>
          <reference field="11" count="1" selected="0">
            <x v="1"/>
          </reference>
        </references>
      </pivotArea>
    </format>
    <format dxfId="191">
      <pivotArea outline="0" fieldPosition="0">
        <references count="3">
          <reference field="4294967294" count="4" selected="0">
            <x v="1"/>
            <x v="2"/>
            <x v="3"/>
            <x v="4"/>
          </reference>
          <reference field="7" count="1" selected="0">
            <x v="10"/>
          </reference>
          <reference field="11" count="1" selected="0">
            <x v="1"/>
          </reference>
        </references>
      </pivotArea>
    </format>
    <format dxfId="190">
      <pivotArea dataOnly="0" outline="0" fieldPosition="0">
        <references count="2">
          <reference field="7" count="1">
            <x v="1"/>
          </reference>
          <reference field="11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189">
      <pivotArea dataOnly="0" outline="0" fieldPosition="0">
        <references count="2">
          <reference field="7" count="1">
            <x v="1"/>
          </reference>
          <reference field="11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188">
      <pivotArea outline="0" fieldPosition="0">
        <references count="2">
          <reference field="7" count="1" selected="0">
            <x v="3"/>
          </reference>
          <reference field="11" count="1" selected="0">
            <x v="1"/>
          </reference>
        </references>
      </pivotArea>
    </format>
    <format dxfId="187">
      <pivotArea dataOnly="0" labelOnly="1" outline="0" fieldPosition="0">
        <references count="1">
          <reference field="7" count="1">
            <x v="3"/>
          </reference>
        </references>
      </pivotArea>
    </format>
    <format dxfId="186">
      <pivotArea dataOnly="0" labelOnly="1" outline="0" fieldPosition="0">
        <references count="2">
          <reference field="7" count="1" selected="0">
            <x v="3"/>
          </reference>
          <reference field="11" count="1">
            <x v="1"/>
          </reference>
        </references>
      </pivotArea>
    </format>
    <format dxfId="185">
      <pivotArea dataOnly="0" outline="0" fieldPosition="0">
        <references count="2">
          <reference field="7" count="1">
            <x v="6"/>
          </reference>
          <reference field="11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184">
      <pivotArea dataOnly="0" outline="0" fieldPosition="0">
        <references count="2">
          <reference field="7" count="1">
            <x v="6"/>
          </reference>
          <reference field="11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183">
      <pivotArea outline="0" fieldPosition="0">
        <references count="2">
          <reference field="7" count="1" selected="0">
            <x v="9"/>
          </reference>
          <reference field="11" count="1" selected="0">
            <x v="1"/>
          </reference>
        </references>
      </pivotArea>
    </format>
    <format dxfId="182">
      <pivotArea dataOnly="0" labelOnly="1" outline="0" fieldPosition="0">
        <references count="1">
          <reference field="7" count="1">
            <x v="9"/>
          </reference>
        </references>
      </pivotArea>
    </format>
    <format dxfId="181">
      <pivotArea dataOnly="0" labelOnly="1" outline="0" fieldPosition="0">
        <references count="2">
          <reference field="7" count="1" selected="0">
            <x v="9"/>
          </reference>
          <reference field="11" count="1">
            <x v="1"/>
          </reference>
        </references>
      </pivotArea>
    </format>
    <format dxfId="180">
      <pivotArea outline="0" fieldPosition="0">
        <references count="2">
          <reference field="7" count="1" selected="0">
            <x v="9"/>
          </reference>
          <reference field="11" count="1" selected="0">
            <x v="1"/>
          </reference>
        </references>
      </pivotArea>
    </format>
    <format dxfId="179">
      <pivotArea dataOnly="0" labelOnly="1" outline="0" fieldPosition="0">
        <references count="1">
          <reference field="7" count="1">
            <x v="9"/>
          </reference>
        </references>
      </pivotArea>
    </format>
    <format dxfId="178">
      <pivotArea dataOnly="0" labelOnly="1" outline="0" fieldPosition="0">
        <references count="2">
          <reference field="7" count="1" selected="0">
            <x v="9"/>
          </reference>
          <reference field="11" count="1">
            <x v="1"/>
          </reference>
        </references>
      </pivotArea>
    </format>
    <format dxfId="177">
      <pivotArea dataOnly="0" outline="0" fieldPosition="0">
        <references count="1">
          <reference field="7" count="1">
            <x v="10"/>
          </reference>
        </references>
      </pivotArea>
    </format>
    <format dxfId="176">
      <pivotArea dataOnly="0" outline="0" fieldPosition="0">
        <references count="1">
          <reference field="7" count="1">
            <x v="10"/>
          </reference>
        </references>
      </pivotArea>
    </format>
    <format dxfId="175">
      <pivotArea dataOnly="0" outline="0" fieldPosition="0">
        <references count="1">
          <reference field="7" count="1">
            <x v="11"/>
          </reference>
        </references>
      </pivotArea>
    </format>
    <format dxfId="174">
      <pivotArea dataOnly="0" outline="0" fieldPosition="0">
        <references count="1">
          <reference field="7" count="1">
            <x v="11"/>
          </reference>
        </references>
      </pivotArea>
    </format>
    <format dxfId="173">
      <pivotArea outline="0" fieldPosition="0">
        <references count="2">
          <reference field="7" count="8" selected="0">
            <x v="12"/>
            <x v="13"/>
            <x v="14"/>
            <x v="15"/>
            <x v="16"/>
            <x v="17"/>
            <x v="18"/>
            <x v="19"/>
          </reference>
          <reference field="11" count="1" selected="0">
            <x v="1"/>
          </reference>
        </references>
      </pivotArea>
    </format>
    <format dxfId="172">
      <pivotArea dataOnly="0" labelOnly="1" outline="0" fieldPosition="0">
        <references count="1">
          <reference field="7" count="8">
            <x v="12"/>
            <x v="13"/>
            <x v="14"/>
            <x v="15"/>
            <x v="16"/>
            <x v="17"/>
            <x v="18"/>
            <x v="19"/>
          </reference>
        </references>
      </pivotArea>
    </format>
    <format dxfId="171">
      <pivotArea dataOnly="0" labelOnly="1" outline="0" fieldPosition="0">
        <references count="2">
          <reference field="7" count="1" selected="0">
            <x v="12"/>
          </reference>
          <reference field="11" count="1">
            <x v="1"/>
          </reference>
        </references>
      </pivotArea>
    </format>
    <format dxfId="170">
      <pivotArea dataOnly="0" labelOnly="1" outline="0" fieldPosition="0">
        <references count="2">
          <reference field="7" count="1" selected="0">
            <x v="13"/>
          </reference>
          <reference field="11" count="1">
            <x v="1"/>
          </reference>
        </references>
      </pivotArea>
    </format>
    <format dxfId="169">
      <pivotArea dataOnly="0" labelOnly="1" outline="0" fieldPosition="0">
        <references count="2">
          <reference field="7" count="1" selected="0">
            <x v="14"/>
          </reference>
          <reference field="11" count="1">
            <x v="1"/>
          </reference>
        </references>
      </pivotArea>
    </format>
    <format dxfId="168">
      <pivotArea dataOnly="0" labelOnly="1" outline="0" fieldPosition="0">
        <references count="2">
          <reference field="7" count="1" selected="0">
            <x v="15"/>
          </reference>
          <reference field="11" count="1">
            <x v="1"/>
          </reference>
        </references>
      </pivotArea>
    </format>
    <format dxfId="167">
      <pivotArea dataOnly="0" labelOnly="1" outline="0" fieldPosition="0">
        <references count="2">
          <reference field="7" count="1" selected="0">
            <x v="16"/>
          </reference>
          <reference field="11" count="1">
            <x v="1"/>
          </reference>
        </references>
      </pivotArea>
    </format>
    <format dxfId="166">
      <pivotArea dataOnly="0" labelOnly="1" outline="0" fieldPosition="0">
        <references count="2">
          <reference field="7" count="1" selected="0">
            <x v="17"/>
          </reference>
          <reference field="11" count="1">
            <x v="1"/>
          </reference>
        </references>
      </pivotArea>
    </format>
    <format dxfId="165">
      <pivotArea dataOnly="0" labelOnly="1" outline="0" fieldPosition="0">
        <references count="2">
          <reference field="7" count="1" selected="0">
            <x v="18"/>
          </reference>
          <reference field="11" count="1">
            <x v="1"/>
          </reference>
        </references>
      </pivotArea>
    </format>
    <format dxfId="164">
      <pivotArea dataOnly="0" labelOnly="1" outline="0" fieldPosition="0">
        <references count="2">
          <reference field="7" count="1" selected="0">
            <x v="19"/>
          </reference>
          <reference field="11" count="1">
            <x v="1"/>
          </reference>
        </references>
      </pivotArea>
    </format>
    <format dxfId="163">
      <pivotArea outline="0" fieldPosition="0">
        <references count="2">
          <reference field="7" count="8" selected="0">
            <x v="12"/>
            <x v="13"/>
            <x v="14"/>
            <x v="15"/>
            <x v="16"/>
            <x v="17"/>
            <x v="18"/>
            <x v="19"/>
          </reference>
          <reference field="11" count="1" selected="0">
            <x v="1"/>
          </reference>
        </references>
      </pivotArea>
    </format>
    <format dxfId="162">
      <pivotArea dataOnly="0" labelOnly="1" outline="0" fieldPosition="0">
        <references count="1">
          <reference field="7" count="8">
            <x v="12"/>
            <x v="13"/>
            <x v="14"/>
            <x v="15"/>
            <x v="16"/>
            <x v="17"/>
            <x v="18"/>
            <x v="19"/>
          </reference>
        </references>
      </pivotArea>
    </format>
    <format dxfId="161">
      <pivotArea dataOnly="0" labelOnly="1" outline="0" fieldPosition="0">
        <references count="2">
          <reference field="7" count="1" selected="0">
            <x v="12"/>
          </reference>
          <reference field="11" count="1">
            <x v="1"/>
          </reference>
        </references>
      </pivotArea>
    </format>
    <format dxfId="160">
      <pivotArea dataOnly="0" labelOnly="1" outline="0" fieldPosition="0">
        <references count="2">
          <reference field="7" count="1" selected="0">
            <x v="13"/>
          </reference>
          <reference field="11" count="1">
            <x v="1"/>
          </reference>
        </references>
      </pivotArea>
    </format>
    <format dxfId="159">
      <pivotArea dataOnly="0" labelOnly="1" outline="0" fieldPosition="0">
        <references count="2">
          <reference field="7" count="1" selected="0">
            <x v="14"/>
          </reference>
          <reference field="11" count="1">
            <x v="1"/>
          </reference>
        </references>
      </pivotArea>
    </format>
    <format dxfId="158">
      <pivotArea dataOnly="0" labelOnly="1" outline="0" fieldPosition="0">
        <references count="2">
          <reference field="7" count="1" selected="0">
            <x v="15"/>
          </reference>
          <reference field="11" count="1">
            <x v="1"/>
          </reference>
        </references>
      </pivotArea>
    </format>
    <format dxfId="157">
      <pivotArea dataOnly="0" labelOnly="1" outline="0" fieldPosition="0">
        <references count="2">
          <reference field="7" count="1" selected="0">
            <x v="16"/>
          </reference>
          <reference field="11" count="1">
            <x v="1"/>
          </reference>
        </references>
      </pivotArea>
    </format>
    <format dxfId="156">
      <pivotArea dataOnly="0" labelOnly="1" outline="0" fieldPosition="0">
        <references count="2">
          <reference field="7" count="1" selected="0">
            <x v="17"/>
          </reference>
          <reference field="11" count="1">
            <x v="1"/>
          </reference>
        </references>
      </pivotArea>
    </format>
    <format dxfId="155">
      <pivotArea dataOnly="0" labelOnly="1" outline="0" fieldPosition="0">
        <references count="2">
          <reference field="7" count="1" selected="0">
            <x v="18"/>
          </reference>
          <reference field="11" count="1">
            <x v="1"/>
          </reference>
        </references>
      </pivotArea>
    </format>
    <format dxfId="154">
      <pivotArea dataOnly="0" labelOnly="1" outline="0" fieldPosition="0">
        <references count="2">
          <reference field="7" count="1" selected="0">
            <x v="19"/>
          </reference>
          <reference field="11" count="1">
            <x v="1"/>
          </reference>
        </references>
      </pivotArea>
    </format>
    <format dxfId="153">
      <pivotArea outline="0" fieldPosition="0">
        <references count="2">
          <reference field="7" count="1" selected="0">
            <x v="21"/>
          </reference>
          <reference field="11" count="1" selected="0">
            <x v="1"/>
          </reference>
        </references>
      </pivotArea>
    </format>
    <format dxfId="152">
      <pivotArea dataOnly="0" labelOnly="1" outline="0" fieldPosition="0">
        <references count="1">
          <reference field="7" count="1">
            <x v="21"/>
          </reference>
        </references>
      </pivotArea>
    </format>
    <format dxfId="151">
      <pivotArea dataOnly="0" labelOnly="1" outline="0" fieldPosition="0">
        <references count="2">
          <reference field="7" count="1" selected="0">
            <x v="21"/>
          </reference>
          <reference field="11" count="1">
            <x v="1"/>
          </reference>
        </references>
      </pivotArea>
    </format>
    <format dxfId="150">
      <pivotArea outline="0" fieldPosition="0">
        <references count="2">
          <reference field="7" count="1" selected="0">
            <x v="21"/>
          </reference>
          <reference field="11" count="1" selected="0">
            <x v="1"/>
          </reference>
        </references>
      </pivotArea>
    </format>
    <format dxfId="149">
      <pivotArea dataOnly="0" labelOnly="1" outline="0" fieldPosition="0">
        <references count="1">
          <reference field="7" count="1">
            <x v="21"/>
          </reference>
        </references>
      </pivotArea>
    </format>
    <format dxfId="148">
      <pivotArea dataOnly="0" labelOnly="1" outline="0" fieldPosition="0">
        <references count="2">
          <reference field="7" count="1" selected="0">
            <x v="21"/>
          </reference>
          <reference field="11" count="1">
            <x v="1"/>
          </reference>
        </references>
      </pivotArea>
    </format>
    <format dxfId="147">
      <pivotArea outline="0" fieldPosition="0">
        <references count="2">
          <reference field="7" count="7" selected="0">
            <x v="26"/>
            <x v="27"/>
            <x v="28"/>
            <x v="29"/>
            <x v="30"/>
            <x v="31"/>
            <x v="32"/>
          </reference>
          <reference field="11" count="1" selected="0">
            <x v="1"/>
          </reference>
        </references>
      </pivotArea>
    </format>
    <format dxfId="146">
      <pivotArea dataOnly="0" labelOnly="1" outline="0" fieldPosition="0">
        <references count="1">
          <reference field="7" count="7">
            <x v="26"/>
            <x v="27"/>
            <x v="28"/>
            <x v="29"/>
            <x v="30"/>
            <x v="31"/>
            <x v="32"/>
          </reference>
        </references>
      </pivotArea>
    </format>
    <format dxfId="145">
      <pivotArea dataOnly="0" labelOnly="1" outline="0" fieldPosition="0">
        <references count="2">
          <reference field="7" count="1" selected="0">
            <x v="26"/>
          </reference>
          <reference field="11" count="1">
            <x v="1"/>
          </reference>
        </references>
      </pivotArea>
    </format>
    <format dxfId="144">
      <pivotArea dataOnly="0" labelOnly="1" outline="0" fieldPosition="0">
        <references count="2">
          <reference field="7" count="1" selected="0">
            <x v="27"/>
          </reference>
          <reference field="11" count="1">
            <x v="1"/>
          </reference>
        </references>
      </pivotArea>
    </format>
    <format dxfId="143">
      <pivotArea dataOnly="0" labelOnly="1" outline="0" fieldPosition="0">
        <references count="2">
          <reference field="7" count="1" selected="0">
            <x v="28"/>
          </reference>
          <reference field="11" count="1">
            <x v="1"/>
          </reference>
        </references>
      </pivotArea>
    </format>
    <format dxfId="142">
      <pivotArea dataOnly="0" labelOnly="1" outline="0" fieldPosition="0">
        <references count="2">
          <reference field="7" count="1" selected="0">
            <x v="29"/>
          </reference>
          <reference field="11" count="1">
            <x v="1"/>
          </reference>
        </references>
      </pivotArea>
    </format>
    <format dxfId="141">
      <pivotArea dataOnly="0" labelOnly="1" outline="0" fieldPosition="0">
        <references count="2">
          <reference field="7" count="1" selected="0">
            <x v="30"/>
          </reference>
          <reference field="11" count="1">
            <x v="1"/>
          </reference>
        </references>
      </pivotArea>
    </format>
    <format dxfId="140">
      <pivotArea dataOnly="0" labelOnly="1" outline="0" fieldPosition="0">
        <references count="2">
          <reference field="7" count="1" selected="0">
            <x v="31"/>
          </reference>
          <reference field="11" count="1">
            <x v="1"/>
          </reference>
        </references>
      </pivotArea>
    </format>
    <format dxfId="139">
      <pivotArea dataOnly="0" labelOnly="1" outline="0" fieldPosition="0">
        <references count="2">
          <reference field="7" count="1" selected="0">
            <x v="32"/>
          </reference>
          <reference field="11" count="1">
            <x v="1"/>
          </reference>
        </references>
      </pivotArea>
    </format>
    <format dxfId="138">
      <pivotArea outline="0" fieldPosition="0">
        <references count="2">
          <reference field="7" count="7" selected="0">
            <x v="26"/>
            <x v="27"/>
            <x v="28"/>
            <x v="29"/>
            <x v="30"/>
            <x v="31"/>
            <x v="32"/>
          </reference>
          <reference field="11" count="1" selected="0">
            <x v="1"/>
          </reference>
        </references>
      </pivotArea>
    </format>
    <format dxfId="137">
      <pivotArea dataOnly="0" labelOnly="1" outline="0" fieldPosition="0">
        <references count="1">
          <reference field="7" count="7">
            <x v="26"/>
            <x v="27"/>
            <x v="28"/>
            <x v="29"/>
            <x v="30"/>
            <x v="31"/>
            <x v="32"/>
          </reference>
        </references>
      </pivotArea>
    </format>
    <format dxfId="136">
      <pivotArea dataOnly="0" labelOnly="1" outline="0" fieldPosition="0">
        <references count="2">
          <reference field="7" count="1" selected="0">
            <x v="26"/>
          </reference>
          <reference field="11" count="1">
            <x v="1"/>
          </reference>
        </references>
      </pivotArea>
    </format>
    <format dxfId="135">
      <pivotArea dataOnly="0" labelOnly="1" outline="0" fieldPosition="0">
        <references count="2">
          <reference field="7" count="1" selected="0">
            <x v="27"/>
          </reference>
          <reference field="11" count="1">
            <x v="1"/>
          </reference>
        </references>
      </pivotArea>
    </format>
    <format dxfId="134">
      <pivotArea dataOnly="0" labelOnly="1" outline="0" fieldPosition="0">
        <references count="2">
          <reference field="7" count="1" selected="0">
            <x v="28"/>
          </reference>
          <reference field="11" count="1">
            <x v="1"/>
          </reference>
        </references>
      </pivotArea>
    </format>
    <format dxfId="133">
      <pivotArea dataOnly="0" labelOnly="1" outline="0" fieldPosition="0">
        <references count="2">
          <reference field="7" count="1" selected="0">
            <x v="29"/>
          </reference>
          <reference field="11" count="1">
            <x v="1"/>
          </reference>
        </references>
      </pivotArea>
    </format>
    <format dxfId="132">
      <pivotArea dataOnly="0" labelOnly="1" outline="0" fieldPosition="0">
        <references count="2">
          <reference field="7" count="1" selected="0">
            <x v="30"/>
          </reference>
          <reference field="11" count="1">
            <x v="1"/>
          </reference>
        </references>
      </pivotArea>
    </format>
    <format dxfId="131">
      <pivotArea dataOnly="0" labelOnly="1" outline="0" fieldPosition="0">
        <references count="2">
          <reference field="7" count="1" selected="0">
            <x v="31"/>
          </reference>
          <reference field="11" count="1">
            <x v="1"/>
          </reference>
        </references>
      </pivotArea>
    </format>
    <format dxfId="130">
      <pivotArea dataOnly="0" labelOnly="1" outline="0" fieldPosition="0">
        <references count="2">
          <reference field="7" count="1" selected="0">
            <x v="32"/>
          </reference>
          <reference field="11" count="1">
            <x v="1"/>
          </reference>
        </references>
      </pivotArea>
    </format>
    <format dxfId="129">
      <pivotArea dataOnly="0" labelOnly="1" outline="0" fieldPosition="0">
        <references count="1">
          <reference field="4294967294" count="2">
            <x v="2"/>
            <x v="3"/>
          </reference>
        </references>
      </pivotArea>
    </format>
    <format dxfId="128">
      <pivotArea dataOnly="0" outline="0" fieldPosition="0">
        <references count="2">
          <reference field="7" count="1">
            <x v="34"/>
          </reference>
          <reference field="11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127">
      <pivotArea dataOnly="0" outline="0" fieldPosition="0">
        <references count="2">
          <reference field="7" count="1">
            <x v="34"/>
          </reference>
          <reference field="11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126">
      <pivotArea dataOnly="0" outline="0" fieldPosition="0">
        <references count="1">
          <reference field="7" count="1">
            <x v="37"/>
          </reference>
        </references>
      </pivotArea>
    </format>
    <format dxfId="125">
      <pivotArea dataOnly="0" outline="0" fieldPosition="0">
        <references count="1">
          <reference field="7" count="1">
            <x v="37"/>
          </reference>
        </references>
      </pivotArea>
    </format>
    <format dxfId="124">
      <pivotArea dataOnly="0" outline="0" fieldPosition="0">
        <references count="1">
          <reference field="7" count="1">
            <x v="41"/>
          </reference>
        </references>
      </pivotArea>
    </format>
    <format dxfId="123">
      <pivotArea dataOnly="0" outline="0" fieldPosition="0">
        <references count="1">
          <reference field="7" count="1">
            <x v="41"/>
          </reference>
        </references>
      </pivotArea>
    </format>
    <format dxfId="122">
      <pivotArea dataOnly="0" outline="0" fieldPosition="0">
        <references count="1">
          <reference field="7" count="1">
            <x v="50"/>
          </reference>
        </references>
      </pivotArea>
    </format>
    <format dxfId="121">
      <pivotArea dataOnly="0" outline="0" fieldPosition="0">
        <references count="1">
          <reference field="7" count="1">
            <x v="50"/>
          </reference>
        </references>
      </pivotArea>
    </format>
    <format dxfId="120">
      <pivotArea outline="0" fieldPosition="0">
        <references count="3">
          <reference field="4294967294" count="1" selected="0">
            <x v="0"/>
          </reference>
          <reference field="7" count="1" selected="0">
            <x v="50"/>
          </reference>
          <reference field="11" count="1" selected="0">
            <x v="1"/>
          </reference>
        </references>
      </pivotArea>
    </format>
    <format dxfId="119">
      <pivotArea outline="0" fieldPosition="0">
        <references count="3">
          <reference field="4294967294" count="1" selected="0">
            <x v="0"/>
          </reference>
          <reference field="7" count="1" selected="0">
            <x v="41"/>
          </reference>
          <reference field="11" count="1" selected="0">
            <x v="1"/>
          </reference>
        </references>
      </pivotArea>
    </format>
    <format dxfId="118">
      <pivotArea outline="0" fieldPosition="0">
        <references count="3">
          <reference field="4294967294" count="1" selected="0">
            <x v="0"/>
          </reference>
          <reference field="7" count="1" selected="0">
            <x v="37"/>
          </reference>
          <reference field="11" count="1" selected="0">
            <x v="1"/>
          </reference>
        </references>
      </pivotArea>
    </format>
    <format dxfId="117">
      <pivotArea outline="0" fieldPosition="0">
        <references count="3">
          <reference field="4294967294" count="1" selected="0">
            <x v="0"/>
          </reference>
          <reference field="7" count="1" selected="0">
            <x v="34"/>
          </reference>
          <reference field="11" count="1" selected="0">
            <x v="1"/>
          </reference>
        </references>
      </pivotArea>
    </format>
    <format dxfId="116">
      <pivotArea outline="0" fieldPosition="0">
        <references count="3">
          <reference field="4294967294" count="1" selected="0">
            <x v="0"/>
          </reference>
          <reference field="7" count="1" selected="0">
            <x v="32"/>
          </reference>
          <reference field="11" count="1" selected="0">
            <x v="1"/>
          </reference>
        </references>
      </pivotArea>
    </format>
    <format dxfId="115">
      <pivotArea outline="0" fieldPosition="0">
        <references count="3">
          <reference field="4294967294" count="1" selected="0">
            <x v="0"/>
          </reference>
          <reference field="7" count="6" selected="0">
            <x v="26"/>
            <x v="27"/>
            <x v="28"/>
            <x v="29"/>
            <x v="30"/>
            <x v="31"/>
          </reference>
          <reference field="11" count="1" selected="0">
            <x v="1"/>
          </reference>
        </references>
      </pivotArea>
    </format>
    <format dxfId="114">
      <pivotArea outline="0" fieldPosition="0">
        <references count="3">
          <reference field="4294967294" count="1" selected="0">
            <x v="0"/>
          </reference>
          <reference field="7" count="1" selected="0">
            <x v="21"/>
          </reference>
          <reference field="11" count="1" selected="0">
            <x v="1"/>
          </reference>
        </references>
      </pivotArea>
    </format>
    <format dxfId="113">
      <pivotArea outline="0" fieldPosition="0">
        <references count="3">
          <reference field="4294967294" count="1" selected="0">
            <x v="0"/>
          </reference>
          <reference field="7" count="11" selected="0">
            <x v="9"/>
            <x v="10"/>
            <x v="11"/>
            <x v="12"/>
            <x v="13"/>
            <x v="14"/>
            <x v="15"/>
            <x v="16"/>
            <x v="17"/>
            <x v="18"/>
            <x v="19"/>
          </reference>
          <reference field="11" count="1" selected="0">
            <x v="1"/>
          </reference>
        </references>
      </pivotArea>
    </format>
    <format dxfId="112">
      <pivotArea outline="0" fieldPosition="0">
        <references count="3">
          <reference field="4294967294" count="1" selected="0">
            <x v="0"/>
          </reference>
          <reference field="7" count="1" selected="0">
            <x v="6"/>
          </reference>
          <reference field="11" count="1" selected="0">
            <x v="1"/>
          </reference>
        </references>
      </pivotArea>
    </format>
    <format dxfId="111">
      <pivotArea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11" count="1" selected="0">
            <x v="1"/>
          </reference>
        </references>
      </pivotArea>
    </format>
    <format dxfId="110">
      <pivotArea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1" count="1" selected="0">
            <x v="1"/>
          </reference>
        </references>
      </pivotArea>
    </format>
    <format dxfId="109">
      <pivotArea outline="0" fieldPosition="0">
        <references count="3">
          <reference field="4294967294" count="1" selected="0">
            <x v="0"/>
          </reference>
          <reference field="7" count="1" selected="0">
            <x v="3"/>
          </reference>
          <reference field="11" count="1" selected="0">
            <x v="1"/>
          </reference>
        </references>
      </pivotArea>
    </format>
    <format dxfId="108">
      <pivotArea field="11" type="button" dataOnly="0" labelOnly="1" outline="0" axis="axisRow" fieldPosition="1"/>
    </format>
    <format dxfId="107">
      <pivotArea dataOnly="0" labelOnly="1" grandRow="1" outline="0" fieldPosition="0"/>
    </format>
    <format dxfId="106">
      <pivotArea dataOnly="0" labelOnly="1" outline="0" fieldPosition="0">
        <references count="2">
          <reference field="7" count="1" selected="0">
            <x v="0"/>
          </reference>
          <reference field="11" count="1">
            <x v="0"/>
          </reference>
        </references>
      </pivotArea>
    </format>
    <format dxfId="105">
      <pivotArea dataOnly="0" labelOnly="1" outline="0" fieldPosition="0">
        <references count="2">
          <reference field="7" count="1" selected="0">
            <x v="1"/>
          </reference>
          <reference field="11" count="1">
            <x v="1"/>
          </reference>
        </references>
      </pivotArea>
    </format>
    <format dxfId="104">
      <pivotArea dataOnly="0" labelOnly="1" outline="0" fieldPosition="0">
        <references count="2">
          <reference field="7" count="1" selected="0">
            <x v="2"/>
          </reference>
          <reference field="11" count="1">
            <x v="1"/>
          </reference>
        </references>
      </pivotArea>
    </format>
    <format dxfId="103">
      <pivotArea dataOnly="0" labelOnly="1" outline="0" fieldPosition="0">
        <references count="2">
          <reference field="7" count="1" selected="0">
            <x v="3"/>
          </reference>
          <reference field="11" count="1">
            <x v="1"/>
          </reference>
        </references>
      </pivotArea>
    </format>
    <format dxfId="102">
      <pivotArea dataOnly="0" labelOnly="1" outline="0" fieldPosition="0">
        <references count="2">
          <reference field="7" count="1" selected="0">
            <x v="4"/>
          </reference>
          <reference field="11" count="1">
            <x v="1"/>
          </reference>
        </references>
      </pivotArea>
    </format>
    <format dxfId="101">
      <pivotArea dataOnly="0" labelOnly="1" outline="0" fieldPosition="0">
        <references count="2">
          <reference field="7" count="1" selected="0">
            <x v="5"/>
          </reference>
          <reference field="11" count="1">
            <x v="1"/>
          </reference>
        </references>
      </pivotArea>
    </format>
    <format dxfId="100">
      <pivotArea dataOnly="0" labelOnly="1" outline="0" fieldPosition="0">
        <references count="2">
          <reference field="7" count="1" selected="0">
            <x v="6"/>
          </reference>
          <reference field="11" count="1">
            <x v="1"/>
          </reference>
        </references>
      </pivotArea>
    </format>
    <format dxfId="99">
      <pivotArea dataOnly="0" labelOnly="1" outline="0" fieldPosition="0">
        <references count="2">
          <reference field="7" count="1" selected="0">
            <x v="7"/>
          </reference>
          <reference field="11" count="1">
            <x v="1"/>
          </reference>
        </references>
      </pivotArea>
    </format>
    <format dxfId="98">
      <pivotArea dataOnly="0" labelOnly="1" outline="0" fieldPosition="0">
        <references count="2">
          <reference field="7" count="1" selected="0">
            <x v="8"/>
          </reference>
          <reference field="11" count="1">
            <x v="1"/>
          </reference>
        </references>
      </pivotArea>
    </format>
    <format dxfId="97">
      <pivotArea dataOnly="0" labelOnly="1" outline="0" fieldPosition="0">
        <references count="2">
          <reference field="7" count="1" selected="0">
            <x v="9"/>
          </reference>
          <reference field="11" count="1">
            <x v="1"/>
          </reference>
        </references>
      </pivotArea>
    </format>
    <format dxfId="96">
      <pivotArea dataOnly="0" labelOnly="1" outline="0" fieldPosition="0">
        <references count="2">
          <reference field="7" count="1" selected="0">
            <x v="10"/>
          </reference>
          <reference field="11" count="1">
            <x v="1"/>
          </reference>
        </references>
      </pivotArea>
    </format>
    <format dxfId="95">
      <pivotArea dataOnly="0" labelOnly="1" outline="0" fieldPosition="0">
        <references count="2">
          <reference field="7" count="1" selected="0">
            <x v="11"/>
          </reference>
          <reference field="11" count="1">
            <x v="1"/>
          </reference>
        </references>
      </pivotArea>
    </format>
    <format dxfId="94">
      <pivotArea dataOnly="0" labelOnly="1" outline="0" fieldPosition="0">
        <references count="2">
          <reference field="7" count="1" selected="0">
            <x v="12"/>
          </reference>
          <reference field="11" count="1">
            <x v="1"/>
          </reference>
        </references>
      </pivotArea>
    </format>
    <format dxfId="93">
      <pivotArea dataOnly="0" labelOnly="1" outline="0" fieldPosition="0">
        <references count="2">
          <reference field="7" count="1" selected="0">
            <x v="13"/>
          </reference>
          <reference field="11" count="1">
            <x v="1"/>
          </reference>
        </references>
      </pivotArea>
    </format>
    <format dxfId="92">
      <pivotArea dataOnly="0" labelOnly="1" outline="0" fieldPosition="0">
        <references count="2">
          <reference field="7" count="1" selected="0">
            <x v="14"/>
          </reference>
          <reference field="11" count="1">
            <x v="1"/>
          </reference>
        </references>
      </pivotArea>
    </format>
    <format dxfId="91">
      <pivotArea dataOnly="0" labelOnly="1" outline="0" fieldPosition="0">
        <references count="2">
          <reference field="7" count="1" selected="0">
            <x v="15"/>
          </reference>
          <reference field="11" count="1">
            <x v="1"/>
          </reference>
        </references>
      </pivotArea>
    </format>
    <format dxfId="90">
      <pivotArea dataOnly="0" labelOnly="1" outline="0" fieldPosition="0">
        <references count="2">
          <reference field="7" count="1" selected="0">
            <x v="16"/>
          </reference>
          <reference field="11" count="1">
            <x v="1"/>
          </reference>
        </references>
      </pivotArea>
    </format>
    <format dxfId="89">
      <pivotArea dataOnly="0" labelOnly="1" outline="0" fieldPosition="0">
        <references count="2">
          <reference field="7" count="1" selected="0">
            <x v="17"/>
          </reference>
          <reference field="11" count="1">
            <x v="1"/>
          </reference>
        </references>
      </pivotArea>
    </format>
    <format dxfId="88">
      <pivotArea dataOnly="0" labelOnly="1" outline="0" fieldPosition="0">
        <references count="2">
          <reference field="7" count="1" selected="0">
            <x v="18"/>
          </reference>
          <reference field="11" count="1">
            <x v="1"/>
          </reference>
        </references>
      </pivotArea>
    </format>
    <format dxfId="87">
      <pivotArea dataOnly="0" labelOnly="1" outline="0" fieldPosition="0">
        <references count="2">
          <reference field="7" count="1" selected="0">
            <x v="19"/>
          </reference>
          <reference field="11" count="1">
            <x v="1"/>
          </reference>
        </references>
      </pivotArea>
    </format>
    <format dxfId="86">
      <pivotArea dataOnly="0" labelOnly="1" outline="0" fieldPosition="0">
        <references count="2">
          <reference field="7" count="1" selected="0">
            <x v="20"/>
          </reference>
          <reference field="11" count="1">
            <x v="1"/>
          </reference>
        </references>
      </pivotArea>
    </format>
    <format dxfId="85">
      <pivotArea dataOnly="0" labelOnly="1" outline="0" fieldPosition="0">
        <references count="2">
          <reference field="7" count="1" selected="0">
            <x v="21"/>
          </reference>
          <reference field="11" count="1">
            <x v="1"/>
          </reference>
        </references>
      </pivotArea>
    </format>
    <format dxfId="84">
      <pivotArea dataOnly="0" labelOnly="1" outline="0" fieldPosition="0">
        <references count="2">
          <reference field="7" count="1" selected="0">
            <x v="22"/>
          </reference>
          <reference field="11" count="1">
            <x v="1"/>
          </reference>
        </references>
      </pivotArea>
    </format>
    <format dxfId="83">
      <pivotArea dataOnly="0" labelOnly="1" outline="0" fieldPosition="0">
        <references count="2">
          <reference field="7" count="1" selected="0">
            <x v="23"/>
          </reference>
          <reference field="11" count="1">
            <x v="1"/>
          </reference>
        </references>
      </pivotArea>
    </format>
    <format dxfId="82">
      <pivotArea dataOnly="0" labelOnly="1" outline="0" fieldPosition="0">
        <references count="2">
          <reference field="7" count="1" selected="0">
            <x v="24"/>
          </reference>
          <reference field="11" count="1">
            <x v="1"/>
          </reference>
        </references>
      </pivotArea>
    </format>
    <format dxfId="81">
      <pivotArea dataOnly="0" labelOnly="1" outline="0" fieldPosition="0">
        <references count="2">
          <reference field="7" count="1" selected="0">
            <x v="25"/>
          </reference>
          <reference field="11" count="1">
            <x v="1"/>
          </reference>
        </references>
      </pivotArea>
    </format>
    <format dxfId="80">
      <pivotArea dataOnly="0" labelOnly="1" outline="0" fieldPosition="0">
        <references count="2">
          <reference field="7" count="1" selected="0">
            <x v="26"/>
          </reference>
          <reference field="11" count="1">
            <x v="1"/>
          </reference>
        </references>
      </pivotArea>
    </format>
    <format dxfId="79">
      <pivotArea dataOnly="0" labelOnly="1" outline="0" fieldPosition="0">
        <references count="2">
          <reference field="7" count="1" selected="0">
            <x v="27"/>
          </reference>
          <reference field="11" count="1">
            <x v="1"/>
          </reference>
        </references>
      </pivotArea>
    </format>
    <format dxfId="78">
      <pivotArea dataOnly="0" labelOnly="1" outline="0" fieldPosition="0">
        <references count="2">
          <reference field="7" count="1" selected="0">
            <x v="28"/>
          </reference>
          <reference field="11" count="1">
            <x v="1"/>
          </reference>
        </references>
      </pivotArea>
    </format>
    <format dxfId="77">
      <pivotArea dataOnly="0" labelOnly="1" outline="0" fieldPosition="0">
        <references count="2">
          <reference field="7" count="1" selected="0">
            <x v="29"/>
          </reference>
          <reference field="11" count="1">
            <x v="1"/>
          </reference>
        </references>
      </pivotArea>
    </format>
    <format dxfId="76">
      <pivotArea dataOnly="0" labelOnly="1" outline="0" fieldPosition="0">
        <references count="2">
          <reference field="7" count="1" selected="0">
            <x v="30"/>
          </reference>
          <reference field="11" count="1">
            <x v="1"/>
          </reference>
        </references>
      </pivotArea>
    </format>
    <format dxfId="75">
      <pivotArea dataOnly="0" labelOnly="1" outline="0" fieldPosition="0">
        <references count="2">
          <reference field="7" count="1" selected="0">
            <x v="31"/>
          </reference>
          <reference field="11" count="1">
            <x v="1"/>
          </reference>
        </references>
      </pivotArea>
    </format>
    <format dxfId="74">
      <pivotArea dataOnly="0" labelOnly="1" outline="0" fieldPosition="0">
        <references count="2">
          <reference field="7" count="1" selected="0">
            <x v="32"/>
          </reference>
          <reference field="11" count="1">
            <x v="1"/>
          </reference>
        </references>
      </pivotArea>
    </format>
    <format dxfId="73">
      <pivotArea dataOnly="0" labelOnly="1" outline="0" fieldPosition="0">
        <references count="2">
          <reference field="7" count="1" selected="0">
            <x v="33"/>
          </reference>
          <reference field="11" count="1">
            <x v="1"/>
          </reference>
        </references>
      </pivotArea>
    </format>
    <format dxfId="72">
      <pivotArea dataOnly="0" labelOnly="1" outline="0" fieldPosition="0">
        <references count="2">
          <reference field="7" count="1" selected="0">
            <x v="34"/>
          </reference>
          <reference field="11" count="1">
            <x v="1"/>
          </reference>
        </references>
      </pivotArea>
    </format>
    <format dxfId="71">
      <pivotArea dataOnly="0" labelOnly="1" outline="0" fieldPosition="0">
        <references count="2">
          <reference field="7" count="1" selected="0">
            <x v="35"/>
          </reference>
          <reference field="11" count="1">
            <x v="1"/>
          </reference>
        </references>
      </pivotArea>
    </format>
    <format dxfId="70">
      <pivotArea dataOnly="0" labelOnly="1" outline="0" fieldPosition="0">
        <references count="2">
          <reference field="7" count="1" selected="0">
            <x v="37"/>
          </reference>
          <reference field="11" count="1">
            <x v="1"/>
          </reference>
        </references>
      </pivotArea>
    </format>
    <format dxfId="69">
      <pivotArea dataOnly="0" labelOnly="1" outline="0" fieldPosition="0">
        <references count="2">
          <reference field="7" count="1" selected="0">
            <x v="38"/>
          </reference>
          <reference field="11" count="1">
            <x v="1"/>
          </reference>
        </references>
      </pivotArea>
    </format>
    <format dxfId="68">
      <pivotArea dataOnly="0" labelOnly="1" outline="0" fieldPosition="0">
        <references count="2">
          <reference field="7" count="1" selected="0">
            <x v="39"/>
          </reference>
          <reference field="11" count="1">
            <x v="1"/>
          </reference>
        </references>
      </pivotArea>
    </format>
    <format dxfId="67">
      <pivotArea dataOnly="0" labelOnly="1" outline="0" fieldPosition="0">
        <references count="2">
          <reference field="7" count="1" selected="0">
            <x v="40"/>
          </reference>
          <reference field="11" count="1">
            <x v="1"/>
          </reference>
        </references>
      </pivotArea>
    </format>
    <format dxfId="66">
      <pivotArea dataOnly="0" labelOnly="1" outline="0" fieldPosition="0">
        <references count="2">
          <reference field="7" count="1" selected="0">
            <x v="41"/>
          </reference>
          <reference field="11" count="1">
            <x v="1"/>
          </reference>
        </references>
      </pivotArea>
    </format>
    <format dxfId="65">
      <pivotArea dataOnly="0" labelOnly="1" outline="0" fieldPosition="0">
        <references count="2">
          <reference field="7" count="1" selected="0">
            <x v="42"/>
          </reference>
          <reference field="11" count="1">
            <x v="1"/>
          </reference>
        </references>
      </pivotArea>
    </format>
    <format dxfId="64">
      <pivotArea dataOnly="0" labelOnly="1" outline="0" fieldPosition="0">
        <references count="2">
          <reference field="7" count="1" selected="0">
            <x v="43"/>
          </reference>
          <reference field="11" count="1">
            <x v="1"/>
          </reference>
        </references>
      </pivotArea>
    </format>
    <format dxfId="63">
      <pivotArea dataOnly="0" labelOnly="1" outline="0" fieldPosition="0">
        <references count="2">
          <reference field="7" count="1" selected="0">
            <x v="44"/>
          </reference>
          <reference field="11" count="1">
            <x v="1"/>
          </reference>
        </references>
      </pivotArea>
    </format>
    <format dxfId="62">
      <pivotArea dataOnly="0" labelOnly="1" outline="0" fieldPosition="0">
        <references count="2">
          <reference field="7" count="1" selected="0">
            <x v="45"/>
          </reference>
          <reference field="11" count="1">
            <x v="1"/>
          </reference>
        </references>
      </pivotArea>
    </format>
    <format dxfId="61">
      <pivotArea dataOnly="0" labelOnly="1" outline="0" fieldPosition="0">
        <references count="2">
          <reference field="7" count="1" selected="0">
            <x v="46"/>
          </reference>
          <reference field="11" count="1">
            <x v="1"/>
          </reference>
        </references>
      </pivotArea>
    </format>
    <format dxfId="60">
      <pivotArea dataOnly="0" labelOnly="1" outline="0" fieldPosition="0">
        <references count="2">
          <reference field="7" count="1" selected="0">
            <x v="47"/>
          </reference>
          <reference field="11" count="1">
            <x v="1"/>
          </reference>
        </references>
      </pivotArea>
    </format>
    <format dxfId="59">
      <pivotArea dataOnly="0" labelOnly="1" outline="0" fieldPosition="0">
        <references count="2">
          <reference field="7" count="1" selected="0">
            <x v="48"/>
          </reference>
          <reference field="11" count="1">
            <x v="1"/>
          </reference>
        </references>
      </pivotArea>
    </format>
    <format dxfId="58">
      <pivotArea dataOnly="0" labelOnly="1" outline="0" fieldPosition="0">
        <references count="2">
          <reference field="7" count="1" selected="0">
            <x v="49"/>
          </reference>
          <reference field="11" count="1">
            <x v="1"/>
          </reference>
        </references>
      </pivotArea>
    </format>
    <format dxfId="57">
      <pivotArea dataOnly="0" labelOnly="1" outline="0" fieldPosition="0">
        <references count="2">
          <reference field="7" count="1" selected="0">
            <x v="50"/>
          </reference>
          <reference field="11" count="1">
            <x v="1"/>
          </reference>
        </references>
      </pivotArea>
    </format>
    <format dxfId="56">
      <pivotArea dataOnly="0" labelOnly="1" outline="0" fieldPosition="0">
        <references count="2">
          <reference field="7" count="1" selected="0">
            <x v="51"/>
          </reference>
          <reference field="11" count="1">
            <x v="1"/>
          </reference>
        </references>
      </pivotArea>
    </format>
    <format dxfId="55">
      <pivotArea dataOnly="0" labelOnly="1" outline="0" fieldPosition="0">
        <references count="2">
          <reference field="7" count="1" selected="0">
            <x v="52"/>
          </reference>
          <reference field="11" count="1">
            <x v="1"/>
          </reference>
        </references>
      </pivotArea>
    </format>
    <format dxfId="54">
      <pivotArea dataOnly="0" labelOnly="1" outline="0" fieldPosition="0">
        <references count="1">
          <reference field="7" count="1">
            <x v="4"/>
          </reference>
        </references>
      </pivotArea>
    </format>
  </formats>
  <conditionalFormats count="29">
    <conditionalFormat priority="1">
      <pivotAreas count="1">
        <pivotArea type="data" outline="0" collapsedLevelsAreSubtotals="1" fieldPosition="0">
          <references count="3">
            <reference field="4294967294" count="1" selected="0">
              <x v="1"/>
            </reference>
            <reference field="7" count="1" selected="0">
              <x v="50"/>
            </reference>
            <reference field="11" count="1" selected="0">
              <x v="1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3">
            <reference field="4294967294" count="1" selected="0">
              <x v="1"/>
            </reference>
            <reference field="7" count="1" selected="0">
              <x v="41"/>
            </reference>
            <reference field="11" count="1" selected="0">
              <x v="1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3">
            <reference field="4294967294" count="1" selected="0">
              <x v="1"/>
            </reference>
            <reference field="7" count="1" selected="0">
              <x v="37"/>
            </reference>
            <reference field="11" count="1" selected="0">
              <x v="1"/>
            </reference>
          </references>
        </pivotArea>
      </pivotAreas>
    </conditionalFormat>
    <conditionalFormat priority="4">
      <pivotAreas count="1">
        <pivotArea type="data" outline="0" collapsedLevelsAreSubtotals="1" fieldPosition="0">
          <references count="3">
            <reference field="4294967294" count="1" selected="0">
              <x v="1"/>
            </reference>
            <reference field="7" count="1" selected="0">
              <x v="34"/>
            </reference>
            <reference field="11" count="1" selected="0">
              <x v="1"/>
            </reference>
          </references>
        </pivotArea>
      </pivotAreas>
    </conditionalFormat>
    <conditionalFormat priority="5">
      <pivotAreas count="1">
        <pivotArea type="data" outline="0" collapsedLevelsAreSubtotals="1" fieldPosition="0">
          <references count="3">
            <reference field="4294967294" count="1" selected="0">
              <x v="1"/>
            </reference>
            <reference field="7" count="1" selected="0">
              <x v="32"/>
            </reference>
            <reference field="11" count="1" selected="0">
              <x v="1"/>
            </reference>
          </references>
        </pivotArea>
      </pivotAreas>
    </conditionalFormat>
    <conditionalFormat priority="6">
      <pivotAreas count="1">
        <pivotArea type="data" outline="0" collapsedLevelsAreSubtotals="1" fieldPosition="0">
          <references count="3">
            <reference field="4294967294" count="1" selected="0">
              <x v="1"/>
            </reference>
            <reference field="7" count="1" selected="0">
              <x v="31"/>
            </reference>
            <reference field="11" count="1" selected="0">
              <x v="1"/>
            </reference>
          </references>
        </pivotArea>
      </pivotAreas>
    </conditionalFormat>
    <conditionalFormat priority="7">
      <pivotAreas count="1">
        <pivotArea type="data" outline="0" collapsedLevelsAreSubtotals="1" fieldPosition="0">
          <references count="3">
            <reference field="4294967294" count="1" selected="0">
              <x v="1"/>
            </reference>
            <reference field="7" count="1" selected="0">
              <x v="30"/>
            </reference>
            <reference field="11" count="1" selected="0">
              <x v="1"/>
            </reference>
          </references>
        </pivotArea>
      </pivotAreas>
    </conditionalFormat>
    <conditionalFormat priority="8">
      <pivotAreas count="1">
        <pivotArea type="data" outline="0" collapsedLevelsAreSubtotals="1" fieldPosition="0">
          <references count="3">
            <reference field="4294967294" count="1" selected="0">
              <x v="1"/>
            </reference>
            <reference field="7" count="1" selected="0">
              <x v="30"/>
            </reference>
            <reference field="11" count="1" selected="0">
              <x v="1"/>
            </reference>
          </references>
        </pivotArea>
      </pivotAreas>
    </conditionalFormat>
    <conditionalFormat priority="9">
      <pivotAreas count="1">
        <pivotArea type="data" outline="0" collapsedLevelsAreSubtotals="1" fieldPosition="0">
          <references count="3">
            <reference field="4294967294" count="1" selected="0">
              <x v="1"/>
            </reference>
            <reference field="7" count="1" selected="0">
              <x v="29"/>
            </reference>
            <reference field="11" count="1" selected="0">
              <x v="1"/>
            </reference>
          </references>
        </pivotArea>
      </pivotAreas>
    </conditionalFormat>
    <conditionalFormat priority="10">
      <pivotAreas count="1">
        <pivotArea type="data" outline="0" collapsedLevelsAreSubtotals="1" fieldPosition="0">
          <references count="3">
            <reference field="4294967294" count="1" selected="0">
              <x v="1"/>
            </reference>
            <reference field="7" count="1" selected="0">
              <x v="28"/>
            </reference>
            <reference field="11" count="1" selected="0">
              <x v="1"/>
            </reference>
          </references>
        </pivotArea>
      </pivotAreas>
    </conditionalFormat>
    <conditionalFormat priority="11">
      <pivotAreas count="1">
        <pivotArea type="data" outline="0" collapsedLevelsAreSubtotals="1" fieldPosition="0">
          <references count="3">
            <reference field="4294967294" count="1" selected="0">
              <x v="1"/>
            </reference>
            <reference field="7" count="1" selected="0">
              <x v="27"/>
            </reference>
            <reference field="11" count="1" selected="0">
              <x v="1"/>
            </reference>
          </references>
        </pivotArea>
      </pivotAreas>
    </conditionalFormat>
    <conditionalFormat priority="12">
      <pivotAreas count="1">
        <pivotArea type="data" outline="0" collapsedLevelsAreSubtotals="1" fieldPosition="0">
          <references count="3">
            <reference field="4294967294" count="1" selected="0">
              <x v="1"/>
            </reference>
            <reference field="7" count="1" selected="0">
              <x v="26"/>
            </reference>
            <reference field="11" count="1" selected="0">
              <x v="1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3">
            <reference field="4294967294" count="1" selected="0">
              <x v="1"/>
            </reference>
            <reference field="7" count="1" selected="0">
              <x v="21"/>
            </reference>
            <reference field="11" count="1" selected="0">
              <x v="1"/>
            </reference>
          </references>
        </pivotArea>
      </pivotAreas>
    </conditionalFormat>
    <conditionalFormat priority="14">
      <pivotAreas count="1">
        <pivotArea type="data" outline="0" collapsedLevelsAreSubtotals="1" fieldPosition="0">
          <references count="3">
            <reference field="4294967294" count="1" selected="0">
              <x v="1"/>
            </reference>
            <reference field="7" count="1" selected="0">
              <x v="19"/>
            </reference>
            <reference field="11" count="1" selected="0">
              <x v="1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3">
            <reference field="4294967294" count="1" selected="0">
              <x v="1"/>
            </reference>
            <reference field="7" count="1" selected="0">
              <x v="18"/>
            </reference>
            <reference field="11" count="1" selected="0">
              <x v="1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3">
            <reference field="4294967294" count="1" selected="0">
              <x v="1"/>
            </reference>
            <reference field="7" count="1" selected="0">
              <x v="18"/>
            </reference>
            <reference field="11" count="1" selected="0">
              <x v="1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3">
            <reference field="4294967294" count="1" selected="0">
              <x v="1"/>
            </reference>
            <reference field="7" count="1" selected="0">
              <x v="17"/>
            </reference>
            <reference field="11" count="1" selected="0">
              <x v="1"/>
            </reference>
          </references>
        </pivotArea>
      </pivotAreas>
    </conditionalFormat>
    <conditionalFormat priority="18">
      <pivotAreas count="1">
        <pivotArea type="data" outline="0" collapsedLevelsAreSubtotals="1" fieldPosition="0">
          <references count="3">
            <reference field="4294967294" count="1" selected="0">
              <x v="1"/>
            </reference>
            <reference field="7" count="1" selected="0">
              <x v="16"/>
            </reference>
            <reference field="11" count="1" selected="0">
              <x v="1"/>
            </reference>
          </references>
        </pivotArea>
      </pivotAreas>
    </conditionalFormat>
    <conditionalFormat priority="19">
      <pivotAreas count="1">
        <pivotArea type="data" outline="0" collapsedLevelsAreSubtotals="1" fieldPosition="0">
          <references count="3">
            <reference field="4294967294" count="1" selected="0">
              <x v="1"/>
            </reference>
            <reference field="7" count="1" selected="0">
              <x v="15"/>
            </reference>
            <reference field="11" count="1" selected="0">
              <x v="1"/>
            </reference>
          </references>
        </pivotArea>
      </pivotAreas>
    </conditionalFormat>
    <conditionalFormat priority="20">
      <pivotAreas count="1">
        <pivotArea type="data" outline="0" collapsedLevelsAreSubtotals="1" fieldPosition="0">
          <references count="3">
            <reference field="4294967294" count="1" selected="0">
              <x v="1"/>
            </reference>
            <reference field="7" count="1" selected="0">
              <x v="14"/>
            </reference>
            <reference field="11" count="1" selected="0">
              <x v="1"/>
            </reference>
          </references>
        </pivotArea>
      </pivotAreas>
    </conditionalFormat>
    <conditionalFormat priority="21">
      <pivotAreas count="1">
        <pivotArea type="data" outline="0" collapsedLevelsAreSubtotals="1" fieldPosition="0">
          <references count="3">
            <reference field="4294967294" count="1" selected="0">
              <x v="1"/>
            </reference>
            <reference field="7" count="1" selected="0">
              <x v="13"/>
            </reference>
            <reference field="11" count="1" selected="0">
              <x v="1"/>
            </reference>
          </references>
        </pivotArea>
      </pivotAreas>
    </conditionalFormat>
    <conditionalFormat priority="22">
      <pivotAreas count="1">
        <pivotArea type="data" outline="0" collapsedLevelsAreSubtotals="1" fieldPosition="0">
          <references count="3">
            <reference field="4294967294" count="1" selected="0">
              <x v="1"/>
            </reference>
            <reference field="7" count="1" selected="0">
              <x v="12"/>
            </reference>
            <reference field="11" count="1" selected="0">
              <x v="1"/>
            </reference>
          </references>
        </pivotArea>
      </pivotAreas>
    </conditionalFormat>
    <conditionalFormat priority="23">
      <pivotAreas count="1">
        <pivotArea type="data" outline="0" collapsedLevelsAreSubtotals="1" fieldPosition="0">
          <references count="3">
            <reference field="4294967294" count="1" selected="0">
              <x v="1"/>
            </reference>
            <reference field="7" count="1" selected="0">
              <x v="11"/>
            </reference>
            <reference field="11" count="1" selected="0">
              <x v="1"/>
            </reference>
          </references>
        </pivotArea>
      </pivotAreas>
    </conditionalFormat>
    <conditionalFormat priority="24">
      <pivotAreas count="1">
        <pivotArea type="data" outline="0" collapsedLevelsAreSubtotals="1" fieldPosition="0">
          <references count="3">
            <reference field="4294967294" count="1" selected="0">
              <x v="1"/>
            </reference>
            <reference field="7" count="1" selected="0">
              <x v="10"/>
            </reference>
            <reference field="11" count="1" selected="0">
              <x v="1"/>
            </reference>
          </references>
        </pivotArea>
      </pivotAreas>
    </conditionalFormat>
    <conditionalFormat priority="25">
      <pivotAreas count="1">
        <pivotArea type="data" outline="0" collapsedLevelsAreSubtotals="1" fieldPosition="0">
          <references count="3">
            <reference field="4294967294" count="1" selected="0">
              <x v="1"/>
            </reference>
            <reference field="7" count="1" selected="0">
              <x v="9"/>
            </reference>
            <reference field="11" count="1" selected="0">
              <x v="1"/>
            </reference>
          </references>
        </pivotArea>
      </pivotAreas>
    </conditionalFormat>
    <conditionalFormat priority="26">
      <pivotAreas count="1">
        <pivotArea type="data" outline="0" collapsedLevelsAreSubtotals="1" fieldPosition="0">
          <references count="3">
            <reference field="4294967294" count="1" selected="0">
              <x v="1"/>
            </reference>
            <reference field="7" count="1" selected="0">
              <x v="6"/>
            </reference>
            <reference field="11" count="1" selected="0">
              <x v="1"/>
            </reference>
          </references>
        </pivotArea>
      </pivotAreas>
    </conditionalFormat>
    <conditionalFormat priority="27">
      <pivotAreas count="1">
        <pivotArea type="data" outline="0" collapsedLevelsAreSubtotals="1" fieldPosition="0">
          <references count="3">
            <reference field="4294967294" count="1" selected="0">
              <x v="1"/>
            </reference>
            <reference field="7" count="1" selected="0">
              <x v="3"/>
            </reference>
            <reference field="11" count="1" selected="0">
              <x v="1"/>
            </reference>
          </references>
        </pivotArea>
      </pivotAreas>
    </conditionalFormat>
    <conditionalFormat priority="28">
      <pivotAreas count="1">
        <pivotArea type="data" outline="0" collapsedLevelsAreSubtotals="1" fieldPosition="0">
          <references count="3">
            <reference field="4294967294" count="1" selected="0">
              <x v="1"/>
            </reference>
            <reference field="7" count="1" selected="0">
              <x v="9"/>
            </reference>
            <reference field="11" count="1" selected="0">
              <x v="1"/>
            </reference>
          </references>
        </pivotArea>
      </pivotAreas>
    </conditionalFormat>
    <conditionalFormat priority="29">
      <pivotAreas count="1">
        <pivotArea type="data" outline="0" collapsedLevelsAreSubtotals="1" fieldPosition="0">
          <references count="3">
            <reference field="4294967294" count="1" selected="0">
              <x v="1"/>
            </reference>
            <reference field="7" count="1" selected="0">
              <x v="1"/>
            </reference>
            <reference field="11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E57679-29F3-466D-A9D0-348F9818A54D}" name="Table1" displayName="Table1" ref="A3:X86" totalsRowShown="0" headerRowDxfId="352" dataDxfId="350" headerRowBorderDxfId="351" tableBorderDxfId="349" totalsRowBorderDxfId="348">
  <autoFilter ref="A3:X86" xr:uid="{A9E57679-29F3-466D-A9D0-348F9818A54D}"/>
  <tableColumns count="24">
    <tableColumn id="1" xr3:uid="{852C27D2-C043-4105-99FE-D9F97ECD9CFE}" name="ROW" dataDxfId="347"/>
    <tableColumn id="2" xr3:uid="{DEA2E6A2-5E39-4D01-A974-A89368B6F0C3}" name="PACKING NO." dataDxfId="346"/>
    <tableColumn id="3" xr3:uid="{BFA973D8-B451-447C-8939-07E765D83C89}" name="PO  NO." dataDxfId="345"/>
    <tableColumn id="17" xr3:uid="{04544C15-70FC-4A4A-832B-38373AD55704}" name="ITEM CODE" dataDxfId="344"/>
    <tableColumn id="4" xr3:uid="{DCED71A1-B8AE-4CCD-AAD3-24EFF9A6D234}" name="MRS NO" dataDxfId="343"/>
    <tableColumn id="5" xr3:uid="{60A808D0-824F-45C7-B16D-2CE814580AA9}" name="SUPLYER" dataDxfId="342"/>
    <tableColumn id="6" xr3:uid="{19BC4D6A-A26C-42B5-864E-4E283923FAF6}" name="VENDOR" dataDxfId="341"/>
    <tableColumn id="7" xr3:uid="{4A78AA44-43D8-464C-A50B-98663A8D214A}" name="DESCRIPTION" dataDxfId="340"/>
    <tableColumn id="18" xr3:uid="{8E13CBA8-7657-4ACE-915A-349BB6E167B8}" name="DATE RECIVED" dataDxfId="339"/>
    <tableColumn id="10" xr3:uid="{DA7D9DEB-B46C-4554-92D2-009EEAEA611E}" name="REMARK2" dataDxfId="338"/>
    <tableColumn id="11" xr3:uid="{9B06E746-134B-47FD-9F36-3F9DED38F088}" name="QTY_x000a_RECIVED" dataDxfId="337" dataCellStyle="Comma"/>
    <tableColumn id="12" xr3:uid="{EB448C0A-34B2-4211-A304-C6306000858C}" name="UNT" dataDxfId="336"/>
    <tableColumn id="13" xr3:uid="{6FD2C3AA-4D6E-42EE-A777-52986C9E66A4}" name="INVENTORY" dataDxfId="335" dataCellStyle="Comma">
      <calculatedColumnFormula>Table1[[#This Row],[QTY
RECIVED]]-Table1[[#This Row],[QTY 
ISSUED]]</calculatedColumnFormula>
    </tableColumn>
    <tableColumn id="15" xr3:uid="{CD137E69-1000-4B2E-9882-E86AF6563E83}" name="تعداد بشکه" dataDxfId="334"/>
    <tableColumn id="21" xr3:uid="{B8C91D56-1610-4FA1-87C5-1519B2CD6DB5}" name="QTY _x000a_ISSUED" dataDxfId="333"/>
    <tableColumn id="22" xr3:uid="{CB55968A-A5F2-40F9-B8F9-313EB9BE5D33}" name="DATE .ISSUED" dataDxfId="332"/>
    <tableColumn id="23" xr3:uid="{D62B1DCD-BF9A-4026-B4E8-D6A29BC84851}" name="MIV.  NO/SMR.NO" dataDxfId="331"/>
    <tableColumn id="9" xr3:uid="{15302A28-12D0-4770-9A08-089CC58D47A1}" name="MRV.NO&amp; DATE" dataDxfId="330"/>
    <tableColumn id="24" xr3:uid="{32693B40-20A1-4B8B-A257-1D12678D12DB}" name="تحویل گیرنده" dataDxfId="329"/>
    <tableColumn id="8" xr3:uid="{E0C89B8A-808B-45DD-A419-920A55A9F500}" name="LOCATION" dataDxfId="328"/>
    <tableColumn id="16" xr3:uid="{C4420566-968A-484A-B7F1-C432CDFC22E6}" name="MIN" dataDxfId="327"/>
    <tableColumn id="20" xr3:uid="{017F4DE5-1B48-4A1F-9435-0577C0F12283}" name="MAX" dataDxfId="326"/>
    <tableColumn id="25" xr3:uid="{6CDE3277-504D-4C3B-8129-11BA2E6FCE28}" name="شماره برید و تاریخ اعلام کسری روغن " dataDxfId="325"/>
    <tableColumn id="14" xr3:uid="{407E7E48-DC41-497C-9F8A-759A885E491C}" name="کسری دارد" dataDxfId="324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D360A6A-A895-4DDE-9026-06827AB28A33}" name="Table135" displayName="Table135" ref="A3:X111" totalsRowShown="0" headerRowDxfId="322" dataDxfId="320" headerRowBorderDxfId="321" tableBorderDxfId="319" totalsRowBorderDxfId="318">
  <autoFilter ref="A3:X111" xr:uid="{A9E57679-29F3-466D-A9D0-348F9818A54D}"/>
  <tableColumns count="24">
    <tableColumn id="1" xr3:uid="{5F4243A9-251E-4C9E-B142-73AA2475C882}" name="ROW" dataDxfId="317"/>
    <tableColumn id="2" xr3:uid="{A22F656F-6C6C-4B8D-890B-58E661B94577}" name="PACKING NO." dataDxfId="316"/>
    <tableColumn id="3" xr3:uid="{18BDCB0E-B0FC-41C1-BE75-C7F342778FD3}" name="PO  NO." dataDxfId="315"/>
    <tableColumn id="17" xr3:uid="{C5A25038-4F82-4A7C-966F-0E6E53E30075}" name="ITEM CODE" dataDxfId="314"/>
    <tableColumn id="4" xr3:uid="{68335A5A-F2D2-4F9F-90BF-AF3BDFA9BAF1}" name="MRS NO" dataDxfId="313"/>
    <tableColumn id="5" xr3:uid="{AFD1FF9C-7F53-4BCE-993A-34A99A22C2F4}" name="SUPLYER" dataDxfId="312"/>
    <tableColumn id="6" xr3:uid="{4CD0D84A-A8DA-43D1-9535-31B2A518FDCA}" name="VENDOR/ITEM CODE" dataDxfId="311"/>
    <tableColumn id="7" xr3:uid="{0F0469AA-E505-40DD-8847-7FE58B820849}" name="DESCRIPTION" dataDxfId="310"/>
    <tableColumn id="18" xr3:uid="{35C83F07-25A4-4C35-928E-33FA4E67D5E5}" name="REMARK1" dataDxfId="309"/>
    <tableColumn id="10" xr3:uid="{063D9E82-CE6C-4024-A66C-15EA8CB4562E}" name="REMARK2" dataDxfId="308"/>
    <tableColumn id="11" xr3:uid="{B252BAAB-2C81-4314-9145-5BB4DC5ED4AC}" name="QTY_x000a_RECIVED" dataDxfId="307" dataCellStyle="Comma"/>
    <tableColumn id="12" xr3:uid="{55E9FFBD-BE1D-426D-ADA0-E431A45FAA87}" name="UNT" dataDxfId="306"/>
    <tableColumn id="13" xr3:uid="{7B5DCA31-1B3E-49BC-A93D-36410FD6C855}" name="INVENTORY" dataDxfId="305" dataCellStyle="Comma">
      <calculatedColumnFormula>Table135[[#This Row],[QTY
RECIVED]]-Table135[[#This Row],[QTY 
ISSUED]]</calculatedColumnFormula>
    </tableColumn>
    <tableColumn id="15" xr3:uid="{C3EBCDDB-CF17-473A-A29E-35E94E348FF0}" name="موجودی  به بشکه  / پالت" dataDxfId="304"/>
    <tableColumn id="19" xr3:uid="{5A55BAC4-182B-4580-ABCB-A8CA7EA81F6A}" name="DATE RECIVED" dataDxfId="303"/>
    <tableColumn id="21" xr3:uid="{76DF008C-4AD5-45DD-9F0A-0E3251B03691}" name="QTY _x000a_ISSUED" dataDxfId="302"/>
    <tableColumn id="22" xr3:uid="{32D1F82A-48F4-47FA-8CFE-8B74082AC12E}" name="DATE .ISSUED" dataDxfId="301"/>
    <tableColumn id="23" xr3:uid="{35174E0C-BAA7-4F2B-AFF5-6FB8E4B75E88}" name="MIV.  NO/SMR.NO" dataDxfId="300"/>
    <tableColumn id="9" xr3:uid="{A8F1C79C-F363-4952-B591-8F1644DDBD7C}" name="MRV.NO&amp; DATE" dataDxfId="299"/>
    <tableColumn id="24" xr3:uid="{DDC802E9-4981-4C26-96BE-5370BDE2B72D}" name="تحویل گیرنده" dataDxfId="298"/>
    <tableColumn id="8" xr3:uid="{0CC34431-AAD8-4486-922B-5BD104F01639}" name="LOCATION" dataDxfId="297"/>
    <tableColumn id="16" xr3:uid="{CD73DC50-9472-4B08-8E7A-CEBC56515C28}" name="MIN" dataDxfId="296"/>
    <tableColumn id="20" xr3:uid="{83B51FC4-BDB8-4F54-B80C-6EBD8DC4179E}" name="MAX" dataDxfId="295"/>
    <tableColumn id="25" xr3:uid="{9085D06F-2129-4476-B9AF-E93266A41DF4}" name="شماره برید و تاریخ اعلام کسری روغن " dataDxfId="294"/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E6418C0-9943-4EC0-91D2-D1DD30C038A9}" name="Table1346" displayName="Table1346" ref="A3:W62" totalsRowShown="0" headerRowDxfId="293" dataDxfId="291" headerRowBorderDxfId="292" tableBorderDxfId="290" totalsRowBorderDxfId="289">
  <autoFilter ref="A3:W62" xr:uid="{1E6418C0-9943-4EC0-91D2-D1DD30C038A9}"/>
  <tableColumns count="23">
    <tableColumn id="1" xr3:uid="{8B43D899-4B61-40B7-8323-F9309A0E89A4}" name="ROW" dataDxfId="288"/>
    <tableColumn id="2" xr3:uid="{912918F7-FF33-4927-8E27-06507B9F7E83}" name="PACKING NO." dataDxfId="287"/>
    <tableColumn id="3" xr3:uid="{1C21F1EF-1BDC-44BE-B14C-C23246C5F893}" name="PO  NO." dataDxfId="286"/>
    <tableColumn id="17" xr3:uid="{A35C2311-6288-4224-8247-27A463440595}" name="ITEM CODE" dataDxfId="285"/>
    <tableColumn id="4" xr3:uid="{9B55E737-DF1A-46C9-8E05-F7BE06453082}" name="MRS NO" dataDxfId="284"/>
    <tableColumn id="5" xr3:uid="{43A58183-92DA-450A-945E-64B7AEA50BBF}" name="SUPLYER" dataDxfId="283"/>
    <tableColumn id="6" xr3:uid="{9BB472EF-D15B-4DAD-9D9A-01AE1CAD154D}" name="VENDOR/ITEM CODE" dataDxfId="282"/>
    <tableColumn id="7" xr3:uid="{E837DE09-819C-4A77-A76C-904F02113EF6}" name="DESCRIPTION" dataDxfId="281"/>
    <tableColumn id="18" xr3:uid="{0F3A9F1D-7797-4AA1-8BCD-BC3782BEBA3A}" name="REMARK1" dataDxfId="280"/>
    <tableColumn id="10" xr3:uid="{B2B4D833-93FF-4696-89B5-A15FEA5FF4BA}" name="REMARK2" dataDxfId="279"/>
    <tableColumn id="11" xr3:uid="{A647B275-9282-4311-BBA2-560D40A9965C}" name="QTY_x000a_RECIVED" dataDxfId="278" dataCellStyle="Comma"/>
    <tableColumn id="12" xr3:uid="{A6108CA6-6FDE-49AE-BFD0-8BAAA20A22CC}" name="UNT" dataDxfId="277"/>
    <tableColumn id="13" xr3:uid="{F106EAA1-E4A7-4F96-8A93-6A0861EF42D2}" name="INVENTORY" dataDxfId="276" dataCellStyle="Comma">
      <calculatedColumnFormula>Table1346[[#This Row],[QTY
RECIVED]]-Table1346[[#This Row],[QTY 
ISSUED]]</calculatedColumnFormula>
    </tableColumn>
    <tableColumn id="19" xr3:uid="{0D131041-1158-492F-97F7-CCDCCA958742}" name="DATE RECIVED" dataDxfId="275"/>
    <tableColumn id="21" xr3:uid="{BE0F3244-6E10-479C-B2B4-85A25EC63AA5}" name="QTY _x000a_ISSUED" dataDxfId="274"/>
    <tableColumn id="22" xr3:uid="{59F08C2B-E3A8-4761-91D0-92372677F8F9}" name="DATE .ISSUED" dataDxfId="273"/>
    <tableColumn id="23" xr3:uid="{43C09ED2-5B37-4E47-9DF1-EBF0EA839168}" name="MIV.  NO" dataDxfId="272"/>
    <tableColumn id="9" xr3:uid="{A1B9EA26-7510-43AE-BD54-A189E945301D}" name="MRV.NO&amp; DATE" dataDxfId="271"/>
    <tableColumn id="24" xr3:uid="{0B77EE11-0A96-4CE6-BDC5-611687B19121}" name="تحویل گیرنده" dataDxfId="270"/>
    <tableColumn id="8" xr3:uid="{81589A46-9FE0-4542-B1B2-8B9F768F023F}" name="LOCATION" dataDxfId="269"/>
    <tableColumn id="16" xr3:uid="{45733E80-D315-4A12-8CB9-ECCA61B5257F}" name="MIN" dataDxfId="268"/>
    <tableColumn id="20" xr3:uid="{C6603373-6692-4A0D-B4BA-7F488B2B11C3}" name="MAX" dataDxfId="267"/>
    <tableColumn id="25" xr3:uid="{2E296C0D-EFA6-4896-A2A5-8E1E3E957056}" name="شماره برید و تاریخ اعلام کسری روغن " dataDxfId="266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C55C98D-586C-43C2-B45B-600BBBAD6A58}" name="Table7" displayName="Table7" ref="A2:X15" totalsRowShown="0" headerRowDxfId="265" dataDxfId="263" headerRowBorderDxfId="264" tableBorderDxfId="262" totalsRowBorderDxfId="261">
  <autoFilter ref="A2:X15" xr:uid="{5C55C98D-586C-43C2-B45B-600BBBAD6A58}"/>
  <tableColumns count="24">
    <tableColumn id="1" xr3:uid="{FF8C63D6-CDAD-4557-A74F-171145FA0CB1}" name="ROW" dataDxfId="260"/>
    <tableColumn id="2" xr3:uid="{1F0FC1A9-5396-4CAD-B617-7E28C886BA25}" name="PACKING NO." dataDxfId="259"/>
    <tableColumn id="3" xr3:uid="{1E191178-98B9-4373-9E19-EF7646ADCABD}" name="PO  NO." dataDxfId="258"/>
    <tableColumn id="4" xr3:uid="{ED59AD60-C4EB-4F9A-AF3E-16A2AD207487}" name="ITEM CODE" dataDxfId="257"/>
    <tableColumn id="5" xr3:uid="{2D9ECA26-C36B-432F-9C94-080BCB40E40B}" name="MRS NO" dataDxfId="256"/>
    <tableColumn id="6" xr3:uid="{CA09B7C0-4F97-4A22-904A-F1A57431931D}" name="SUPLYER" dataDxfId="255"/>
    <tableColumn id="7" xr3:uid="{9C0FCDD0-DF88-4E41-8C42-31AA06F2DBAC}" name="VENDOR" dataDxfId="254"/>
    <tableColumn id="8" xr3:uid="{B600A62D-C312-4DA5-8F02-FC920D250A70}" name="DESCRIPTION" dataDxfId="253"/>
    <tableColumn id="9" xr3:uid="{0C461E76-F137-4C2E-9C28-EFE33951F277}" name="DATE RECIVED" dataDxfId="252"/>
    <tableColumn id="10" xr3:uid="{2E670B83-D9B0-4E64-BE10-BAF244124DBE}" name="REMARK2" dataDxfId="251"/>
    <tableColumn id="11" xr3:uid="{E13ED2EE-1008-4CED-94D8-3158238ECE41}" name="QTY_x000a_RECIVED" dataDxfId="250"/>
    <tableColumn id="12" xr3:uid="{372248E2-D26C-4791-B34F-DD46674E3AB7}" name="UNT" dataDxfId="249"/>
    <tableColumn id="13" xr3:uid="{C168D19F-17D1-4A0B-928E-36D19099CFC8}" name="INVENTORY" dataDxfId="248">
      <calculatedColumnFormula>Table7[[#This Row],[QTY
RECIVED]]-Table7[[#This Row],[QTY 
ISSUED]]</calculatedColumnFormula>
    </tableColumn>
    <tableColumn id="14" xr3:uid="{6EA20DF2-515D-4108-87BC-E3C528C2279C}" name="QTY _x000a_ISSUED" dataDxfId="247"/>
    <tableColumn id="15" xr3:uid="{0EAC0562-80BC-418F-8C49-60FD7A45294D}" name="DATE .ISSUED" dataDxfId="246"/>
    <tableColumn id="16" xr3:uid="{61C3D5C1-4A43-41CF-9785-FE4A763D4712}" name="MIV.  NO" dataDxfId="245"/>
    <tableColumn id="17" xr3:uid="{5DF8F0C9-9263-43C1-9AA2-542CC4A86CB5}" name="MRV.NO&amp; DATE" dataDxfId="244"/>
    <tableColumn id="18" xr3:uid="{88D2690F-D1F2-42D3-886F-4F39737AAC5D}" name="تحویل گیرنده" dataDxfId="243"/>
    <tableColumn id="19" xr3:uid="{0E33CA21-4DF2-491B-858C-8747ACA50452}" name="LOCATION" dataDxfId="242"/>
    <tableColumn id="20" xr3:uid="{CF4EDA22-A42C-45EC-A47D-A8313CE0CEEC}" name="MIN" dataDxfId="241"/>
    <tableColumn id="21" xr3:uid="{4F59F6AA-7689-4E8E-B552-F1201BF5ED88}" name="MAX" dataDxfId="240"/>
    <tableColumn id="22" xr3:uid="{292E4971-8C03-4CCA-AC0C-AA7046F945DC}" name="شماره برید و تاریخ اعلام کسری روغن " dataDxfId="239"/>
    <tableColumn id="23" xr3:uid="{3D98B39C-657C-43AF-99BE-E6D1575A55CF}" name="کسری دارد" dataDxfId="238"/>
    <tableColumn id="24" xr3:uid="{07380A50-F04B-455D-828A-79D453AB66DF}" name="Heat/TAG/SERNo:" dataDxfId="237"/>
  </tableColumns>
  <tableStyleInfo name="TableStyleLight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327223-DFC1-4E7C-BB7A-58DAA67817BC}" name="Table134" displayName="Table134" ref="A3:Y202" totalsRowShown="0" headerRowDxfId="29" dataDxfId="27" headerRowBorderDxfId="28" tableBorderDxfId="26" totalsRowBorderDxfId="25">
  <autoFilter ref="A3:Y202" xr:uid="{A9E57679-29F3-466D-A9D0-348F9818A54D}"/>
  <tableColumns count="25">
    <tableColumn id="1" xr3:uid="{700AE9C7-5065-4222-B717-044B9F9A2F88}" name="ROW" dataDxfId="24"/>
    <tableColumn id="2" xr3:uid="{6A15188C-8027-4DDD-B320-F1FC14DA4DEF}" name="PACKING NO." dataDxfId="23"/>
    <tableColumn id="3" xr3:uid="{9B17D9CE-FA60-4D48-89C8-B45958956420}" name="PO  NO." dataDxfId="22"/>
    <tableColumn id="17" xr3:uid="{E1919CF8-9B50-4988-8CFB-64079244D4B0}" name="ITEM CODE" dataDxfId="21"/>
    <tableColumn id="14" xr3:uid="{4C375078-2E38-4A7F-B6F1-C05AA13B25E3}" name="SMALL .DIS" dataDxfId="20"/>
    <tableColumn id="4" xr3:uid="{8E447CC0-1876-436A-86E4-22F9ACC30749}" name="MRS NO" dataDxfId="19"/>
    <tableColumn id="5" xr3:uid="{92401E8B-52E8-437A-89A6-182EB1AB16B2}" name="SUPLYER" dataDxfId="18"/>
    <tableColumn id="6" xr3:uid="{CEDA061C-A087-48DF-B5B8-C4E07A8F3CFE}" name="VENDOR/ITEM CODE" dataDxfId="17"/>
    <tableColumn id="7" xr3:uid="{0AB1F5A8-245D-42C7-AC16-560694F1FBC4}" name="DESCRIPTION" dataDxfId="16"/>
    <tableColumn id="18" xr3:uid="{56EA64A4-9BD3-4346-B9D8-3F51154599AD}" name="REMARK1" dataDxfId="15"/>
    <tableColumn id="10" xr3:uid="{C0A10B2A-63BB-4209-85DB-5E0DCEF937B8}" name="REMARK2" dataDxfId="14"/>
    <tableColumn id="11" xr3:uid="{FFD4F0BA-823C-485D-96CD-5DDD38C03442}" name="QTY_x000a_RECIVED" dataDxfId="13" dataCellStyle="Comma"/>
    <tableColumn id="12" xr3:uid="{D6EEFB4E-EB95-4615-B44C-0C1B04E04091}" name="UNT" dataDxfId="12"/>
    <tableColumn id="13" xr3:uid="{8A3D50BD-8DF3-49B0-9453-4044B7923675}" name="INVENTORY" dataDxfId="11" dataCellStyle="Comma">
      <calculatedColumnFormula>Table134[[#This Row],[QTY
RECIVED]]-Table134[[#This Row],[QTY 
ISSUED]]</calculatedColumnFormula>
    </tableColumn>
    <tableColumn id="15" xr3:uid="{C269C61A-1ABF-449B-8752-AD70E18F48F0}" name="موجودی  به بشکه  یا پالت" dataDxfId="10"/>
    <tableColumn id="19" xr3:uid="{6CBFD29C-8C5B-40D5-8AA3-38D2F9F3F70A}" name="DATE RECIVED" dataDxfId="9"/>
    <tableColumn id="21" xr3:uid="{B16F65CC-2186-4895-AC27-E234AC876555}" name="QTY _x000a_ISSUED" dataDxfId="8"/>
    <tableColumn id="22" xr3:uid="{7B52311A-08FA-4C7C-B482-DF6E023E1696}" name="DATE .ISSUED" dataDxfId="7"/>
    <tableColumn id="23" xr3:uid="{D9ACAA95-05DA-489C-89B3-376A491070B8}" name="MIV.  NO" dataDxfId="6"/>
    <tableColumn id="9" xr3:uid="{8EA8996F-BB35-4A4E-A875-CAEACCD55773}" name="MRV.NO&amp; DATE" dataDxfId="5"/>
    <tableColumn id="24" xr3:uid="{21430E52-7C41-4304-9FA8-C9530252DAF4}" name="تحویل گیرنده" dataDxfId="4"/>
    <tableColumn id="8" xr3:uid="{199E61A4-438B-491B-BB14-423EFF35243B}" name="LOCATION" dataDxfId="3"/>
    <tableColumn id="16" xr3:uid="{7FE6FB91-51D2-4DBC-A0BA-AF38495604BD}" name="MIN" dataDxfId="2"/>
    <tableColumn id="20" xr3:uid="{7C403431-2B9B-4825-955E-BDACF334DC24}" name="MAX" dataDxfId="1"/>
    <tableColumn id="25" xr3:uid="{10E388C4-D261-4BFF-AA0D-B8F83CE03817}" name="شماره برید و تاریخ اعلام کسری روغن " dataDxfId="0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Relationship Id="rId5" Type="http://schemas.openxmlformats.org/officeDocument/2006/relationships/comments" Target="../comments3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B50B-F7F4-49EE-83F5-4BF2765E39E8}">
  <sheetPr codeName="Sheet1">
    <tabColor rgb="FFFFC000"/>
    <pageSetUpPr fitToPage="1"/>
  </sheetPr>
  <dimension ref="A1:X117"/>
  <sheetViews>
    <sheetView tabSelected="1" zoomScale="110" zoomScaleNormal="110" workbookViewId="0">
      <pane ySplit="3" topLeftCell="A4" activePane="bottomLeft" state="frozen"/>
      <selection pane="bottomLeft" activeCell="H3" sqref="H3"/>
    </sheetView>
  </sheetViews>
  <sheetFormatPr defaultColWidth="9.140625" defaultRowHeight="12.75" x14ac:dyDescent="0.25"/>
  <cols>
    <col min="1" max="1" width="5.28515625" style="96" bestFit="1" customWidth="1"/>
    <col min="2" max="2" width="15.140625" style="96" customWidth="1"/>
    <col min="3" max="3" width="15.42578125" style="96" customWidth="1"/>
    <col min="4" max="4" width="12.140625" style="251" customWidth="1"/>
    <col min="5" max="5" width="16.42578125" style="96" customWidth="1"/>
    <col min="6" max="6" width="23.140625" style="96" customWidth="1"/>
    <col min="7" max="7" width="19" style="96" customWidth="1"/>
    <col min="8" max="8" width="61.7109375" style="96" bestFit="1" customWidth="1"/>
    <col min="9" max="9" width="19.85546875" style="96" customWidth="1"/>
    <col min="10" max="10" width="27.42578125" style="96" customWidth="1"/>
    <col min="11" max="11" width="9.140625" style="116" customWidth="1"/>
    <col min="12" max="12" width="5.140625" style="96" customWidth="1"/>
    <col min="13" max="13" width="10.28515625" style="117" customWidth="1"/>
    <col min="14" max="14" width="8" style="118" customWidth="1"/>
    <col min="15" max="15" width="15.7109375" style="96" customWidth="1"/>
    <col min="16" max="16" width="23.5703125" style="96" customWidth="1"/>
    <col min="17" max="17" width="18.85546875" style="211" customWidth="1"/>
    <col min="18" max="18" width="24" style="96" customWidth="1"/>
    <col min="19" max="19" width="13.140625" style="96" customWidth="1"/>
    <col min="20" max="20" width="12" style="264" customWidth="1"/>
    <col min="21" max="21" width="10.5703125" style="124" customWidth="1"/>
    <col min="22" max="22" width="11" style="124" customWidth="1"/>
    <col min="23" max="23" width="36.85546875" style="96" customWidth="1"/>
    <col min="24" max="16384" width="9.140625" style="1"/>
  </cols>
  <sheetData>
    <row r="1" spans="1:24" ht="25.5" customHeight="1" thickBot="1" x14ac:dyDescent="0.3">
      <c r="A1" s="122" t="s">
        <v>528</v>
      </c>
      <c r="B1" s="121"/>
      <c r="C1" s="121"/>
      <c r="D1" s="246"/>
      <c r="E1" s="121"/>
      <c r="F1" s="121"/>
      <c r="G1" s="121"/>
      <c r="H1" s="120" t="s">
        <v>321</v>
      </c>
      <c r="I1" s="121"/>
      <c r="J1" s="121"/>
      <c r="K1" s="120"/>
      <c r="L1" s="121"/>
      <c r="M1" s="121"/>
      <c r="N1" s="121"/>
      <c r="O1" s="121"/>
      <c r="P1" s="121"/>
      <c r="Q1" s="207"/>
      <c r="R1" s="121"/>
      <c r="S1" s="121"/>
    </row>
    <row r="2" spans="1:24" ht="11.25" x14ac:dyDescent="0.25">
      <c r="A2" s="272" t="s">
        <v>190</v>
      </c>
      <c r="B2" s="273"/>
      <c r="C2" s="273"/>
      <c r="D2" s="273"/>
      <c r="E2" s="273"/>
      <c r="F2" s="273"/>
      <c r="G2" s="273"/>
      <c r="H2" s="273"/>
      <c r="I2" s="273"/>
      <c r="J2" s="274"/>
      <c r="K2" s="275" t="s">
        <v>189</v>
      </c>
      <c r="L2" s="276"/>
      <c r="M2" s="276"/>
      <c r="N2" s="277"/>
      <c r="O2" s="203" t="s">
        <v>188</v>
      </c>
      <c r="P2" s="204"/>
      <c r="Q2" s="208"/>
      <c r="R2" s="204"/>
      <c r="S2" s="205"/>
      <c r="T2" s="278"/>
      <c r="U2" s="279"/>
      <c r="V2" s="279"/>
      <c r="W2" s="279"/>
    </row>
    <row r="3" spans="1:24" s="38" customFormat="1" ht="42.75" customHeight="1" thickBot="1" x14ac:dyDescent="0.3">
      <c r="A3" s="97" t="s">
        <v>0</v>
      </c>
      <c r="B3" s="93" t="s">
        <v>1</v>
      </c>
      <c r="C3" s="93" t="s">
        <v>2</v>
      </c>
      <c r="D3" s="247" t="s">
        <v>709</v>
      </c>
      <c r="E3" s="93" t="s">
        <v>3</v>
      </c>
      <c r="F3" s="93" t="s">
        <v>388</v>
      </c>
      <c r="G3" s="93" t="s">
        <v>907</v>
      </c>
      <c r="H3" s="93" t="s">
        <v>4</v>
      </c>
      <c r="I3" s="93" t="s">
        <v>8</v>
      </c>
      <c r="J3" s="93" t="s">
        <v>637</v>
      </c>
      <c r="K3" s="90" t="s">
        <v>5</v>
      </c>
      <c r="L3" s="98" t="s">
        <v>6</v>
      </c>
      <c r="M3" s="90" t="s">
        <v>7</v>
      </c>
      <c r="N3" s="35" t="s">
        <v>905</v>
      </c>
      <c r="O3" s="99" t="s">
        <v>9</v>
      </c>
      <c r="P3" s="99" t="s">
        <v>10</v>
      </c>
      <c r="Q3" s="209" t="s">
        <v>978</v>
      </c>
      <c r="R3" s="99" t="s">
        <v>449</v>
      </c>
      <c r="S3" s="99" t="s">
        <v>12</v>
      </c>
      <c r="T3" s="267" t="s">
        <v>587</v>
      </c>
      <c r="U3" s="125" t="s">
        <v>759</v>
      </c>
      <c r="V3" s="125" t="s">
        <v>760</v>
      </c>
      <c r="W3" s="100" t="s">
        <v>784</v>
      </c>
      <c r="X3" s="128" t="s">
        <v>953</v>
      </c>
    </row>
    <row r="4" spans="1:24" ht="15" x14ac:dyDescent="0.25">
      <c r="A4" s="101">
        <v>1</v>
      </c>
      <c r="B4" s="102">
        <v>634</v>
      </c>
      <c r="C4" s="102" t="s">
        <v>911</v>
      </c>
      <c r="D4" s="248">
        <v>9987112052</v>
      </c>
      <c r="E4" s="103" t="s">
        <v>1192</v>
      </c>
      <c r="F4" s="104" t="s">
        <v>1228</v>
      </c>
      <c r="G4" s="104" t="s">
        <v>1228</v>
      </c>
      <c r="H4" s="94" t="s">
        <v>880</v>
      </c>
      <c r="I4" s="102" t="s">
        <v>1193</v>
      </c>
      <c r="J4" s="102" t="s">
        <v>1194</v>
      </c>
      <c r="K4" s="105">
        <v>420</v>
      </c>
      <c r="L4" s="102" t="s">
        <v>68</v>
      </c>
      <c r="M4" s="123">
        <f>Table1[[#This Row],[QTY
RECIVED]]-Table1[[#This Row],[QTY 
ISSUED]]</f>
        <v>210</v>
      </c>
      <c r="N4" s="268">
        <f>(Table1[[#This Row],[QTY
RECIVED]]-Table1[[#This Row],[QTY 
ISSUED]])/210</f>
        <v>1</v>
      </c>
      <c r="O4" s="102">
        <f>420-210</f>
        <v>210</v>
      </c>
      <c r="P4" s="270" t="s">
        <v>1198</v>
      </c>
      <c r="Q4" s="206" t="s">
        <v>1221</v>
      </c>
      <c r="R4" s="102" t="s">
        <v>1195</v>
      </c>
      <c r="S4" s="102" t="s">
        <v>1085</v>
      </c>
      <c r="T4" s="257" t="s">
        <v>1147</v>
      </c>
      <c r="U4" s="126"/>
      <c r="V4" s="126"/>
      <c r="W4" s="107"/>
      <c r="X4" s="107"/>
    </row>
    <row r="5" spans="1:24" ht="22.5" x14ac:dyDescent="0.25">
      <c r="A5" s="269"/>
      <c r="B5" s="102" t="s">
        <v>1200</v>
      </c>
      <c r="C5" s="102" t="s">
        <v>720</v>
      </c>
      <c r="D5" s="248" t="s">
        <v>1199</v>
      </c>
      <c r="E5" s="102" t="s">
        <v>1196</v>
      </c>
      <c r="F5" s="102" t="s">
        <v>598</v>
      </c>
      <c r="G5" s="111" t="s">
        <v>598</v>
      </c>
      <c r="H5" s="94" t="s">
        <v>641</v>
      </c>
      <c r="I5" s="94" t="s">
        <v>600</v>
      </c>
      <c r="J5" s="102" t="s">
        <v>1194</v>
      </c>
      <c r="K5" s="105">
        <v>2080</v>
      </c>
      <c r="L5" s="102" t="s">
        <v>68</v>
      </c>
      <c r="M5" s="123">
        <f>Table1[[#This Row],[QTY
RECIVED]]-Table1[[#This Row],[QTY 
ISSUED]]</f>
        <v>1978</v>
      </c>
      <c r="N5" s="268">
        <f>(Table1[[#This Row],[QTY
RECIVED]]-Table1[[#This Row],[QTY 
ISSUED]])/208</f>
        <v>9.509615384615385</v>
      </c>
      <c r="O5" s="102">
        <f>20+82</f>
        <v>102</v>
      </c>
      <c r="P5" s="102" t="s">
        <v>1197</v>
      </c>
      <c r="Q5" s="206" t="s">
        <v>1222</v>
      </c>
      <c r="R5" s="102"/>
      <c r="S5" s="102"/>
      <c r="T5" s="259"/>
      <c r="U5" s="127"/>
      <c r="V5" s="127"/>
      <c r="W5" s="102"/>
      <c r="X5" s="102"/>
    </row>
    <row r="6" spans="1:24" x14ac:dyDescent="0.25">
      <c r="A6" s="101">
        <v>2</v>
      </c>
      <c r="B6" s="102">
        <v>50838</v>
      </c>
      <c r="C6" s="102" t="s">
        <v>909</v>
      </c>
      <c r="D6" s="248">
        <v>9987112482</v>
      </c>
      <c r="E6" s="102" t="s">
        <v>276</v>
      </c>
      <c r="F6" s="102" t="s">
        <v>277</v>
      </c>
      <c r="G6" s="102" t="s">
        <v>383</v>
      </c>
      <c r="H6" s="94" t="s">
        <v>908</v>
      </c>
      <c r="I6" s="102" t="s">
        <v>279</v>
      </c>
      <c r="J6" s="102"/>
      <c r="K6" s="105">
        <v>20</v>
      </c>
      <c r="L6" s="102" t="s">
        <v>68</v>
      </c>
      <c r="M6" s="123">
        <f>Table1[[#This Row],[QTY
RECIVED]]-Table1[[#This Row],[QTY 
ISSUED]]</f>
        <v>0</v>
      </c>
      <c r="N6" s="106">
        <v>0</v>
      </c>
      <c r="O6" s="102">
        <v>20</v>
      </c>
      <c r="P6" s="102" t="s">
        <v>280</v>
      </c>
      <c r="Q6" s="206" t="s">
        <v>281</v>
      </c>
      <c r="R6" s="102"/>
      <c r="S6" s="102"/>
      <c r="T6" s="257" t="s">
        <v>947</v>
      </c>
      <c r="U6" s="127"/>
      <c r="V6" s="127"/>
      <c r="W6" s="102"/>
      <c r="X6" s="102"/>
    </row>
    <row r="7" spans="1:24" x14ac:dyDescent="0.25">
      <c r="A7" s="101">
        <v>3</v>
      </c>
      <c r="B7" s="102">
        <v>74498</v>
      </c>
      <c r="C7" s="102" t="s">
        <v>775</v>
      </c>
      <c r="D7" s="248">
        <v>9987112482</v>
      </c>
      <c r="E7" s="102" t="s">
        <v>282</v>
      </c>
      <c r="F7" s="102" t="s">
        <v>283</v>
      </c>
      <c r="G7" s="102" t="s">
        <v>383</v>
      </c>
      <c r="H7" s="94" t="s">
        <v>908</v>
      </c>
      <c r="I7" s="102" t="s">
        <v>910</v>
      </c>
      <c r="J7" s="102" t="s">
        <v>1217</v>
      </c>
      <c r="K7" s="105">
        <v>200</v>
      </c>
      <c r="L7" s="102" t="s">
        <v>68</v>
      </c>
      <c r="M7" s="123">
        <f>Table1[[#This Row],[QTY
RECIVED]]-Table1[[#This Row],[QTY 
ISSUED]]</f>
        <v>140</v>
      </c>
      <c r="N7" s="106">
        <v>0</v>
      </c>
      <c r="O7" s="102">
        <v>60</v>
      </c>
      <c r="P7" s="102" t="s">
        <v>285</v>
      </c>
      <c r="Q7" s="206" t="s">
        <v>286</v>
      </c>
      <c r="R7" s="102"/>
      <c r="S7" s="102" t="s">
        <v>22</v>
      </c>
      <c r="T7" s="257" t="s">
        <v>947</v>
      </c>
      <c r="U7" s="127">
        <v>12</v>
      </c>
      <c r="V7" s="127">
        <v>25</v>
      </c>
      <c r="W7" s="102" t="s">
        <v>785</v>
      </c>
      <c r="X7" s="102">
        <v>25</v>
      </c>
    </row>
    <row r="8" spans="1:24" ht="22.5" x14ac:dyDescent="0.25">
      <c r="A8" s="101">
        <v>4</v>
      </c>
      <c r="B8" s="102" t="s">
        <v>78</v>
      </c>
      <c r="C8" s="102" t="s">
        <v>229</v>
      </c>
      <c r="D8" s="248">
        <v>9987119082</v>
      </c>
      <c r="E8" s="102" t="s">
        <v>76</v>
      </c>
      <c r="F8" s="102" t="s">
        <v>75</v>
      </c>
      <c r="G8" s="102" t="s">
        <v>383</v>
      </c>
      <c r="H8" s="94" t="s">
        <v>933</v>
      </c>
      <c r="I8" s="102" t="s">
        <v>1205</v>
      </c>
      <c r="J8" s="102"/>
      <c r="K8" s="105">
        <v>208</v>
      </c>
      <c r="L8" s="102" t="s">
        <v>68</v>
      </c>
      <c r="M8" s="123">
        <f>Table1[[#This Row],[QTY
RECIVED]]-Table1[[#This Row],[QTY 
ISSUED]]</f>
        <v>0</v>
      </c>
      <c r="N8" s="106">
        <f>Table1[[#This Row],[INVENTORY]]/208</f>
        <v>0</v>
      </c>
      <c r="O8" s="102">
        <f>20+8+180</f>
        <v>208</v>
      </c>
      <c r="P8" s="102" t="s">
        <v>230</v>
      </c>
      <c r="Q8" s="206" t="s">
        <v>231</v>
      </c>
      <c r="R8" s="102"/>
      <c r="S8" s="102" t="s">
        <v>22</v>
      </c>
      <c r="T8" s="258"/>
      <c r="U8" s="127">
        <v>110</v>
      </c>
      <c r="V8" s="127">
        <v>416</v>
      </c>
      <c r="W8" s="102" t="s">
        <v>785</v>
      </c>
      <c r="X8" s="102">
        <v>416</v>
      </c>
    </row>
    <row r="9" spans="1:24" x14ac:dyDescent="0.25">
      <c r="A9" s="101">
        <v>5</v>
      </c>
      <c r="B9" s="102" t="s">
        <v>78</v>
      </c>
      <c r="C9" s="102" t="s">
        <v>229</v>
      </c>
      <c r="D9" s="248">
        <v>9987119122</v>
      </c>
      <c r="E9" s="102" t="s">
        <v>76</v>
      </c>
      <c r="F9" s="102" t="s">
        <v>75</v>
      </c>
      <c r="G9" s="102" t="s">
        <v>383</v>
      </c>
      <c r="H9" s="94" t="s">
        <v>927</v>
      </c>
      <c r="I9" s="102" t="s">
        <v>1205</v>
      </c>
      <c r="J9" s="102"/>
      <c r="K9" s="105">
        <v>416</v>
      </c>
      <c r="L9" s="102" t="s">
        <v>68</v>
      </c>
      <c r="M9" s="119">
        <f>Table1[[#This Row],[QTY
RECIVED]]-Table1[[#This Row],[QTY 
ISSUED]]</f>
        <v>0</v>
      </c>
      <c r="N9" s="106">
        <f>Table1[[#This Row],[INVENTORY]]/208</f>
        <v>0</v>
      </c>
      <c r="O9" s="102">
        <f>208+208</f>
        <v>416</v>
      </c>
      <c r="P9" s="102" t="s">
        <v>1119</v>
      </c>
      <c r="Q9" s="206" t="s">
        <v>1120</v>
      </c>
      <c r="R9" s="102"/>
      <c r="S9" s="102" t="s">
        <v>52</v>
      </c>
      <c r="T9" s="257" t="s">
        <v>947</v>
      </c>
      <c r="U9" s="127">
        <v>416</v>
      </c>
      <c r="V9" s="127">
        <v>832</v>
      </c>
      <c r="W9" s="102" t="s">
        <v>785</v>
      </c>
      <c r="X9" s="102"/>
    </row>
    <row r="10" spans="1:24" ht="45" x14ac:dyDescent="0.25">
      <c r="A10" s="101">
        <v>6</v>
      </c>
      <c r="B10" s="102" t="s">
        <v>78</v>
      </c>
      <c r="C10" s="102" t="s">
        <v>229</v>
      </c>
      <c r="D10" s="248">
        <v>9987119012</v>
      </c>
      <c r="E10" s="102" t="s">
        <v>76</v>
      </c>
      <c r="F10" s="102" t="s">
        <v>75</v>
      </c>
      <c r="G10" s="102" t="s">
        <v>383</v>
      </c>
      <c r="H10" s="94" t="s">
        <v>884</v>
      </c>
      <c r="I10" s="102" t="s">
        <v>1205</v>
      </c>
      <c r="J10" s="102"/>
      <c r="K10" s="105">
        <v>832</v>
      </c>
      <c r="L10" s="102" t="s">
        <v>68</v>
      </c>
      <c r="M10" s="119">
        <f>Table1[[#This Row],[QTY
RECIVED]]-Table1[[#This Row],[QTY 
ISSUED]]</f>
        <v>0</v>
      </c>
      <c r="N10" s="106">
        <f>Table1[[#This Row],[INVENTORY]]/208</f>
        <v>0</v>
      </c>
      <c r="O10" s="102">
        <f>80+30+208+208+24+20+30+20+208-96+20+80</f>
        <v>832</v>
      </c>
      <c r="P10" s="102" t="s">
        <v>749</v>
      </c>
      <c r="Q10" s="206" t="s">
        <v>750</v>
      </c>
      <c r="R10" s="102" t="s">
        <v>627</v>
      </c>
      <c r="S10" s="102" t="s">
        <v>22</v>
      </c>
      <c r="T10" s="257" t="s">
        <v>947</v>
      </c>
      <c r="U10" s="127">
        <v>416</v>
      </c>
      <c r="V10" s="127">
        <v>832</v>
      </c>
      <c r="W10" s="102" t="s">
        <v>785</v>
      </c>
      <c r="X10" s="102">
        <v>832</v>
      </c>
    </row>
    <row r="11" spans="1:24" ht="33.75" x14ac:dyDescent="0.25">
      <c r="A11" s="101">
        <v>7</v>
      </c>
      <c r="B11" s="102" t="s">
        <v>78</v>
      </c>
      <c r="C11" s="102" t="s">
        <v>229</v>
      </c>
      <c r="D11" s="248">
        <v>9987119112</v>
      </c>
      <c r="E11" s="102" t="s">
        <v>76</v>
      </c>
      <c r="F11" s="102" t="s">
        <v>75</v>
      </c>
      <c r="G11" s="102" t="s">
        <v>383</v>
      </c>
      <c r="H11" s="94" t="s">
        <v>935</v>
      </c>
      <c r="I11" s="102" t="s">
        <v>1205</v>
      </c>
      <c r="J11" s="102"/>
      <c r="K11" s="105">
        <v>208</v>
      </c>
      <c r="L11" s="102" t="s">
        <v>68</v>
      </c>
      <c r="M11" s="123">
        <f>Table1[[#This Row],[QTY
RECIVED]]-Table1[[#This Row],[QTY 
ISSUED]]</f>
        <v>177</v>
      </c>
      <c r="N11" s="106">
        <f>Table1[[#This Row],[INVENTORY]]/208</f>
        <v>0.85096153846153844</v>
      </c>
      <c r="O11" s="102">
        <f>20+3+1+7</f>
        <v>31</v>
      </c>
      <c r="P11" s="102" t="s">
        <v>1099</v>
      </c>
      <c r="Q11" s="206" t="s">
        <v>1102</v>
      </c>
      <c r="R11" s="102" t="s">
        <v>629</v>
      </c>
      <c r="S11" s="102" t="s">
        <v>52</v>
      </c>
      <c r="T11" s="257" t="s">
        <v>947</v>
      </c>
      <c r="U11" s="127">
        <v>45</v>
      </c>
      <c r="V11" s="127">
        <v>208</v>
      </c>
      <c r="W11" s="102" t="s">
        <v>785</v>
      </c>
      <c r="X11" s="102">
        <v>208</v>
      </c>
    </row>
    <row r="12" spans="1:24" ht="22.5" x14ac:dyDescent="0.25">
      <c r="A12" s="101">
        <v>8</v>
      </c>
      <c r="B12" s="102" t="s">
        <v>78</v>
      </c>
      <c r="C12" s="102" t="s">
        <v>229</v>
      </c>
      <c r="D12" s="248" t="s">
        <v>1239</v>
      </c>
      <c r="E12" s="102" t="s">
        <v>76</v>
      </c>
      <c r="F12" s="102" t="s">
        <v>75</v>
      </c>
      <c r="G12" s="102" t="s">
        <v>383</v>
      </c>
      <c r="H12" s="94" t="s">
        <v>929</v>
      </c>
      <c r="I12" s="102" t="s">
        <v>1205</v>
      </c>
      <c r="J12" s="102"/>
      <c r="K12" s="105">
        <v>416</v>
      </c>
      <c r="L12" s="102" t="s">
        <v>68</v>
      </c>
      <c r="M12" s="119">
        <f>Table1[[#This Row],[QTY
RECIVED]]-Table1[[#This Row],[QTY 
ISSUED]]</f>
        <v>0</v>
      </c>
      <c r="N12" s="106">
        <f>Table1[[#This Row],[INVENTORY]]/208</f>
        <v>0</v>
      </c>
      <c r="O12" s="102">
        <f>208+108+2+70+28</f>
        <v>416</v>
      </c>
      <c r="P12" s="102" t="s">
        <v>792</v>
      </c>
      <c r="Q12" s="206" t="s">
        <v>1240</v>
      </c>
      <c r="R12" s="102"/>
      <c r="S12" s="102"/>
      <c r="T12" s="258" t="s">
        <v>947</v>
      </c>
      <c r="U12" s="127">
        <v>208</v>
      </c>
      <c r="V12" s="127">
        <v>416</v>
      </c>
      <c r="W12" s="102" t="s">
        <v>785</v>
      </c>
      <c r="X12" s="102">
        <v>208</v>
      </c>
    </row>
    <row r="13" spans="1:24" ht="11.25" customHeight="1" x14ac:dyDescent="0.25">
      <c r="A13" s="101">
        <v>9</v>
      </c>
      <c r="B13" s="102" t="s">
        <v>78</v>
      </c>
      <c r="C13" s="102" t="s">
        <v>229</v>
      </c>
      <c r="D13" s="248">
        <v>9987119092</v>
      </c>
      <c r="E13" s="102" t="s">
        <v>76</v>
      </c>
      <c r="F13" s="102" t="s">
        <v>75</v>
      </c>
      <c r="G13" s="102" t="s">
        <v>383</v>
      </c>
      <c r="H13" s="94" t="s">
        <v>886</v>
      </c>
      <c r="I13" s="102" t="s">
        <v>1205</v>
      </c>
      <c r="J13" s="102"/>
      <c r="K13" s="105">
        <v>208</v>
      </c>
      <c r="L13" s="102" t="s">
        <v>68</v>
      </c>
      <c r="M13" s="123">
        <f>Table1[[#This Row],[QTY
RECIVED]]-Table1[[#This Row],[QTY 
ISSUED]]</f>
        <v>0</v>
      </c>
      <c r="N13" s="106">
        <f>Table1[[#This Row],[INVENTORY]]/208</f>
        <v>0</v>
      </c>
      <c r="O13" s="102">
        <v>208</v>
      </c>
      <c r="P13" s="102" t="s">
        <v>147</v>
      </c>
      <c r="Q13" s="206" t="s">
        <v>146</v>
      </c>
      <c r="R13" s="102"/>
      <c r="S13" s="102" t="s">
        <v>52</v>
      </c>
      <c r="T13" s="258"/>
      <c r="U13" s="127"/>
      <c r="V13" s="127"/>
      <c r="W13" s="102"/>
      <c r="X13" s="102"/>
    </row>
    <row r="14" spans="1:24" ht="11.25" customHeight="1" x14ac:dyDescent="0.25">
      <c r="A14" s="101">
        <v>10</v>
      </c>
      <c r="B14" s="102" t="s">
        <v>78</v>
      </c>
      <c r="C14" s="102" t="s">
        <v>229</v>
      </c>
      <c r="D14" s="248">
        <v>9987119042</v>
      </c>
      <c r="E14" s="102" t="s">
        <v>76</v>
      </c>
      <c r="F14" s="102" t="s">
        <v>75</v>
      </c>
      <c r="G14" s="102" t="s">
        <v>383</v>
      </c>
      <c r="H14" s="94" t="s">
        <v>913</v>
      </c>
      <c r="I14" s="102" t="s">
        <v>1205</v>
      </c>
      <c r="J14" s="102"/>
      <c r="K14" s="105">
        <v>208</v>
      </c>
      <c r="L14" s="102" t="s">
        <v>68</v>
      </c>
      <c r="M14" s="123">
        <f>Table1[[#This Row],[QTY
RECIVED]]-Table1[[#This Row],[QTY 
ISSUED]]</f>
        <v>68</v>
      </c>
      <c r="N14" s="106">
        <f>Table1[[#This Row],[INVENTORY]]/208</f>
        <v>0.32692307692307693</v>
      </c>
      <c r="O14" s="102">
        <f>208+80+5-153</f>
        <v>140</v>
      </c>
      <c r="P14" s="102" t="s">
        <v>1124</v>
      </c>
      <c r="Q14" s="206" t="s">
        <v>1213</v>
      </c>
      <c r="R14" s="102"/>
      <c r="S14" s="102" t="s">
        <v>602</v>
      </c>
      <c r="T14" s="257" t="s">
        <v>947</v>
      </c>
      <c r="U14" s="127">
        <v>45</v>
      </c>
      <c r="V14" s="127">
        <v>208</v>
      </c>
      <c r="W14" s="102" t="s">
        <v>785</v>
      </c>
      <c r="X14" s="102"/>
    </row>
    <row r="15" spans="1:24" x14ac:dyDescent="0.25">
      <c r="A15" s="101">
        <v>11</v>
      </c>
      <c r="B15" s="102" t="s">
        <v>78</v>
      </c>
      <c r="C15" s="102" t="s">
        <v>229</v>
      </c>
      <c r="D15" s="248">
        <v>9987118972</v>
      </c>
      <c r="E15" s="102" t="s">
        <v>76</v>
      </c>
      <c r="F15" s="102" t="s">
        <v>75</v>
      </c>
      <c r="G15" s="102" t="s">
        <v>383</v>
      </c>
      <c r="H15" s="94" t="s">
        <v>882</v>
      </c>
      <c r="I15" s="102" t="s">
        <v>1205</v>
      </c>
      <c r="J15" s="102"/>
      <c r="K15" s="105">
        <v>208</v>
      </c>
      <c r="L15" s="102" t="s">
        <v>68</v>
      </c>
      <c r="M15" s="123">
        <f>Table1[[#This Row],[QTY
RECIVED]]-Table1[[#This Row],[QTY 
ISSUED]]</f>
        <v>0</v>
      </c>
      <c r="N15" s="106">
        <v>0</v>
      </c>
      <c r="O15" s="102">
        <v>208</v>
      </c>
      <c r="P15" s="102" t="s">
        <v>1208</v>
      </c>
      <c r="Q15" s="206" t="s">
        <v>1209</v>
      </c>
      <c r="R15" s="102"/>
      <c r="S15" s="102" t="s">
        <v>1210</v>
      </c>
      <c r="T15" s="258"/>
      <c r="U15" s="127"/>
      <c r="V15" s="127"/>
      <c r="W15" s="102"/>
      <c r="X15" s="102"/>
    </row>
    <row r="16" spans="1:24" x14ac:dyDescent="0.25">
      <c r="A16" s="101">
        <v>12</v>
      </c>
      <c r="B16" s="102" t="s">
        <v>78</v>
      </c>
      <c r="C16" s="102" t="s">
        <v>229</v>
      </c>
      <c r="D16" s="248">
        <v>9987118982</v>
      </c>
      <c r="E16" s="102" t="s">
        <v>76</v>
      </c>
      <c r="F16" s="102" t="s">
        <v>75</v>
      </c>
      <c r="G16" s="102" t="s">
        <v>383</v>
      </c>
      <c r="H16" s="94" t="s">
        <v>1207</v>
      </c>
      <c r="I16" s="102" t="s">
        <v>1205</v>
      </c>
      <c r="J16" s="102"/>
      <c r="K16" s="105">
        <v>208</v>
      </c>
      <c r="L16" s="102" t="s">
        <v>68</v>
      </c>
      <c r="M16" s="123">
        <f>Table1[[#This Row],[QTY
RECIVED]]-Table1[[#This Row],[QTY 
ISSUED]]</f>
        <v>158</v>
      </c>
      <c r="N16" s="106">
        <f>Table1[[#This Row],[INVENTORY]]/208</f>
        <v>0.75961538461538458</v>
      </c>
      <c r="O16" s="102">
        <f>10+40</f>
        <v>50</v>
      </c>
      <c r="P16" s="102" t="s">
        <v>234</v>
      </c>
      <c r="Q16" s="206" t="s">
        <v>235</v>
      </c>
      <c r="R16" s="102"/>
      <c r="S16" s="102" t="s">
        <v>42</v>
      </c>
      <c r="T16" s="257"/>
      <c r="U16" s="127">
        <v>110</v>
      </c>
      <c r="V16" s="127">
        <v>416</v>
      </c>
      <c r="W16" s="102" t="s">
        <v>785</v>
      </c>
      <c r="X16" s="102">
        <v>208</v>
      </c>
    </row>
    <row r="17" spans="1:24" ht="22.5" x14ac:dyDescent="0.25">
      <c r="A17" s="101">
        <v>13</v>
      </c>
      <c r="B17" s="102" t="s">
        <v>78</v>
      </c>
      <c r="C17" s="102" t="s">
        <v>229</v>
      </c>
      <c r="D17" s="248">
        <v>9987119002</v>
      </c>
      <c r="E17" s="102" t="s">
        <v>76</v>
      </c>
      <c r="F17" s="102" t="s">
        <v>75</v>
      </c>
      <c r="G17" s="102" t="s">
        <v>383</v>
      </c>
      <c r="H17" s="94" t="s">
        <v>883</v>
      </c>
      <c r="I17" s="102" t="s">
        <v>1205</v>
      </c>
      <c r="J17" s="102"/>
      <c r="K17" s="105">
        <v>208</v>
      </c>
      <c r="L17" s="102" t="s">
        <v>68</v>
      </c>
      <c r="M17" s="123">
        <f>Table1[[#This Row],[QTY
RECIVED]]-Table1[[#This Row],[QTY 
ISSUED]]</f>
        <v>0</v>
      </c>
      <c r="N17" s="106">
        <f>Table1[[#This Row],[INVENTORY]]/208</f>
        <v>0</v>
      </c>
      <c r="O17" s="102">
        <f>3+20+2+2+181</f>
        <v>208</v>
      </c>
      <c r="P17" s="102" t="s">
        <v>589</v>
      </c>
      <c r="Q17" s="206" t="s">
        <v>1121</v>
      </c>
      <c r="R17" s="102"/>
      <c r="S17" s="102" t="s">
        <v>52</v>
      </c>
      <c r="T17" s="257" t="s">
        <v>947</v>
      </c>
      <c r="U17" s="127">
        <v>45</v>
      </c>
      <c r="V17" s="127">
        <v>208</v>
      </c>
      <c r="W17" s="102"/>
      <c r="X17" s="102"/>
    </row>
    <row r="18" spans="1:24" ht="22.5" x14ac:dyDescent="0.25">
      <c r="A18" s="101">
        <v>14</v>
      </c>
      <c r="B18" s="102" t="s">
        <v>78</v>
      </c>
      <c r="C18" s="102" t="s">
        <v>229</v>
      </c>
      <c r="D18" s="248">
        <v>9987118952</v>
      </c>
      <c r="E18" s="102" t="s">
        <v>76</v>
      </c>
      <c r="F18" s="102" t="s">
        <v>75</v>
      </c>
      <c r="G18" s="102" t="s">
        <v>383</v>
      </c>
      <c r="H18" s="94" t="s">
        <v>881</v>
      </c>
      <c r="I18" s="102" t="s">
        <v>1205</v>
      </c>
      <c r="J18" s="102"/>
      <c r="K18" s="105">
        <v>208</v>
      </c>
      <c r="L18" s="102" t="s">
        <v>68</v>
      </c>
      <c r="M18" s="123">
        <f>Table1[[#This Row],[QTY
RECIVED]]-Table1[[#This Row],[QTY 
ISSUED]]</f>
        <v>186</v>
      </c>
      <c r="N18" s="106">
        <f>Table1[[#This Row],[INVENTORY]]/Table1[[#This Row],[QTY
RECIVED]]</f>
        <v>0.89423076923076927</v>
      </c>
      <c r="O18" s="102">
        <f>2+10+10</f>
        <v>22</v>
      </c>
      <c r="P18" s="102" t="s">
        <v>782</v>
      </c>
      <c r="Q18" s="206" t="s">
        <v>1218</v>
      </c>
      <c r="R18" s="102"/>
      <c r="S18" s="102"/>
      <c r="T18" s="257" t="s">
        <v>947</v>
      </c>
      <c r="U18" s="127">
        <v>28</v>
      </c>
      <c r="V18" s="127">
        <v>208</v>
      </c>
      <c r="W18" s="102"/>
      <c r="X18" s="102"/>
    </row>
    <row r="19" spans="1:24" ht="22.5" x14ac:dyDescent="0.25">
      <c r="A19" s="101">
        <v>15</v>
      </c>
      <c r="B19" s="102" t="s">
        <v>78</v>
      </c>
      <c r="C19" s="102" t="s">
        <v>229</v>
      </c>
      <c r="D19" s="248">
        <v>9987119072</v>
      </c>
      <c r="E19" s="102" t="s">
        <v>76</v>
      </c>
      <c r="F19" s="102" t="s">
        <v>75</v>
      </c>
      <c r="G19" s="102" t="s">
        <v>383</v>
      </c>
      <c r="H19" s="94" t="s">
        <v>934</v>
      </c>
      <c r="I19" s="102" t="s">
        <v>1205</v>
      </c>
      <c r="J19" s="102"/>
      <c r="K19" s="105">
        <v>416</v>
      </c>
      <c r="L19" s="102" t="s">
        <v>68</v>
      </c>
      <c r="M19" s="123">
        <f>Table1[[#This Row],[QTY
RECIVED]]-Table1[[#This Row],[QTY 
ISSUED]]</f>
        <v>413</v>
      </c>
      <c r="N19" s="106">
        <f>Table1[[#This Row],[INVENTORY]]/208</f>
        <v>1.9855769230769231</v>
      </c>
      <c r="O19" s="102">
        <f>208-208+3</f>
        <v>3</v>
      </c>
      <c r="P19" s="102" t="s">
        <v>976</v>
      </c>
      <c r="Q19" s="206" t="s">
        <v>977</v>
      </c>
      <c r="R19" s="102" t="s">
        <v>904</v>
      </c>
      <c r="S19" s="102"/>
      <c r="T19" s="257" t="s">
        <v>947</v>
      </c>
      <c r="U19" s="127">
        <v>110</v>
      </c>
      <c r="V19" s="127">
        <v>208</v>
      </c>
      <c r="W19" s="102"/>
      <c r="X19" s="102"/>
    </row>
    <row r="20" spans="1:24" ht="45" x14ac:dyDescent="0.25">
      <c r="A20" s="101">
        <v>16</v>
      </c>
      <c r="B20" s="102" t="s">
        <v>78</v>
      </c>
      <c r="C20" s="102" t="s">
        <v>229</v>
      </c>
      <c r="D20" s="248">
        <v>9987119032</v>
      </c>
      <c r="E20" s="102" t="s">
        <v>76</v>
      </c>
      <c r="F20" s="102" t="s">
        <v>75</v>
      </c>
      <c r="G20" s="102" t="s">
        <v>383</v>
      </c>
      <c r="H20" s="94" t="s">
        <v>885</v>
      </c>
      <c r="I20" s="102" t="s">
        <v>1205</v>
      </c>
      <c r="J20" s="102" t="s">
        <v>973</v>
      </c>
      <c r="K20" s="105">
        <v>1248</v>
      </c>
      <c r="L20" s="102" t="s">
        <v>68</v>
      </c>
      <c r="M20" s="119">
        <f>Table1[[#This Row],[QTY
RECIVED]]-Table1[[#This Row],[QTY 
ISSUED]]</f>
        <v>26</v>
      </c>
      <c r="N20" s="106">
        <f>Table1[[#This Row],[INVENTORY]]/208</f>
        <v>0.125</v>
      </c>
      <c r="O20" s="102">
        <f>208+175+20+20+20+208+208+208+15+208+115-208+25</f>
        <v>1222</v>
      </c>
      <c r="P20" s="102" t="s">
        <v>1171</v>
      </c>
      <c r="Q20" s="206" t="s">
        <v>1172</v>
      </c>
      <c r="R20" s="102" t="s">
        <v>628</v>
      </c>
      <c r="S20" s="102" t="s">
        <v>42</v>
      </c>
      <c r="T20" s="257" t="s">
        <v>947</v>
      </c>
      <c r="U20" s="127">
        <v>832</v>
      </c>
      <c r="V20" s="127">
        <v>1664</v>
      </c>
      <c r="W20" s="102" t="s">
        <v>785</v>
      </c>
      <c r="X20" s="102">
        <v>832</v>
      </c>
    </row>
    <row r="21" spans="1:24" x14ac:dyDescent="0.25">
      <c r="A21" s="101">
        <v>17</v>
      </c>
      <c r="B21" s="102">
        <v>2994</v>
      </c>
      <c r="C21" s="102" t="s">
        <v>79</v>
      </c>
      <c r="D21" s="248">
        <v>9987119322</v>
      </c>
      <c r="E21" s="102" t="s">
        <v>81</v>
      </c>
      <c r="F21" s="102" t="s">
        <v>80</v>
      </c>
      <c r="G21" s="102" t="s">
        <v>383</v>
      </c>
      <c r="H21" s="94" t="s">
        <v>928</v>
      </c>
      <c r="I21" s="102" t="s">
        <v>82</v>
      </c>
      <c r="J21" s="102"/>
      <c r="K21" s="105">
        <v>624</v>
      </c>
      <c r="L21" s="102" t="s">
        <v>68</v>
      </c>
      <c r="M21" s="123">
        <f>Table1[[#This Row],[QTY
RECIVED]]-Table1[[#This Row],[QTY 
ISSUED]]</f>
        <v>0</v>
      </c>
      <c r="N21" s="106">
        <v>0</v>
      </c>
      <c r="O21" s="102">
        <f>35+589</f>
        <v>624</v>
      </c>
      <c r="P21" s="102" t="s">
        <v>154</v>
      </c>
      <c r="Q21" s="206" t="s">
        <v>155</v>
      </c>
      <c r="R21" s="102"/>
      <c r="S21" s="102" t="s">
        <v>52</v>
      </c>
      <c r="T21" s="258"/>
      <c r="U21" s="127"/>
      <c r="V21" s="127"/>
      <c r="W21" s="102"/>
      <c r="X21" s="102"/>
    </row>
    <row r="22" spans="1:24" ht="45" x14ac:dyDescent="0.25">
      <c r="A22" s="101">
        <v>18</v>
      </c>
      <c r="B22" s="102"/>
      <c r="C22" s="102"/>
      <c r="D22" s="248">
        <v>9987119102</v>
      </c>
      <c r="E22" s="102" t="s">
        <v>84</v>
      </c>
      <c r="F22" s="102" t="s">
        <v>75</v>
      </c>
      <c r="G22" s="102" t="s">
        <v>383</v>
      </c>
      <c r="H22" s="94" t="s">
        <v>1215</v>
      </c>
      <c r="I22" s="102" t="s">
        <v>1206</v>
      </c>
      <c r="J22" s="102"/>
      <c r="K22" s="105">
        <v>416</v>
      </c>
      <c r="L22" s="102" t="s">
        <v>68</v>
      </c>
      <c r="M22" s="123">
        <f>Table1[[#This Row],[QTY
RECIVED]]-Table1[[#This Row],[QTY 
ISSUED]]</f>
        <v>221.5</v>
      </c>
      <c r="N22" s="106">
        <f>Table1[[#This Row],[INVENTORY]]/208</f>
        <v>1.0649038461538463</v>
      </c>
      <c r="O22" s="108">
        <f>20+4+10+10+30+2+1.5+5+35+5+7+10+20+35</f>
        <v>194.5</v>
      </c>
      <c r="P22" s="102" t="s">
        <v>1047</v>
      </c>
      <c r="Q22" s="206" t="s">
        <v>1046</v>
      </c>
      <c r="R22" s="102"/>
      <c r="S22" s="102" t="s">
        <v>52</v>
      </c>
      <c r="T22" s="257" t="s">
        <v>947</v>
      </c>
      <c r="U22" s="127"/>
      <c r="V22" s="127"/>
      <c r="W22" s="102"/>
      <c r="X22" s="102"/>
    </row>
    <row r="23" spans="1:24" x14ac:dyDescent="0.25">
      <c r="A23" s="101">
        <v>19</v>
      </c>
      <c r="B23" s="102"/>
      <c r="C23" s="102"/>
      <c r="D23" s="248">
        <v>9987118992</v>
      </c>
      <c r="E23" s="102" t="s">
        <v>84</v>
      </c>
      <c r="F23" s="102" t="s">
        <v>75</v>
      </c>
      <c r="G23" s="102" t="s">
        <v>383</v>
      </c>
      <c r="H23" s="94" t="s">
        <v>887</v>
      </c>
      <c r="I23" s="102" t="s">
        <v>1206</v>
      </c>
      <c r="J23" s="102"/>
      <c r="K23" s="105">
        <v>208</v>
      </c>
      <c r="L23" s="102" t="s">
        <v>68</v>
      </c>
      <c r="M23" s="123">
        <f>Table1[[#This Row],[QTY
RECIVED]]-Table1[[#This Row],[QTY 
ISSUED]]</f>
        <v>0</v>
      </c>
      <c r="N23" s="106">
        <f>Table1[[#This Row],[INVENTORY]]/208</f>
        <v>0</v>
      </c>
      <c r="O23" s="102">
        <v>208</v>
      </c>
      <c r="P23" s="102" t="s">
        <v>1122</v>
      </c>
      <c r="Q23" s="206">
        <v>4427</v>
      </c>
      <c r="R23" s="102"/>
      <c r="S23" s="102"/>
      <c r="T23" s="259"/>
      <c r="U23" s="127">
        <v>110</v>
      </c>
      <c r="V23" s="127">
        <v>208</v>
      </c>
      <c r="W23" s="102"/>
      <c r="X23" s="102"/>
    </row>
    <row r="24" spans="1:24" x14ac:dyDescent="0.25">
      <c r="A24" s="101">
        <v>20</v>
      </c>
      <c r="B24" s="102">
        <v>68282</v>
      </c>
      <c r="C24" s="102" t="s">
        <v>85</v>
      </c>
      <c r="D24" s="248">
        <v>9987118972</v>
      </c>
      <c r="E24" s="102" t="s">
        <v>86</v>
      </c>
      <c r="F24" s="102" t="s">
        <v>80</v>
      </c>
      <c r="G24" s="102" t="s">
        <v>383</v>
      </c>
      <c r="H24" s="94" t="s">
        <v>882</v>
      </c>
      <c r="I24" s="102" t="s">
        <v>83</v>
      </c>
      <c r="J24" s="102"/>
      <c r="K24" s="105">
        <v>208</v>
      </c>
      <c r="L24" s="102" t="s">
        <v>68</v>
      </c>
      <c r="M24" s="123">
        <f>Table1[[#This Row],[QTY
RECIVED]]-Table1[[#This Row],[QTY 
ISSUED]]</f>
        <v>0</v>
      </c>
      <c r="N24" s="106">
        <v>0</v>
      </c>
      <c r="O24" s="102">
        <v>208</v>
      </c>
      <c r="P24" s="102" t="s">
        <v>407</v>
      </c>
      <c r="Q24" s="206" t="s">
        <v>233</v>
      </c>
      <c r="R24" s="102"/>
      <c r="S24" s="102" t="s">
        <v>52</v>
      </c>
      <c r="T24" s="259"/>
      <c r="U24" s="127"/>
      <c r="V24" s="127"/>
      <c r="W24" s="102"/>
      <c r="X24" s="102"/>
    </row>
    <row r="25" spans="1:24" ht="22.5" x14ac:dyDescent="0.25">
      <c r="A25" s="101">
        <v>21</v>
      </c>
      <c r="B25" s="102">
        <v>68282</v>
      </c>
      <c r="C25" s="102" t="s">
        <v>85</v>
      </c>
      <c r="D25" s="248">
        <v>9987118962</v>
      </c>
      <c r="E25" s="102" t="s">
        <v>86</v>
      </c>
      <c r="F25" s="102" t="s">
        <v>80</v>
      </c>
      <c r="G25" s="102" t="s">
        <v>383</v>
      </c>
      <c r="H25" s="94" t="s">
        <v>888</v>
      </c>
      <c r="I25" s="102" t="s">
        <v>83</v>
      </c>
      <c r="J25" s="102"/>
      <c r="K25" s="105">
        <v>624</v>
      </c>
      <c r="L25" s="102" t="s">
        <v>68</v>
      </c>
      <c r="M25" s="123">
        <f>Table1[[#This Row],[QTY
RECIVED]]-Table1[[#This Row],[QTY 
ISSUED]]</f>
        <v>0</v>
      </c>
      <c r="N25" s="106">
        <f>Table1[[#This Row],[INVENTORY]]/208</f>
        <v>0</v>
      </c>
      <c r="O25" s="102">
        <f>208+208+208</f>
        <v>624</v>
      </c>
      <c r="P25" s="102" t="s">
        <v>526</v>
      </c>
      <c r="Q25" s="206" t="s">
        <v>525</v>
      </c>
      <c r="R25" s="102"/>
      <c r="S25" s="102" t="s">
        <v>52</v>
      </c>
      <c r="T25" s="257"/>
      <c r="U25" s="127"/>
      <c r="V25" s="127"/>
      <c r="W25" s="102"/>
      <c r="X25" s="102"/>
    </row>
    <row r="26" spans="1:24" ht="11.25" customHeight="1" x14ac:dyDescent="0.15">
      <c r="A26" s="101">
        <v>22</v>
      </c>
      <c r="B26" s="102">
        <v>230303</v>
      </c>
      <c r="C26" s="102" t="s">
        <v>92</v>
      </c>
      <c r="D26" s="248">
        <v>9987119132</v>
      </c>
      <c r="E26" s="102" t="s">
        <v>93</v>
      </c>
      <c r="F26" s="102" t="s">
        <v>94</v>
      </c>
      <c r="G26" s="102" t="s">
        <v>465</v>
      </c>
      <c r="H26" s="94" t="s">
        <v>889</v>
      </c>
      <c r="I26" s="102" t="s">
        <v>226</v>
      </c>
      <c r="J26" s="109" t="s">
        <v>95</v>
      </c>
      <c r="K26" s="110">
        <v>2090</v>
      </c>
      <c r="L26" s="102" t="s">
        <v>68</v>
      </c>
      <c r="M26" s="123">
        <f>Table1[[#This Row],[QTY
RECIVED]]-Table1[[#This Row],[QTY 
ISSUED]]</f>
        <v>0</v>
      </c>
      <c r="N26" s="106">
        <f>Table1[[#This Row],[INVENTORY]]/208</f>
        <v>0</v>
      </c>
      <c r="O26" s="102">
        <f>627+1045+209+209+208+208+170-586</f>
        <v>2090</v>
      </c>
      <c r="P26" s="102" t="s">
        <v>405</v>
      </c>
      <c r="Q26" s="206" t="s">
        <v>406</v>
      </c>
      <c r="R26" s="102"/>
      <c r="S26" s="102" t="s">
        <v>22</v>
      </c>
      <c r="T26" s="265"/>
      <c r="U26" s="127"/>
      <c r="V26" s="127"/>
      <c r="W26" s="102"/>
      <c r="X26" s="102"/>
    </row>
    <row r="27" spans="1:24" x14ac:dyDescent="0.25">
      <c r="A27" s="101">
        <v>23</v>
      </c>
      <c r="B27" s="102">
        <v>68280</v>
      </c>
      <c r="C27" s="102" t="s">
        <v>120</v>
      </c>
      <c r="D27" s="248">
        <v>9987118972</v>
      </c>
      <c r="E27" s="102" t="s">
        <v>121</v>
      </c>
      <c r="F27" s="102" t="s">
        <v>80</v>
      </c>
      <c r="G27" s="102" t="s">
        <v>383</v>
      </c>
      <c r="H27" s="94" t="s">
        <v>882</v>
      </c>
      <c r="I27" s="102" t="s">
        <v>119</v>
      </c>
      <c r="J27" s="102"/>
      <c r="K27" s="105">
        <v>416</v>
      </c>
      <c r="L27" s="102" t="s">
        <v>68</v>
      </c>
      <c r="M27" s="123">
        <f>Table1[[#This Row],[QTY
RECIVED]]-Table1[[#This Row],[QTY 
ISSUED]]</f>
        <v>0</v>
      </c>
      <c r="N27" s="106">
        <v>0</v>
      </c>
      <c r="O27" s="102">
        <f>120+296</f>
        <v>416</v>
      </c>
      <c r="P27" s="102" t="s">
        <v>409</v>
      </c>
      <c r="Q27" s="206" t="s">
        <v>1202</v>
      </c>
      <c r="R27" s="102"/>
      <c r="S27" s="102" t="s">
        <v>22</v>
      </c>
      <c r="T27" s="259"/>
      <c r="U27" s="127"/>
      <c r="V27" s="127"/>
      <c r="W27" s="102"/>
      <c r="X27" s="102"/>
    </row>
    <row r="28" spans="1:24" ht="45" x14ac:dyDescent="0.25">
      <c r="A28" s="101">
        <v>24</v>
      </c>
      <c r="B28" s="102">
        <v>68280</v>
      </c>
      <c r="C28" s="102" t="s">
        <v>120</v>
      </c>
      <c r="D28" s="248">
        <v>9987118962</v>
      </c>
      <c r="E28" s="102" t="s">
        <v>121</v>
      </c>
      <c r="F28" s="102" t="s">
        <v>80</v>
      </c>
      <c r="G28" s="102" t="s">
        <v>383</v>
      </c>
      <c r="H28" s="94" t="s">
        <v>888</v>
      </c>
      <c r="I28" s="102" t="s">
        <v>119</v>
      </c>
      <c r="J28" s="102"/>
      <c r="K28" s="105">
        <v>416</v>
      </c>
      <c r="L28" s="102" t="s">
        <v>68</v>
      </c>
      <c r="M28" s="123">
        <f>Table1[[#This Row],[QTY
RECIVED]]-Table1[[#This Row],[QTY 
ISSUED]]</f>
        <v>68</v>
      </c>
      <c r="N28" s="106">
        <f>Table1[[#This Row],[INVENTORY]]/208</f>
        <v>0.32692307692307693</v>
      </c>
      <c r="O28" s="102">
        <f>50+100+55+60+30+8+25+20</f>
        <v>348</v>
      </c>
      <c r="P28" s="102" t="s">
        <v>1235</v>
      </c>
      <c r="Q28" s="206" t="s">
        <v>1236</v>
      </c>
      <c r="R28" s="102"/>
      <c r="S28" s="102" t="s">
        <v>22</v>
      </c>
      <c r="T28" s="257" t="s">
        <v>947</v>
      </c>
      <c r="U28" s="127"/>
      <c r="V28" s="127"/>
      <c r="W28" s="102"/>
      <c r="X28" s="102"/>
    </row>
    <row r="29" spans="1:24" x14ac:dyDescent="0.25">
      <c r="A29" s="101">
        <v>25</v>
      </c>
      <c r="B29" s="102">
        <v>6844</v>
      </c>
      <c r="C29" s="102" t="s">
        <v>744</v>
      </c>
      <c r="D29" s="248" t="s">
        <v>754</v>
      </c>
      <c r="E29" s="102" t="s">
        <v>287</v>
      </c>
      <c r="F29" s="102" t="s">
        <v>288</v>
      </c>
      <c r="G29" s="102" t="s">
        <v>384</v>
      </c>
      <c r="H29" s="94" t="s">
        <v>891</v>
      </c>
      <c r="I29" s="102" t="s">
        <v>290</v>
      </c>
      <c r="J29" s="102"/>
      <c r="K29" s="105">
        <v>20</v>
      </c>
      <c r="L29" s="102" t="s">
        <v>289</v>
      </c>
      <c r="M29" s="123">
        <f>Table1[[#This Row],[QTY
RECIVED]]-Table1[[#This Row],[QTY 
ISSUED]]</f>
        <v>10</v>
      </c>
      <c r="N29" s="106">
        <v>0</v>
      </c>
      <c r="O29" s="102">
        <v>10</v>
      </c>
      <c r="P29" s="102" t="s">
        <v>293</v>
      </c>
      <c r="Q29" s="206" t="s">
        <v>294</v>
      </c>
      <c r="R29" s="102"/>
      <c r="S29" s="102"/>
      <c r="T29" s="257" t="s">
        <v>947</v>
      </c>
      <c r="U29" s="127"/>
      <c r="V29" s="127"/>
      <c r="W29" s="102"/>
      <c r="X29" s="102"/>
    </row>
    <row r="30" spans="1:24" x14ac:dyDescent="0.25">
      <c r="A30" s="101">
        <v>26</v>
      </c>
      <c r="B30" s="102">
        <v>6844</v>
      </c>
      <c r="C30" s="102" t="s">
        <v>744</v>
      </c>
      <c r="D30" s="248">
        <v>9987112342</v>
      </c>
      <c r="E30" s="102" t="s">
        <v>287</v>
      </c>
      <c r="F30" s="102" t="s">
        <v>288</v>
      </c>
      <c r="G30" s="102" t="s">
        <v>384</v>
      </c>
      <c r="H30" s="94" t="s">
        <v>852</v>
      </c>
      <c r="I30" s="102" t="s">
        <v>290</v>
      </c>
      <c r="J30" s="102"/>
      <c r="K30" s="105">
        <v>209</v>
      </c>
      <c r="L30" s="102" t="s">
        <v>289</v>
      </c>
      <c r="M30" s="123">
        <f>Table1[[#This Row],[QTY
RECIVED]]-Table1[[#This Row],[QTY 
ISSUED]]</f>
        <v>170</v>
      </c>
      <c r="N30" s="106">
        <f>Table1[[#This Row],[INVENTORY]]/209</f>
        <v>0.8133971291866029</v>
      </c>
      <c r="O30" s="102">
        <f>95-56</f>
        <v>39</v>
      </c>
      <c r="P30" s="102" t="s">
        <v>291</v>
      </c>
      <c r="Q30" s="206" t="s">
        <v>292</v>
      </c>
      <c r="R30" s="102"/>
      <c r="S30" s="102"/>
      <c r="T30" s="257" t="s">
        <v>947</v>
      </c>
      <c r="U30" s="127"/>
      <c r="V30" s="127"/>
      <c r="W30" s="102"/>
      <c r="X30" s="102"/>
    </row>
    <row r="31" spans="1:24" x14ac:dyDescent="0.25">
      <c r="A31" s="101">
        <v>28</v>
      </c>
      <c r="B31" s="102"/>
      <c r="C31" s="102" t="s">
        <v>743</v>
      </c>
      <c r="D31" s="248"/>
      <c r="E31" s="102" t="s">
        <v>390</v>
      </c>
      <c r="F31" s="102" t="s">
        <v>391</v>
      </c>
      <c r="G31" s="102"/>
      <c r="H31" s="94" t="s">
        <v>936</v>
      </c>
      <c r="I31" s="102" t="s">
        <v>392</v>
      </c>
      <c r="J31" s="102" t="s">
        <v>398</v>
      </c>
      <c r="K31" s="105">
        <v>169</v>
      </c>
      <c r="L31" s="102" t="s">
        <v>68</v>
      </c>
      <c r="M31" s="119">
        <f>Table1[[#This Row],[QTY
RECIVED]]-Table1[[#This Row],[QTY 
ISSUED]]</f>
        <v>0</v>
      </c>
      <c r="N31" s="106">
        <f>Table1[[#This Row],[INVENTORY]]/208</f>
        <v>0</v>
      </c>
      <c r="O31" s="102">
        <v>169</v>
      </c>
      <c r="P31" s="102"/>
      <c r="Q31" s="206"/>
      <c r="R31" s="102"/>
      <c r="S31" s="102"/>
      <c r="T31" s="257"/>
      <c r="U31" s="127"/>
      <c r="V31" s="127"/>
      <c r="W31" s="102"/>
      <c r="X31" s="102"/>
    </row>
    <row r="32" spans="1:24" x14ac:dyDescent="0.25">
      <c r="A32" s="101">
        <v>29</v>
      </c>
      <c r="B32" s="102" t="s">
        <v>344</v>
      </c>
      <c r="C32" s="102" t="s">
        <v>345</v>
      </c>
      <c r="D32" s="248">
        <v>9987112312</v>
      </c>
      <c r="E32" s="102" t="s">
        <v>346</v>
      </c>
      <c r="F32" s="102" t="s">
        <v>22</v>
      </c>
      <c r="G32" s="102" t="s">
        <v>384</v>
      </c>
      <c r="H32" s="94" t="s">
        <v>916</v>
      </c>
      <c r="I32" s="102" t="s">
        <v>347</v>
      </c>
      <c r="J32" s="102"/>
      <c r="K32" s="105">
        <v>20</v>
      </c>
      <c r="L32" s="102" t="s">
        <v>68</v>
      </c>
      <c r="M32" s="123">
        <f>Table1[[#This Row],[QTY
RECIVED]]-Table1[[#This Row],[QTY 
ISSUED]]</f>
        <v>12</v>
      </c>
      <c r="N32" s="106">
        <f>Table1[[#This Row],[INVENTORY]]/208</f>
        <v>5.7692307692307696E-2</v>
      </c>
      <c r="O32" s="102">
        <v>8</v>
      </c>
      <c r="P32" s="102" t="s">
        <v>354</v>
      </c>
      <c r="Q32" s="206" t="s">
        <v>355</v>
      </c>
      <c r="R32" s="102"/>
      <c r="S32" s="102" t="s">
        <v>22</v>
      </c>
      <c r="T32" s="257"/>
      <c r="U32" s="127"/>
      <c r="V32" s="127"/>
      <c r="W32" s="102"/>
      <c r="X32" s="102"/>
    </row>
    <row r="33" spans="1:24" ht="11.25" customHeight="1" x14ac:dyDescent="0.25">
      <c r="A33" s="101">
        <v>30</v>
      </c>
      <c r="B33" s="102" t="s">
        <v>344</v>
      </c>
      <c r="C33" s="102" t="s">
        <v>345</v>
      </c>
      <c r="D33" s="248">
        <v>9987118702</v>
      </c>
      <c r="E33" s="102" t="s">
        <v>346</v>
      </c>
      <c r="F33" s="102" t="s">
        <v>22</v>
      </c>
      <c r="G33" s="102" t="s">
        <v>384</v>
      </c>
      <c r="H33" s="94" t="s">
        <v>892</v>
      </c>
      <c r="I33" s="102" t="s">
        <v>347</v>
      </c>
      <c r="J33" s="102"/>
      <c r="K33" s="105">
        <v>20</v>
      </c>
      <c r="L33" s="102" t="s">
        <v>68</v>
      </c>
      <c r="M33" s="123">
        <f>Table1[[#This Row],[QTY
RECIVED]]-Table1[[#This Row],[QTY 
ISSUED]]</f>
        <v>20</v>
      </c>
      <c r="N33" s="106">
        <v>0</v>
      </c>
      <c r="O33" s="102"/>
      <c r="P33" s="102" t="s">
        <v>903</v>
      </c>
      <c r="Q33" s="206"/>
      <c r="R33" s="102"/>
      <c r="S33" s="102"/>
      <c r="T33" s="257" t="s">
        <v>947</v>
      </c>
      <c r="U33" s="127"/>
      <c r="V33" s="127"/>
      <c r="W33" s="102"/>
      <c r="X33" s="102"/>
    </row>
    <row r="34" spans="1:24" x14ac:dyDescent="0.25">
      <c r="A34" s="101">
        <v>31</v>
      </c>
      <c r="B34" s="102" t="s">
        <v>344</v>
      </c>
      <c r="C34" s="102" t="s">
        <v>345</v>
      </c>
      <c r="D34" s="248" t="s">
        <v>754</v>
      </c>
      <c r="E34" s="102" t="s">
        <v>346</v>
      </c>
      <c r="F34" s="102" t="s">
        <v>22</v>
      </c>
      <c r="G34" s="102" t="s">
        <v>384</v>
      </c>
      <c r="H34" s="94" t="s">
        <v>891</v>
      </c>
      <c r="I34" s="102" t="s">
        <v>347</v>
      </c>
      <c r="J34" s="102"/>
      <c r="K34" s="105">
        <v>20</v>
      </c>
      <c r="L34" s="102" t="s">
        <v>68</v>
      </c>
      <c r="M34" s="123">
        <f>Table1[[#This Row],[QTY
RECIVED]]-Table1[[#This Row],[QTY 
ISSUED]]</f>
        <v>20</v>
      </c>
      <c r="N34" s="106">
        <v>0</v>
      </c>
      <c r="O34" s="102"/>
      <c r="P34" s="102" t="s">
        <v>903</v>
      </c>
      <c r="Q34" s="206"/>
      <c r="R34" s="102"/>
      <c r="S34" s="102"/>
      <c r="T34" s="257" t="s">
        <v>947</v>
      </c>
      <c r="U34" s="127"/>
      <c r="V34" s="127"/>
      <c r="W34" s="102"/>
      <c r="X34" s="102"/>
    </row>
    <row r="35" spans="1:24" x14ac:dyDescent="0.25">
      <c r="A35" s="101">
        <v>32</v>
      </c>
      <c r="B35" s="102" t="s">
        <v>344</v>
      </c>
      <c r="C35" s="102" t="s">
        <v>345</v>
      </c>
      <c r="D35" s="248" t="s">
        <v>1238</v>
      </c>
      <c r="E35" s="102" t="s">
        <v>346</v>
      </c>
      <c r="F35" s="102" t="s">
        <v>22</v>
      </c>
      <c r="G35" s="102" t="s">
        <v>384</v>
      </c>
      <c r="H35" s="94" t="s">
        <v>855</v>
      </c>
      <c r="I35" s="102" t="s">
        <v>347</v>
      </c>
      <c r="J35" s="102"/>
      <c r="K35" s="105">
        <v>40</v>
      </c>
      <c r="L35" s="102" t="s">
        <v>68</v>
      </c>
      <c r="M35" s="123">
        <f>Table1[[#This Row],[QTY
RECIVED]]-Table1[[#This Row],[QTY 
ISSUED]]</f>
        <v>20</v>
      </c>
      <c r="N35" s="106">
        <v>0</v>
      </c>
      <c r="O35" s="102">
        <v>20</v>
      </c>
      <c r="P35" s="102" t="s">
        <v>364</v>
      </c>
      <c r="Q35" s="206" t="s">
        <v>355</v>
      </c>
      <c r="R35" s="102"/>
      <c r="S35" s="102" t="s">
        <v>22</v>
      </c>
      <c r="T35" s="257" t="s">
        <v>947</v>
      </c>
      <c r="U35" s="127"/>
      <c r="V35" s="127"/>
      <c r="W35" s="102"/>
      <c r="X35" s="102"/>
    </row>
    <row r="36" spans="1:24" ht="11.25" customHeight="1" x14ac:dyDescent="0.25">
      <c r="A36" s="101">
        <v>33</v>
      </c>
      <c r="B36" s="102"/>
      <c r="C36" s="102"/>
      <c r="D36" s="248" t="s">
        <v>1219</v>
      </c>
      <c r="E36" s="102" t="s">
        <v>346</v>
      </c>
      <c r="F36" s="102" t="s">
        <v>22</v>
      </c>
      <c r="G36" s="102"/>
      <c r="H36" s="94" t="s">
        <v>920</v>
      </c>
      <c r="I36" s="102" t="s">
        <v>347</v>
      </c>
      <c r="J36" s="102"/>
      <c r="K36" s="105">
        <f>180+20</f>
        <v>200</v>
      </c>
      <c r="L36" s="102" t="s">
        <v>68</v>
      </c>
      <c r="M36" s="123">
        <f>Table1[[#This Row],[QTY
RECIVED]]-Table1[[#This Row],[QTY 
ISSUED]]</f>
        <v>200</v>
      </c>
      <c r="N36" s="106">
        <v>0</v>
      </c>
      <c r="O36" s="102"/>
      <c r="P36" s="102"/>
      <c r="Q36" s="206"/>
      <c r="R36" s="102"/>
      <c r="S36" s="102"/>
      <c r="T36" s="257" t="s">
        <v>947</v>
      </c>
      <c r="U36" s="127"/>
      <c r="V36" s="127"/>
      <c r="W36" s="102"/>
      <c r="X36" s="102" t="s">
        <v>1237</v>
      </c>
    </row>
    <row r="37" spans="1:24" x14ac:dyDescent="0.25">
      <c r="A37" s="101">
        <v>34</v>
      </c>
      <c r="B37" s="102" t="s">
        <v>344</v>
      </c>
      <c r="C37" s="102" t="s">
        <v>345</v>
      </c>
      <c r="D37" s="248">
        <v>9987118972</v>
      </c>
      <c r="E37" s="102" t="s">
        <v>346</v>
      </c>
      <c r="F37" s="102" t="s">
        <v>22</v>
      </c>
      <c r="G37" s="102" t="s">
        <v>384</v>
      </c>
      <c r="H37" s="94" t="s">
        <v>882</v>
      </c>
      <c r="I37" s="102" t="s">
        <v>347</v>
      </c>
      <c r="J37" s="102"/>
      <c r="K37" s="105">
        <v>208</v>
      </c>
      <c r="L37" s="102" t="s">
        <v>68</v>
      </c>
      <c r="M37" s="123">
        <f>Table1[[#This Row],[QTY
RECIVED]]-Table1[[#This Row],[QTY 
ISSUED]]</f>
        <v>0</v>
      </c>
      <c r="N37" s="106">
        <v>0</v>
      </c>
      <c r="O37" s="102">
        <v>208</v>
      </c>
      <c r="P37" s="102" t="s">
        <v>362</v>
      </c>
      <c r="Q37" s="206" t="s">
        <v>363</v>
      </c>
      <c r="R37" s="102"/>
      <c r="S37" s="102" t="s">
        <v>22</v>
      </c>
      <c r="T37" s="257"/>
      <c r="U37" s="127"/>
      <c r="V37" s="127"/>
      <c r="W37" s="102"/>
      <c r="X37" s="102"/>
    </row>
    <row r="38" spans="1:24" x14ac:dyDescent="0.25">
      <c r="A38" s="101">
        <v>35</v>
      </c>
      <c r="B38" s="102" t="s">
        <v>344</v>
      </c>
      <c r="C38" s="102" t="s">
        <v>345</v>
      </c>
      <c r="D38" s="248">
        <v>9987112372</v>
      </c>
      <c r="E38" s="102" t="s">
        <v>346</v>
      </c>
      <c r="F38" s="102" t="s">
        <v>22</v>
      </c>
      <c r="G38" s="102" t="s">
        <v>384</v>
      </c>
      <c r="H38" s="94" t="s">
        <v>888</v>
      </c>
      <c r="I38" s="102" t="s">
        <v>347</v>
      </c>
      <c r="J38" s="102"/>
      <c r="K38" s="105">
        <v>208</v>
      </c>
      <c r="L38" s="102" t="s">
        <v>68</v>
      </c>
      <c r="M38" s="123">
        <f>Table1[[#This Row],[QTY
RECIVED]]-Table1[[#This Row],[QTY 
ISSUED]]</f>
        <v>0</v>
      </c>
      <c r="N38" s="106">
        <v>0</v>
      </c>
      <c r="O38" s="102">
        <v>208</v>
      </c>
      <c r="P38" s="102" t="s">
        <v>360</v>
      </c>
      <c r="Q38" s="206" t="s">
        <v>361</v>
      </c>
      <c r="R38" s="102"/>
      <c r="S38" s="102" t="s">
        <v>22</v>
      </c>
      <c r="T38" s="257"/>
      <c r="U38" s="127"/>
      <c r="V38" s="127"/>
      <c r="W38" s="102"/>
      <c r="X38" s="102"/>
    </row>
    <row r="39" spans="1:24" x14ac:dyDescent="0.25">
      <c r="A39" s="101">
        <v>36</v>
      </c>
      <c r="B39" s="102" t="s">
        <v>344</v>
      </c>
      <c r="C39" s="102" t="s">
        <v>345</v>
      </c>
      <c r="D39" s="248">
        <v>9987118812</v>
      </c>
      <c r="E39" s="102" t="s">
        <v>346</v>
      </c>
      <c r="F39" s="102" t="s">
        <v>22</v>
      </c>
      <c r="G39" s="102" t="s">
        <v>382</v>
      </c>
      <c r="H39" s="94" t="s">
        <v>357</v>
      </c>
      <c r="I39" s="102" t="s">
        <v>347</v>
      </c>
      <c r="J39" s="102"/>
      <c r="K39" s="105">
        <v>20</v>
      </c>
      <c r="L39" s="102" t="s">
        <v>68</v>
      </c>
      <c r="M39" s="123">
        <f>Table1[[#This Row],[QTY
RECIVED]]-Table1[[#This Row],[QTY 
ISSUED]]</f>
        <v>0</v>
      </c>
      <c r="N39" s="106">
        <v>0</v>
      </c>
      <c r="O39" s="102">
        <v>20</v>
      </c>
      <c r="P39" s="102" t="s">
        <v>358</v>
      </c>
      <c r="Q39" s="206" t="s">
        <v>359</v>
      </c>
      <c r="R39" s="102"/>
      <c r="S39" s="102" t="s">
        <v>22</v>
      </c>
      <c r="T39" s="257"/>
      <c r="U39" s="127"/>
      <c r="V39" s="127"/>
      <c r="W39" s="102"/>
      <c r="X39" s="102"/>
    </row>
    <row r="40" spans="1:24" x14ac:dyDescent="0.25">
      <c r="A40" s="101">
        <v>37</v>
      </c>
      <c r="B40" s="102" t="s">
        <v>344</v>
      </c>
      <c r="C40" s="102" t="s">
        <v>345</v>
      </c>
      <c r="D40" s="248">
        <v>9987119262</v>
      </c>
      <c r="E40" s="102" t="s">
        <v>346</v>
      </c>
      <c r="F40" s="102" t="s">
        <v>22</v>
      </c>
      <c r="G40" s="102" t="s">
        <v>382</v>
      </c>
      <c r="H40" s="94" t="s">
        <v>890</v>
      </c>
      <c r="I40" s="102" t="s">
        <v>347</v>
      </c>
      <c r="J40" s="102"/>
      <c r="K40" s="105">
        <v>416</v>
      </c>
      <c r="L40" s="102" t="s">
        <v>68</v>
      </c>
      <c r="M40" s="123">
        <f>Table1[[#This Row],[QTY
RECIVED]]-Table1[[#This Row],[QTY 
ISSUED]]</f>
        <v>0</v>
      </c>
      <c r="N40" s="106">
        <f>Table1[[#This Row],[INVENTORY]]/208</f>
        <v>0</v>
      </c>
      <c r="O40" s="102">
        <v>416</v>
      </c>
      <c r="P40" s="102" t="s">
        <v>123</v>
      </c>
      <c r="Q40" s="206" t="s">
        <v>356</v>
      </c>
      <c r="R40" s="102"/>
      <c r="S40" s="102" t="s">
        <v>22</v>
      </c>
      <c r="T40" s="260"/>
      <c r="U40" s="127"/>
      <c r="V40" s="127"/>
      <c r="W40" s="102"/>
      <c r="X40" s="102"/>
    </row>
    <row r="41" spans="1:24" x14ac:dyDescent="0.25">
      <c r="A41" s="101">
        <v>38</v>
      </c>
      <c r="B41" s="102" t="s">
        <v>344</v>
      </c>
      <c r="C41" s="102" t="s">
        <v>345</v>
      </c>
      <c r="D41" s="248">
        <v>9987009302</v>
      </c>
      <c r="E41" s="102" t="s">
        <v>346</v>
      </c>
      <c r="F41" s="102" t="s">
        <v>22</v>
      </c>
      <c r="G41" s="102" t="s">
        <v>382</v>
      </c>
      <c r="H41" s="94" t="s">
        <v>924</v>
      </c>
      <c r="I41" s="102" t="s">
        <v>347</v>
      </c>
      <c r="J41" s="102" t="s">
        <v>900</v>
      </c>
      <c r="K41" s="105">
        <v>4994</v>
      </c>
      <c r="L41" s="102" t="s">
        <v>68</v>
      </c>
      <c r="M41" s="123">
        <f>Table1[[#This Row],[QTY
RECIVED]]-Table1[[#This Row],[QTY 
ISSUED]]</f>
        <v>0</v>
      </c>
      <c r="N41" s="106">
        <f>Table1[[#This Row],[INVENTORY]]/208</f>
        <v>0</v>
      </c>
      <c r="O41" s="102">
        <f>20+496+4478</f>
        <v>4994</v>
      </c>
      <c r="P41" s="102" t="s">
        <v>348</v>
      </c>
      <c r="Q41" s="206" t="s">
        <v>349</v>
      </c>
      <c r="R41" s="102"/>
      <c r="S41" s="102" t="s">
        <v>42</v>
      </c>
      <c r="T41" s="260"/>
      <c r="U41" s="127"/>
      <c r="V41" s="127"/>
      <c r="W41" s="102"/>
      <c r="X41" s="102"/>
    </row>
    <row r="42" spans="1:24" ht="33.75" x14ac:dyDescent="0.25">
      <c r="A42" s="101">
        <v>39</v>
      </c>
      <c r="B42" s="102">
        <v>57918</v>
      </c>
      <c r="C42" s="102" t="s">
        <v>742</v>
      </c>
      <c r="D42" s="248">
        <v>9987118982</v>
      </c>
      <c r="E42" s="102" t="s">
        <v>297</v>
      </c>
      <c r="F42" s="102" t="s">
        <v>277</v>
      </c>
      <c r="G42" s="102" t="s">
        <v>383</v>
      </c>
      <c r="H42" s="94" t="s">
        <v>994</v>
      </c>
      <c r="I42" s="102" t="s">
        <v>298</v>
      </c>
      <c r="J42" s="102"/>
      <c r="K42" s="105">
        <v>208</v>
      </c>
      <c r="L42" s="102" t="s">
        <v>68</v>
      </c>
      <c r="M42" s="123">
        <f>Table1[[#This Row],[QTY
RECIVED]]-Table1[[#This Row],[QTY 
ISSUED]]</f>
        <v>0</v>
      </c>
      <c r="N42" s="106">
        <v>0</v>
      </c>
      <c r="O42" s="102">
        <f>50+20+208-70</f>
        <v>208</v>
      </c>
      <c r="P42" s="102" t="s">
        <v>486</v>
      </c>
      <c r="Q42" s="206" t="s">
        <v>487</v>
      </c>
      <c r="R42" s="102"/>
      <c r="S42" s="102"/>
      <c r="T42" s="257"/>
      <c r="U42" s="127"/>
      <c r="V42" s="127"/>
      <c r="W42" s="102"/>
      <c r="X42" s="102"/>
    </row>
    <row r="43" spans="1:24" ht="22.5" x14ac:dyDescent="0.25">
      <c r="A43" s="101">
        <v>40</v>
      </c>
      <c r="B43" s="102"/>
      <c r="C43" s="102"/>
      <c r="D43" s="248">
        <v>9987119282</v>
      </c>
      <c r="E43" s="102" t="s">
        <v>395</v>
      </c>
      <c r="F43" s="102" t="s">
        <v>396</v>
      </c>
      <c r="G43" s="102" t="s">
        <v>385</v>
      </c>
      <c r="H43" s="94" t="s">
        <v>918</v>
      </c>
      <c r="I43" s="102" t="s">
        <v>397</v>
      </c>
      <c r="J43" s="102" t="s">
        <v>663</v>
      </c>
      <c r="K43" s="105">
        <v>5616</v>
      </c>
      <c r="L43" s="102" t="s">
        <v>68</v>
      </c>
      <c r="M43" s="123">
        <f>Table1[[#This Row],[QTY
RECIVED]]-Table1[[#This Row],[QTY 
ISSUED]]</f>
        <v>1861</v>
      </c>
      <c r="N43" s="106">
        <f>Table1[[#This Row],[INVENTORY]]/208</f>
        <v>8.947115384615385</v>
      </c>
      <c r="O43" s="102">
        <f>3744+7+4</f>
        <v>3755</v>
      </c>
      <c r="P43" s="102" t="s">
        <v>1007</v>
      </c>
      <c r="Q43" s="206" t="s">
        <v>1019</v>
      </c>
      <c r="R43" s="102"/>
      <c r="S43" s="102"/>
      <c r="T43" s="257" t="s">
        <v>1146</v>
      </c>
      <c r="U43" s="127"/>
      <c r="V43" s="127"/>
      <c r="W43" s="102"/>
      <c r="X43" s="102"/>
    </row>
    <row r="44" spans="1:24" ht="22.5" x14ac:dyDescent="0.25">
      <c r="A44" s="101">
        <v>41</v>
      </c>
      <c r="B44" s="102">
        <v>56901</v>
      </c>
      <c r="C44" s="102" t="s">
        <v>741</v>
      </c>
      <c r="D44" s="248">
        <v>9987119082</v>
      </c>
      <c r="E44" s="102" t="s">
        <v>299</v>
      </c>
      <c r="F44" s="102" t="s">
        <v>80</v>
      </c>
      <c r="G44" s="102" t="s">
        <v>383</v>
      </c>
      <c r="H44" s="94" t="s">
        <v>933</v>
      </c>
      <c r="I44" s="102" t="s">
        <v>300</v>
      </c>
      <c r="J44" s="102"/>
      <c r="K44" s="105">
        <v>208</v>
      </c>
      <c r="L44" s="102" t="s">
        <v>68</v>
      </c>
      <c r="M44" s="119">
        <f>Table1[[#This Row],[QTY
RECIVED]]-Table1[[#This Row],[QTY 
ISSUED]]</f>
        <v>0</v>
      </c>
      <c r="N44" s="106"/>
      <c r="O44" s="102">
        <f>40+168+208-208</f>
        <v>208</v>
      </c>
      <c r="P44" s="102" t="s">
        <v>512</v>
      </c>
      <c r="Q44" s="206" t="s">
        <v>511</v>
      </c>
      <c r="R44" s="102"/>
      <c r="S44" s="102" t="s">
        <v>327</v>
      </c>
      <c r="T44" s="259"/>
      <c r="U44" s="127">
        <v>110</v>
      </c>
      <c r="V44" s="127">
        <v>416</v>
      </c>
      <c r="W44" s="102" t="s">
        <v>785</v>
      </c>
      <c r="X44" s="102"/>
    </row>
    <row r="45" spans="1:24" x14ac:dyDescent="0.25">
      <c r="A45" s="101">
        <v>42</v>
      </c>
      <c r="B45" s="102">
        <v>58357</v>
      </c>
      <c r="C45" s="102" t="s">
        <v>740</v>
      </c>
      <c r="D45" s="248">
        <v>9987118962</v>
      </c>
      <c r="E45" s="102" t="s">
        <v>301</v>
      </c>
      <c r="F45" s="102" t="s">
        <v>80</v>
      </c>
      <c r="G45" s="102" t="s">
        <v>383</v>
      </c>
      <c r="H45" s="94" t="s">
        <v>893</v>
      </c>
      <c r="I45" s="102" t="s">
        <v>300</v>
      </c>
      <c r="J45" s="102"/>
      <c r="K45" s="105">
        <v>208</v>
      </c>
      <c r="L45" s="102" t="s">
        <v>68</v>
      </c>
      <c r="M45" s="119">
        <f>Table1[[#This Row],[QTY
RECIVED]]-Table1[[#This Row],[QTY 
ISSUED]]</f>
        <v>48</v>
      </c>
      <c r="N45" s="106">
        <f>Table1[[#This Row],[INVENTORY]]/208</f>
        <v>0.23076923076923078</v>
      </c>
      <c r="O45" s="102">
        <v>160</v>
      </c>
      <c r="P45" s="102" t="s">
        <v>1122</v>
      </c>
      <c r="Q45" s="206" t="s">
        <v>1201</v>
      </c>
      <c r="R45" s="102"/>
      <c r="S45" s="102"/>
      <c r="T45" s="257" t="s">
        <v>947</v>
      </c>
      <c r="U45" s="127">
        <v>416</v>
      </c>
      <c r="V45" s="127">
        <v>832</v>
      </c>
      <c r="W45" s="102" t="s">
        <v>952</v>
      </c>
      <c r="X45" s="102">
        <v>624</v>
      </c>
    </row>
    <row r="46" spans="1:24" x14ac:dyDescent="0.25">
      <c r="A46" s="101">
        <v>43</v>
      </c>
      <c r="B46" s="102"/>
      <c r="C46" s="102" t="s">
        <v>739</v>
      </c>
      <c r="D46" s="248">
        <v>9987119392</v>
      </c>
      <c r="E46" s="102" t="s">
        <v>393</v>
      </c>
      <c r="F46" s="102" t="s">
        <v>394</v>
      </c>
      <c r="G46" s="102" t="s">
        <v>394</v>
      </c>
      <c r="H46" s="94" t="s">
        <v>467</v>
      </c>
      <c r="I46" s="102" t="s">
        <v>67</v>
      </c>
      <c r="J46" s="102" t="s">
        <v>1148</v>
      </c>
      <c r="K46" s="105">
        <f>208*308</f>
        <v>64064</v>
      </c>
      <c r="L46" s="102" t="s">
        <v>30</v>
      </c>
      <c r="M46" s="123">
        <f>Table1[[#This Row],[QTY
RECIVED]]-Table1[[#This Row],[QTY 
ISSUED]]</f>
        <v>63440</v>
      </c>
      <c r="N46" s="113">
        <f>Table1[[#This Row],[INVENTORY]]/208</f>
        <v>305</v>
      </c>
      <c r="O46" s="102">
        <f>208+208+208</f>
        <v>624</v>
      </c>
      <c r="P46" s="102" t="s">
        <v>470</v>
      </c>
      <c r="Q46" s="206" t="s">
        <v>1214</v>
      </c>
      <c r="R46" s="102"/>
      <c r="S46" s="102"/>
      <c r="T46" s="260" t="s">
        <v>1146</v>
      </c>
      <c r="U46" s="127"/>
      <c r="V46" s="127"/>
      <c r="W46" s="102"/>
      <c r="X46" s="102"/>
    </row>
    <row r="47" spans="1:24" ht="33.75" x14ac:dyDescent="0.25">
      <c r="A47" s="101">
        <v>44</v>
      </c>
      <c r="B47" s="102"/>
      <c r="C47" s="102"/>
      <c r="D47" s="248">
        <v>9987112552</v>
      </c>
      <c r="E47" s="102" t="s">
        <v>71</v>
      </c>
      <c r="F47" s="102" t="s">
        <v>70</v>
      </c>
      <c r="G47" s="102" t="s">
        <v>383</v>
      </c>
      <c r="H47" s="94" t="s">
        <v>926</v>
      </c>
      <c r="I47" s="102" t="s">
        <v>74</v>
      </c>
      <c r="J47" s="102" t="s">
        <v>69</v>
      </c>
      <c r="K47" s="105">
        <v>374400</v>
      </c>
      <c r="L47" s="102" t="s">
        <v>68</v>
      </c>
      <c r="M47" s="123">
        <f>Table1[[#This Row],[QTY
RECIVED]]-Table1[[#This Row],[QTY 
ISSUED]]</f>
        <v>4160</v>
      </c>
      <c r="N47" s="106">
        <f>(Table1[[#This Row],[QTY
RECIVED]]-Table1[[#This Row],[QTY 
ISSUED]])/208</f>
        <v>20</v>
      </c>
      <c r="O47" s="102">
        <f>4160+4160+287040+52000+10400+1248+1248+8320+1664</f>
        <v>370240</v>
      </c>
      <c r="P47" s="102" t="s">
        <v>1188</v>
      </c>
      <c r="Q47" s="206" t="s">
        <v>1189</v>
      </c>
      <c r="R47" s="102"/>
      <c r="S47" s="102" t="s">
        <v>52</v>
      </c>
      <c r="T47" s="257" t="s">
        <v>947</v>
      </c>
      <c r="U47" s="127"/>
      <c r="V47" s="127"/>
      <c r="W47" s="102"/>
      <c r="X47" s="102"/>
    </row>
    <row r="48" spans="1:24" x14ac:dyDescent="0.25">
      <c r="A48" s="101">
        <v>45</v>
      </c>
      <c r="B48" s="102"/>
      <c r="C48" s="102" t="s">
        <v>738</v>
      </c>
      <c r="D48" s="248">
        <v>9987119372</v>
      </c>
      <c r="E48" s="102" t="s">
        <v>302</v>
      </c>
      <c r="F48" s="102" t="s">
        <v>303</v>
      </c>
      <c r="G48" s="102" t="s">
        <v>385</v>
      </c>
      <c r="H48" s="94" t="s">
        <v>902</v>
      </c>
      <c r="I48" s="102" t="s">
        <v>305</v>
      </c>
      <c r="J48" s="102"/>
      <c r="K48" s="105">
        <v>20</v>
      </c>
      <c r="L48" s="102" t="s">
        <v>68</v>
      </c>
      <c r="M48" s="123">
        <f>Table1[[#This Row],[QTY
RECIVED]]-Table1[[#This Row],[QTY 
ISSUED]]</f>
        <v>20</v>
      </c>
      <c r="N48" s="106">
        <v>0</v>
      </c>
      <c r="O48" s="102"/>
      <c r="P48" s="102"/>
      <c r="Q48" s="206"/>
      <c r="R48" s="102"/>
      <c r="S48" s="102"/>
      <c r="T48" s="257" t="s">
        <v>947</v>
      </c>
      <c r="U48" s="127"/>
      <c r="V48" s="127"/>
      <c r="W48" s="102"/>
      <c r="X48" s="102"/>
    </row>
    <row r="49" spans="1:24" x14ac:dyDescent="0.25">
      <c r="A49" s="101">
        <v>46</v>
      </c>
      <c r="B49" s="102"/>
      <c r="C49" s="102" t="s">
        <v>738</v>
      </c>
      <c r="D49" s="248">
        <v>9987119362</v>
      </c>
      <c r="E49" s="102" t="s">
        <v>302</v>
      </c>
      <c r="F49" s="102" t="s">
        <v>303</v>
      </c>
      <c r="G49" s="102" t="s">
        <v>385</v>
      </c>
      <c r="H49" s="94" t="s">
        <v>901</v>
      </c>
      <c r="I49" s="102" t="s">
        <v>305</v>
      </c>
      <c r="J49" s="102"/>
      <c r="K49" s="105">
        <v>20</v>
      </c>
      <c r="L49" s="102" t="s">
        <v>68</v>
      </c>
      <c r="M49" s="123">
        <f>Table1[[#This Row],[QTY
RECIVED]]-Table1[[#This Row],[QTY 
ISSUED]]</f>
        <v>0</v>
      </c>
      <c r="N49" s="106">
        <v>0</v>
      </c>
      <c r="O49" s="102">
        <v>20</v>
      </c>
      <c r="P49" s="102" t="s">
        <v>1204</v>
      </c>
      <c r="Q49" s="206" t="s">
        <v>1203</v>
      </c>
      <c r="R49" s="102"/>
      <c r="S49" s="102"/>
      <c r="T49" s="259" t="s">
        <v>947</v>
      </c>
      <c r="U49" s="127"/>
      <c r="V49" s="127"/>
      <c r="W49" s="102"/>
      <c r="X49" s="102"/>
    </row>
    <row r="50" spans="1:24" x14ac:dyDescent="0.25">
      <c r="A50" s="101">
        <v>47</v>
      </c>
      <c r="B50" s="102" t="s">
        <v>108</v>
      </c>
      <c r="C50" s="102"/>
      <c r="D50" s="248">
        <v>9987119382</v>
      </c>
      <c r="E50" s="102" t="s">
        <v>176</v>
      </c>
      <c r="F50" s="102" t="s">
        <v>106</v>
      </c>
      <c r="G50" s="102" t="s">
        <v>384</v>
      </c>
      <c r="H50" s="94" t="s">
        <v>859</v>
      </c>
      <c r="I50" s="102" t="s">
        <v>104</v>
      </c>
      <c r="J50" s="102" t="s">
        <v>107</v>
      </c>
      <c r="K50" s="105">
        <v>416</v>
      </c>
      <c r="L50" s="102" t="s">
        <v>68</v>
      </c>
      <c r="M50" s="123">
        <f>Table1[[#This Row],[QTY
RECIVED]]-Table1[[#This Row],[QTY 
ISSUED]]</f>
        <v>0</v>
      </c>
      <c r="N50" s="106">
        <f>Table1[[#This Row],[INVENTORY]]/208</f>
        <v>0</v>
      </c>
      <c r="O50" s="102">
        <v>416</v>
      </c>
      <c r="P50" s="102" t="s">
        <v>460</v>
      </c>
      <c r="Q50" s="206" t="s">
        <v>443</v>
      </c>
      <c r="R50" s="102"/>
      <c r="S50" s="102" t="s">
        <v>444</v>
      </c>
      <c r="T50" s="257"/>
      <c r="U50" s="127"/>
      <c r="V50" s="127"/>
      <c r="W50" s="102"/>
      <c r="X50" s="102"/>
    </row>
    <row r="51" spans="1:24" x14ac:dyDescent="0.25">
      <c r="A51" s="101">
        <v>48</v>
      </c>
      <c r="B51" s="102"/>
      <c r="C51" s="102"/>
      <c r="D51" s="248" t="s">
        <v>1123</v>
      </c>
      <c r="E51" s="102" t="s">
        <v>174</v>
      </c>
      <c r="F51" s="102" t="s">
        <v>111</v>
      </c>
      <c r="G51" s="102" t="s">
        <v>386</v>
      </c>
      <c r="H51" s="94" t="s">
        <v>399</v>
      </c>
      <c r="I51" s="102" t="s">
        <v>114</v>
      </c>
      <c r="J51" s="102" t="s">
        <v>400</v>
      </c>
      <c r="K51" s="105">
        <v>416</v>
      </c>
      <c r="L51" s="102" t="s">
        <v>68</v>
      </c>
      <c r="M51" s="123">
        <f>Table1[[#This Row],[QTY
RECIVED]]-Table1[[#This Row],[QTY 
ISSUED]]</f>
        <v>0</v>
      </c>
      <c r="N51" s="106">
        <v>0</v>
      </c>
      <c r="O51" s="102">
        <f>208+208</f>
        <v>416</v>
      </c>
      <c r="P51" s="102" t="s">
        <v>1167</v>
      </c>
      <c r="Q51" s="206" t="s">
        <v>1166</v>
      </c>
      <c r="R51" s="102"/>
      <c r="S51" s="102" t="s">
        <v>52</v>
      </c>
      <c r="T51" s="261" t="s">
        <v>947</v>
      </c>
      <c r="U51" s="127"/>
      <c r="V51" s="127"/>
      <c r="W51" s="102"/>
      <c r="X51" s="102"/>
    </row>
    <row r="52" spans="1:24" x14ac:dyDescent="0.25">
      <c r="A52" s="101">
        <v>49</v>
      </c>
      <c r="B52" s="102"/>
      <c r="C52" s="102" t="s">
        <v>350</v>
      </c>
      <c r="D52" s="248">
        <v>9987009302</v>
      </c>
      <c r="E52" s="102" t="s">
        <v>527</v>
      </c>
      <c r="F52" s="102" t="s">
        <v>22</v>
      </c>
      <c r="G52" s="102" t="s">
        <v>382</v>
      </c>
      <c r="H52" s="94" t="s">
        <v>924</v>
      </c>
      <c r="I52" s="102" t="s">
        <v>352</v>
      </c>
      <c r="J52" s="102" t="s">
        <v>351</v>
      </c>
      <c r="K52" s="105">
        <v>80</v>
      </c>
      <c r="L52" s="102" t="s">
        <v>68</v>
      </c>
      <c r="M52" s="123">
        <f>Table1[[#This Row],[QTY
RECIVED]]-Table1[[#This Row],[QTY 
ISSUED]]</f>
        <v>0</v>
      </c>
      <c r="N52" s="106">
        <f>Table1[[#This Row],[INVENTORY]]/208</f>
        <v>0</v>
      </c>
      <c r="O52" s="102">
        <v>80</v>
      </c>
      <c r="P52" s="102" t="s">
        <v>122</v>
      </c>
      <c r="Q52" s="206" t="s">
        <v>148</v>
      </c>
      <c r="R52" s="102"/>
      <c r="S52" s="102" t="s">
        <v>52</v>
      </c>
      <c r="T52" s="257"/>
      <c r="U52" s="127"/>
      <c r="V52" s="127"/>
      <c r="W52" s="102"/>
      <c r="X52" s="102"/>
    </row>
    <row r="53" spans="1:24" x14ac:dyDescent="0.25">
      <c r="A53" s="101">
        <v>50</v>
      </c>
      <c r="B53" s="102"/>
      <c r="C53" s="102" t="s">
        <v>353</v>
      </c>
      <c r="D53" s="248">
        <v>9987009302</v>
      </c>
      <c r="E53" s="102" t="s">
        <v>527</v>
      </c>
      <c r="F53" s="102" t="s">
        <v>22</v>
      </c>
      <c r="G53" s="102" t="s">
        <v>382</v>
      </c>
      <c r="H53" s="94" t="s">
        <v>924</v>
      </c>
      <c r="I53" s="102" t="s">
        <v>160</v>
      </c>
      <c r="J53" s="102" t="s">
        <v>309</v>
      </c>
      <c r="K53" s="105">
        <v>624</v>
      </c>
      <c r="L53" s="102" t="s">
        <v>68</v>
      </c>
      <c r="M53" s="123">
        <f>Table1[[#This Row],[QTY
RECIVED]]-Table1[[#This Row],[QTY 
ISSUED]]</f>
        <v>0</v>
      </c>
      <c r="N53" s="106">
        <f>Table1[[#This Row],[INVENTORY]]/208</f>
        <v>0</v>
      </c>
      <c r="O53" s="102">
        <v>624</v>
      </c>
      <c r="P53" s="102" t="s">
        <v>903</v>
      </c>
      <c r="Q53" s="206"/>
      <c r="R53" s="102"/>
      <c r="S53" s="102"/>
      <c r="T53" s="257" t="s">
        <v>948</v>
      </c>
      <c r="U53" s="127"/>
      <c r="V53" s="127"/>
      <c r="W53" s="102"/>
      <c r="X53" s="102"/>
    </row>
    <row r="54" spans="1:24" x14ac:dyDescent="0.25">
      <c r="A54" s="101">
        <v>51</v>
      </c>
      <c r="B54" s="102"/>
      <c r="C54" s="102" t="s">
        <v>737</v>
      </c>
      <c r="D54" s="248">
        <v>9987009302</v>
      </c>
      <c r="E54" s="102" t="s">
        <v>307</v>
      </c>
      <c r="F54" s="102" t="s">
        <v>308</v>
      </c>
      <c r="G54" s="102" t="s">
        <v>382</v>
      </c>
      <c r="H54" s="94" t="s">
        <v>924</v>
      </c>
      <c r="I54" s="102" t="s">
        <v>310</v>
      </c>
      <c r="J54" s="102" t="s">
        <v>309</v>
      </c>
      <c r="K54" s="105">
        <v>624</v>
      </c>
      <c r="L54" s="102" t="s">
        <v>68</v>
      </c>
      <c r="M54" s="123">
        <f>Table1[[#This Row],[QTY
RECIVED]]-Table1[[#This Row],[QTY 
ISSUED]]</f>
        <v>0</v>
      </c>
      <c r="N54" s="106">
        <f>Table1[[#This Row],[INVENTORY]]/208</f>
        <v>0</v>
      </c>
      <c r="O54" s="102">
        <f>40+208+376</f>
        <v>624</v>
      </c>
      <c r="P54" s="102" t="s">
        <v>331</v>
      </c>
      <c r="Q54" s="206" t="s">
        <v>332</v>
      </c>
      <c r="R54" s="102"/>
      <c r="S54" s="102"/>
      <c r="T54" s="257"/>
      <c r="U54" s="127"/>
      <c r="V54" s="127"/>
      <c r="W54" s="102"/>
      <c r="X54" s="102"/>
    </row>
    <row r="55" spans="1:24" x14ac:dyDescent="0.25">
      <c r="A55" s="101">
        <v>52</v>
      </c>
      <c r="B55" s="102">
        <v>11161</v>
      </c>
      <c r="C55" s="102" t="s">
        <v>736</v>
      </c>
      <c r="D55" s="248">
        <v>9987118972</v>
      </c>
      <c r="E55" s="102" t="s">
        <v>311</v>
      </c>
      <c r="F55" s="102" t="s">
        <v>80</v>
      </c>
      <c r="G55" s="102" t="s">
        <v>383</v>
      </c>
      <c r="H55" s="94" t="s">
        <v>882</v>
      </c>
      <c r="I55" s="102" t="s">
        <v>242</v>
      </c>
      <c r="J55" s="102" t="s">
        <v>764</v>
      </c>
      <c r="K55" s="105">
        <v>624</v>
      </c>
      <c r="L55" s="102" t="s">
        <v>68</v>
      </c>
      <c r="M55" s="119">
        <f>Table1[[#This Row],[QTY
RECIVED]]-Table1[[#This Row],[QTY 
ISSUED]]</f>
        <v>0</v>
      </c>
      <c r="N55" s="106">
        <f>Table1[[#This Row],[INVENTORY]]/208</f>
        <v>0</v>
      </c>
      <c r="O55" s="102">
        <f>470+50+104</f>
        <v>624</v>
      </c>
      <c r="P55" s="102" t="s">
        <v>1211</v>
      </c>
      <c r="Q55" s="206" t="s">
        <v>1212</v>
      </c>
      <c r="R55" s="102"/>
      <c r="S55" s="102"/>
      <c r="T55" s="262" t="s">
        <v>948</v>
      </c>
      <c r="U55" s="127">
        <v>624</v>
      </c>
      <c r="V55" s="127">
        <v>3120</v>
      </c>
      <c r="W55" s="102" t="s">
        <v>785</v>
      </c>
      <c r="X55" s="102">
        <v>3120</v>
      </c>
    </row>
    <row r="56" spans="1:24" ht="22.5" x14ac:dyDescent="0.25">
      <c r="A56" s="101">
        <v>53</v>
      </c>
      <c r="B56" s="102"/>
      <c r="C56" s="102" t="s">
        <v>735</v>
      </c>
      <c r="D56" s="248">
        <v>9987119142</v>
      </c>
      <c r="E56" s="102" t="s">
        <v>312</v>
      </c>
      <c r="F56" s="102" t="s">
        <v>313</v>
      </c>
      <c r="G56" s="102" t="s">
        <v>387</v>
      </c>
      <c r="H56" s="94" t="s">
        <v>995</v>
      </c>
      <c r="I56" s="102" t="s">
        <v>314</v>
      </c>
      <c r="J56" s="102"/>
      <c r="K56" s="105">
        <v>1080</v>
      </c>
      <c r="L56" s="102" t="s">
        <v>68</v>
      </c>
      <c r="M56" s="123">
        <f>Table1[[#This Row],[QTY
RECIVED]]-Table1[[#This Row],[QTY 
ISSUED]]</f>
        <v>140</v>
      </c>
      <c r="N56" s="106">
        <f>Table1[[#This Row],[INVENTORY]]/208</f>
        <v>0.67307692307692313</v>
      </c>
      <c r="O56" s="102">
        <f>180+180+180+180+180+180-140</f>
        <v>940</v>
      </c>
      <c r="P56" s="102" t="s">
        <v>524</v>
      </c>
      <c r="Q56" s="206" t="s">
        <v>523</v>
      </c>
      <c r="R56" s="102" t="s">
        <v>1216</v>
      </c>
      <c r="S56" s="102"/>
      <c r="T56" s="262" t="s">
        <v>947</v>
      </c>
      <c r="U56" s="127">
        <v>416</v>
      </c>
      <c r="V56" s="127">
        <v>832</v>
      </c>
      <c r="W56" s="102" t="s">
        <v>952</v>
      </c>
      <c r="X56" s="102">
        <v>832</v>
      </c>
    </row>
    <row r="57" spans="1:24" x14ac:dyDescent="0.25">
      <c r="A57" s="101">
        <v>54</v>
      </c>
      <c r="B57" s="102"/>
      <c r="C57" s="102" t="s">
        <v>734</v>
      </c>
      <c r="D57" s="248">
        <v>9987119272</v>
      </c>
      <c r="E57" s="102" t="s">
        <v>1220</v>
      </c>
      <c r="F57" s="102" t="s">
        <v>313</v>
      </c>
      <c r="G57" s="102" t="s">
        <v>383</v>
      </c>
      <c r="H57" s="94" t="s">
        <v>894</v>
      </c>
      <c r="I57" s="102" t="s">
        <v>315</v>
      </c>
      <c r="J57" s="102" t="s">
        <v>636</v>
      </c>
      <c r="K57" s="105">
        <v>208</v>
      </c>
      <c r="L57" s="102" t="s">
        <v>68</v>
      </c>
      <c r="M57" s="119">
        <f>Table1[[#This Row],[QTY
RECIVED]]-Table1[[#This Row],[QTY 
ISSUED]]</f>
        <v>0</v>
      </c>
      <c r="N57" s="106">
        <f>Table1[[#This Row],[INVENTORY]]/208</f>
        <v>0</v>
      </c>
      <c r="O57" s="112">
        <v>208</v>
      </c>
      <c r="P57" s="102"/>
      <c r="Q57" s="206"/>
      <c r="R57" s="102"/>
      <c r="S57" s="102"/>
      <c r="T57" s="260"/>
      <c r="U57" s="127">
        <v>208</v>
      </c>
      <c r="V57" s="127">
        <v>624</v>
      </c>
      <c r="W57" s="102" t="s">
        <v>785</v>
      </c>
      <c r="X57" s="102">
        <v>208</v>
      </c>
    </row>
    <row r="58" spans="1:24" x14ac:dyDescent="0.25">
      <c r="A58" s="101">
        <v>55</v>
      </c>
      <c r="B58" s="102" t="s">
        <v>733</v>
      </c>
      <c r="C58" s="102" t="s">
        <v>732</v>
      </c>
      <c r="D58" s="248">
        <v>9987119092</v>
      </c>
      <c r="E58" s="102" t="s">
        <v>316</v>
      </c>
      <c r="F58" s="102" t="s">
        <v>75</v>
      </c>
      <c r="G58" s="102" t="s">
        <v>383</v>
      </c>
      <c r="H58" s="94" t="s">
        <v>886</v>
      </c>
      <c r="I58" s="102" t="s">
        <v>318</v>
      </c>
      <c r="J58" s="102" t="s">
        <v>326</v>
      </c>
      <c r="K58" s="114">
        <v>1456</v>
      </c>
      <c r="L58" s="102" t="s">
        <v>68</v>
      </c>
      <c r="M58" s="119">
        <f>Table1[[#This Row],[QTY
RECIVED]]-Table1[[#This Row],[QTY 
ISSUED]]</f>
        <v>206</v>
      </c>
      <c r="N58" s="106">
        <f>Table1[[#This Row],[INVENTORY]]/208</f>
        <v>0.99038461538461542</v>
      </c>
      <c r="O58" s="102">
        <f>208+2+1040</f>
        <v>1250</v>
      </c>
      <c r="P58" s="102" t="s">
        <v>630</v>
      </c>
      <c r="Q58" s="206" t="s">
        <v>631</v>
      </c>
      <c r="R58" s="102"/>
      <c r="S58" s="102"/>
      <c r="T58" s="260" t="s">
        <v>947</v>
      </c>
      <c r="U58" s="127">
        <v>832</v>
      </c>
      <c r="V58" s="127">
        <v>1664</v>
      </c>
      <c r="W58" s="102" t="s">
        <v>785</v>
      </c>
      <c r="X58" s="102">
        <v>1248</v>
      </c>
    </row>
    <row r="59" spans="1:24" ht="22.5" x14ac:dyDescent="0.25">
      <c r="A59" s="101">
        <v>56</v>
      </c>
      <c r="B59" s="102"/>
      <c r="C59" s="102"/>
      <c r="D59" s="248">
        <v>9987119302</v>
      </c>
      <c r="E59" s="102" t="s">
        <v>319</v>
      </c>
      <c r="F59" s="102" t="s">
        <v>320</v>
      </c>
      <c r="G59" s="102" t="s">
        <v>382</v>
      </c>
      <c r="H59" s="94" t="s">
        <v>943</v>
      </c>
      <c r="I59" s="102" t="s">
        <v>265</v>
      </c>
      <c r="J59" s="102" t="s">
        <v>325</v>
      </c>
      <c r="K59" s="105">
        <v>16929</v>
      </c>
      <c r="L59" s="102" t="s">
        <v>68</v>
      </c>
      <c r="M59" s="119">
        <f>Table1[[#This Row],[QTY
RECIVED]]-Table1[[#This Row],[QTY 
ISSUED]]</f>
        <v>832</v>
      </c>
      <c r="N59" s="106">
        <f>Table1[[#This Row],[INVENTORY]]/208</f>
        <v>4</v>
      </c>
      <c r="O59" s="102">
        <v>16097</v>
      </c>
      <c r="P59" s="102" t="s">
        <v>702</v>
      </c>
      <c r="Q59" s="206" t="s">
        <v>703</v>
      </c>
      <c r="R59" s="102"/>
      <c r="S59" s="102"/>
      <c r="T59" s="260" t="s">
        <v>949</v>
      </c>
      <c r="U59" s="127">
        <v>2080</v>
      </c>
      <c r="V59" s="127">
        <v>6240</v>
      </c>
      <c r="W59" s="102" t="s">
        <v>785</v>
      </c>
      <c r="X59" s="102">
        <v>4992</v>
      </c>
    </row>
    <row r="60" spans="1:24" x14ac:dyDescent="0.25">
      <c r="A60" s="101">
        <v>57</v>
      </c>
      <c r="B60" s="102">
        <v>2024525</v>
      </c>
      <c r="C60" s="102"/>
      <c r="D60" s="248">
        <v>9987119332</v>
      </c>
      <c r="E60" s="102" t="s">
        <v>403</v>
      </c>
      <c r="F60" s="102" t="s">
        <v>404</v>
      </c>
      <c r="G60" s="102" t="s">
        <v>404</v>
      </c>
      <c r="H60" s="94" t="s">
        <v>922</v>
      </c>
      <c r="I60" s="102" t="s">
        <v>595</v>
      </c>
      <c r="J60" s="102" t="s">
        <v>594</v>
      </c>
      <c r="K60" s="105">
        <v>500332</v>
      </c>
      <c r="L60" s="102" t="s">
        <v>30</v>
      </c>
      <c r="M60" s="123">
        <f>Table1[[#This Row],[QTY
RECIVED]]-Table1[[#This Row],[QTY 
ISSUED]]</f>
        <v>500332</v>
      </c>
      <c r="N60" s="106">
        <f>Table1[[#This Row],[INVENTORY]]/214</f>
        <v>2338</v>
      </c>
      <c r="O60" s="102"/>
      <c r="P60" s="102"/>
      <c r="Q60" s="206"/>
      <c r="R60" s="102"/>
      <c r="S60" s="102"/>
      <c r="T60" s="260"/>
      <c r="U60" s="127"/>
      <c r="V60" s="127"/>
      <c r="W60" s="102"/>
      <c r="X60" s="102"/>
    </row>
    <row r="61" spans="1:24" x14ac:dyDescent="0.25">
      <c r="A61" s="101">
        <v>58</v>
      </c>
      <c r="B61" s="102"/>
      <c r="C61" s="102" t="s">
        <v>731</v>
      </c>
      <c r="D61" s="248">
        <v>9987119262</v>
      </c>
      <c r="E61" s="102" t="s">
        <v>445</v>
      </c>
      <c r="F61" s="102" t="s">
        <v>446</v>
      </c>
      <c r="G61" s="102" t="s">
        <v>446</v>
      </c>
      <c r="H61" s="94" t="s">
        <v>890</v>
      </c>
      <c r="I61" s="102" t="s">
        <v>448</v>
      </c>
      <c r="J61" s="102" t="s">
        <v>447</v>
      </c>
      <c r="K61" s="105">
        <v>832</v>
      </c>
      <c r="L61" s="102" t="s">
        <v>68</v>
      </c>
      <c r="M61" s="119">
        <f>Table1[[#This Row],[QTY
RECIVED]]-Table1[[#This Row],[QTY 
ISSUED]]</f>
        <v>208</v>
      </c>
      <c r="N61" s="106">
        <f>Table1[[#This Row],[INVENTORY]]/208</f>
        <v>1</v>
      </c>
      <c r="O61" s="102">
        <f>416+208</f>
        <v>624</v>
      </c>
      <c r="P61" s="102" t="s">
        <v>780</v>
      </c>
      <c r="Q61" s="206" t="s">
        <v>781</v>
      </c>
      <c r="R61" s="102"/>
      <c r="S61" s="102"/>
      <c r="T61" s="260" t="s">
        <v>949</v>
      </c>
      <c r="U61" s="127">
        <v>624</v>
      </c>
      <c r="V61" s="127">
        <v>1248</v>
      </c>
      <c r="W61" s="102" t="s">
        <v>785</v>
      </c>
      <c r="X61" s="102">
        <v>832</v>
      </c>
    </row>
    <row r="62" spans="1:24" ht="11.25" customHeight="1" x14ac:dyDescent="0.25">
      <c r="A62" s="101">
        <v>59</v>
      </c>
      <c r="B62" s="102"/>
      <c r="C62" s="102"/>
      <c r="D62" s="248">
        <v>9987119292</v>
      </c>
      <c r="E62" s="102" t="s">
        <v>500</v>
      </c>
      <c r="F62" s="102" t="s">
        <v>501</v>
      </c>
      <c r="G62" s="102" t="s">
        <v>501</v>
      </c>
      <c r="H62" s="94" t="s">
        <v>895</v>
      </c>
      <c r="I62" s="102" t="s">
        <v>497</v>
      </c>
      <c r="J62" s="102" t="s">
        <v>502</v>
      </c>
      <c r="K62" s="105">
        <v>80</v>
      </c>
      <c r="L62" s="102" t="s">
        <v>68</v>
      </c>
      <c r="M62" s="123">
        <f>Table1[[#This Row],[QTY
RECIVED]]-Table1[[#This Row],[QTY 
ISSUED]]</f>
        <v>0</v>
      </c>
      <c r="N62" s="106"/>
      <c r="O62" s="102">
        <v>80</v>
      </c>
      <c r="P62" s="102" t="s">
        <v>508</v>
      </c>
      <c r="Q62" s="210" t="s">
        <v>510</v>
      </c>
      <c r="R62" s="102"/>
      <c r="S62" s="102"/>
      <c r="T62" s="260"/>
      <c r="U62" s="127"/>
      <c r="V62" s="127"/>
      <c r="W62" s="102"/>
      <c r="X62" s="102"/>
    </row>
    <row r="63" spans="1:24" ht="48.75" customHeight="1" x14ac:dyDescent="0.25">
      <c r="A63" s="101">
        <v>60</v>
      </c>
      <c r="B63" s="102"/>
      <c r="C63" s="102" t="s">
        <v>730</v>
      </c>
      <c r="D63" s="248">
        <v>9987119352</v>
      </c>
      <c r="E63" s="102" t="s">
        <v>521</v>
      </c>
      <c r="F63" s="102" t="s">
        <v>495</v>
      </c>
      <c r="G63" s="102" t="s">
        <v>495</v>
      </c>
      <c r="H63" s="94" t="s">
        <v>860</v>
      </c>
      <c r="I63" s="102" t="s">
        <v>497</v>
      </c>
      <c r="J63" s="102" t="s">
        <v>520</v>
      </c>
      <c r="K63" s="105">
        <v>2080</v>
      </c>
      <c r="L63" s="102" t="s">
        <v>68</v>
      </c>
      <c r="M63" s="123">
        <f>Table1[[#This Row],[QTY
RECIVED]]-Table1[[#This Row],[QTY 
ISSUED]]</f>
        <v>940</v>
      </c>
      <c r="N63" s="106">
        <f>Table1[[#This Row],[INVENTORY]]/208</f>
        <v>4.5192307692307692</v>
      </c>
      <c r="O63" s="102">
        <f>208+208+208+30+10+10+208+50+208</f>
        <v>1140</v>
      </c>
      <c r="P63" s="102" t="s">
        <v>1023</v>
      </c>
      <c r="Q63" s="206"/>
      <c r="R63" s="102" t="s">
        <v>1024</v>
      </c>
      <c r="S63" s="102"/>
      <c r="T63" s="260" t="s">
        <v>949</v>
      </c>
      <c r="U63" s="127">
        <v>1040</v>
      </c>
      <c r="V63" s="127">
        <v>3120</v>
      </c>
      <c r="W63" s="102" t="s">
        <v>785</v>
      </c>
      <c r="X63" s="102"/>
    </row>
    <row r="64" spans="1:24" ht="33.75" x14ac:dyDescent="0.25">
      <c r="A64" s="101">
        <v>61</v>
      </c>
      <c r="B64" s="102"/>
      <c r="C64" s="102" t="s">
        <v>728</v>
      </c>
      <c r="D64" s="248">
        <v>9987112552</v>
      </c>
      <c r="E64" s="102" t="s">
        <v>378</v>
      </c>
      <c r="F64" s="102" t="s">
        <v>506</v>
      </c>
      <c r="G64" s="102" t="s">
        <v>383</v>
      </c>
      <c r="H64" s="94" t="s">
        <v>926</v>
      </c>
      <c r="I64" s="102" t="s">
        <v>505</v>
      </c>
      <c r="J64" s="102" t="s">
        <v>504</v>
      </c>
      <c r="K64" s="105">
        <v>99840</v>
      </c>
      <c r="L64" s="102" t="s">
        <v>68</v>
      </c>
      <c r="M64" s="123">
        <f>Table1[[#This Row],[QTY
RECIVED]]-Table1[[#This Row],[QTY 
ISSUED]]</f>
        <v>27872</v>
      </c>
      <c r="N64" s="106">
        <f>(Table1[[#This Row],[QTY
RECIVED]]-Table1[[#This Row],[QTY 
ISSUED]])/208</f>
        <v>134</v>
      </c>
      <c r="O64" s="102">
        <f>20800+14976+19136+8320+8320+416</f>
        <v>71968</v>
      </c>
      <c r="P64" s="102" t="s">
        <v>1191</v>
      </c>
      <c r="Q64" s="206" t="s">
        <v>1190</v>
      </c>
      <c r="R64" s="102"/>
      <c r="S64" s="102" t="s">
        <v>52</v>
      </c>
      <c r="T64" s="260" t="s">
        <v>1146</v>
      </c>
      <c r="U64" s="127"/>
      <c r="V64" s="127"/>
      <c r="W64" s="102"/>
      <c r="X64" s="102"/>
    </row>
    <row r="65" spans="1:24" x14ac:dyDescent="0.25">
      <c r="A65" s="101">
        <v>62</v>
      </c>
      <c r="B65" s="102" t="s">
        <v>896</v>
      </c>
      <c r="C65" s="102" t="s">
        <v>896</v>
      </c>
      <c r="D65" s="248" t="s">
        <v>896</v>
      </c>
      <c r="E65" s="102" t="s">
        <v>527</v>
      </c>
      <c r="F65" s="102" t="s">
        <v>906</v>
      </c>
      <c r="G65" s="102" t="s">
        <v>906</v>
      </c>
      <c r="H65" s="95" t="s">
        <v>937</v>
      </c>
      <c r="I65" s="102" t="s">
        <v>508</v>
      </c>
      <c r="J65" s="102" t="s">
        <v>507</v>
      </c>
      <c r="K65" s="105">
        <v>416</v>
      </c>
      <c r="L65" s="102" t="s">
        <v>68</v>
      </c>
      <c r="M65" s="123">
        <f>Table1[[#This Row],[QTY
RECIVED]]-Table1[[#This Row],[QTY 
ISSUED]]</f>
        <v>416</v>
      </c>
      <c r="N65" s="106">
        <f>Table1[[#This Row],[INVENTORY]]/208</f>
        <v>2</v>
      </c>
      <c r="O65" s="102"/>
      <c r="P65" s="102"/>
      <c r="Q65" s="206"/>
      <c r="R65" s="102"/>
      <c r="S65" s="102"/>
      <c r="T65" s="260" t="s">
        <v>947</v>
      </c>
      <c r="U65" s="127"/>
      <c r="V65" s="127"/>
      <c r="W65" s="102"/>
      <c r="X65" s="102"/>
    </row>
    <row r="66" spans="1:24" x14ac:dyDescent="0.25">
      <c r="A66" s="101">
        <v>63</v>
      </c>
      <c r="B66" s="102" t="s">
        <v>896</v>
      </c>
      <c r="C66" s="102" t="s">
        <v>896</v>
      </c>
      <c r="D66" s="248">
        <v>9987119102</v>
      </c>
      <c r="E66" s="102" t="s">
        <v>527</v>
      </c>
      <c r="F66" s="102" t="s">
        <v>906</v>
      </c>
      <c r="G66" s="102" t="s">
        <v>906</v>
      </c>
      <c r="H66" s="94" t="s">
        <v>1215</v>
      </c>
      <c r="I66" s="102" t="s">
        <v>508</v>
      </c>
      <c r="J66" s="102" t="s">
        <v>507</v>
      </c>
      <c r="K66" s="105">
        <v>416</v>
      </c>
      <c r="L66" s="102" t="s">
        <v>68</v>
      </c>
      <c r="M66" s="123">
        <f>Table1[[#This Row],[QTY
RECIVED]]-Table1[[#This Row],[QTY 
ISSUED]]</f>
        <v>416</v>
      </c>
      <c r="N66" s="106">
        <f>Table1[[#This Row],[INVENTORY]]/208</f>
        <v>2</v>
      </c>
      <c r="O66" s="102"/>
      <c r="P66" s="102"/>
      <c r="Q66" s="206"/>
      <c r="R66" s="102"/>
      <c r="S66" s="102"/>
      <c r="T66" s="260" t="s">
        <v>947</v>
      </c>
      <c r="U66" s="127">
        <v>110</v>
      </c>
      <c r="V66" s="127">
        <v>416</v>
      </c>
      <c r="W66" s="102"/>
      <c r="X66" s="102"/>
    </row>
    <row r="67" spans="1:24" x14ac:dyDescent="0.25">
      <c r="A67" s="101">
        <v>64</v>
      </c>
      <c r="B67" s="102" t="s">
        <v>896</v>
      </c>
      <c r="C67" s="102" t="s">
        <v>896</v>
      </c>
      <c r="D67" s="248" t="s">
        <v>896</v>
      </c>
      <c r="E67" s="102" t="s">
        <v>527</v>
      </c>
      <c r="F67" s="102" t="s">
        <v>906</v>
      </c>
      <c r="G67" s="102" t="s">
        <v>906</v>
      </c>
      <c r="H67" s="94" t="s">
        <v>849</v>
      </c>
      <c r="I67" s="102" t="s">
        <v>508</v>
      </c>
      <c r="J67" s="102" t="s">
        <v>507</v>
      </c>
      <c r="K67" s="105">
        <v>416</v>
      </c>
      <c r="L67" s="102" t="s">
        <v>68</v>
      </c>
      <c r="M67" s="123">
        <f>Table1[[#This Row],[QTY
RECIVED]]-Table1[[#This Row],[QTY 
ISSUED]]</f>
        <v>416</v>
      </c>
      <c r="N67" s="106">
        <f>Table1[[#This Row],[INVENTORY]]/208</f>
        <v>2</v>
      </c>
      <c r="O67" s="102"/>
      <c r="P67" s="102"/>
      <c r="Q67" s="206"/>
      <c r="R67" s="102"/>
      <c r="S67" s="102"/>
      <c r="T67" s="260" t="s">
        <v>947</v>
      </c>
      <c r="U67" s="127"/>
      <c r="V67" s="127"/>
      <c r="W67" s="102"/>
      <c r="X67" s="102"/>
    </row>
    <row r="68" spans="1:24" x14ac:dyDescent="0.25">
      <c r="A68" s="101">
        <v>65</v>
      </c>
      <c r="B68" s="102"/>
      <c r="C68" s="102" t="s">
        <v>729</v>
      </c>
      <c r="D68" s="248">
        <v>9987119282</v>
      </c>
      <c r="E68" s="102" t="s">
        <v>381</v>
      </c>
      <c r="F68" s="102" t="s">
        <v>542</v>
      </c>
      <c r="G68" s="102" t="s">
        <v>542</v>
      </c>
      <c r="H68" s="94" t="s">
        <v>918</v>
      </c>
      <c r="I68" s="102" t="s">
        <v>544</v>
      </c>
      <c r="J68" s="102" t="s">
        <v>575</v>
      </c>
      <c r="K68" s="105">
        <v>4160</v>
      </c>
      <c r="L68" s="102" t="s">
        <v>68</v>
      </c>
      <c r="M68" s="119">
        <f>Table1[[#This Row],[QTY
RECIVED]]-Table1[[#This Row],[QTY 
ISSUED]]</f>
        <v>4160</v>
      </c>
      <c r="N68" s="106">
        <f>Table1[[#This Row],[INVENTORY]]/208</f>
        <v>20</v>
      </c>
      <c r="O68" s="102"/>
      <c r="P68" s="102"/>
      <c r="Q68" s="206"/>
      <c r="R68" s="102"/>
      <c r="S68" s="102"/>
      <c r="T68" s="260" t="s">
        <v>950</v>
      </c>
      <c r="U68" s="127">
        <v>2080</v>
      </c>
      <c r="V68" s="127">
        <v>9360</v>
      </c>
      <c r="W68" s="102"/>
      <c r="X68" s="102"/>
    </row>
    <row r="69" spans="1:24" x14ac:dyDescent="0.25">
      <c r="A69" s="101">
        <v>66</v>
      </c>
      <c r="B69" s="102"/>
      <c r="C69" s="102" t="s">
        <v>727</v>
      </c>
      <c r="D69" s="248" t="s">
        <v>1226</v>
      </c>
      <c r="E69" s="102" t="s">
        <v>621</v>
      </c>
      <c r="F69" s="102" t="s">
        <v>622</v>
      </c>
      <c r="G69" s="102" t="s">
        <v>622</v>
      </c>
      <c r="H69" s="94" t="s">
        <v>972</v>
      </c>
      <c r="I69" s="102" t="s">
        <v>620</v>
      </c>
      <c r="J69" s="102" t="s">
        <v>623</v>
      </c>
      <c r="K69" s="105">
        <v>100</v>
      </c>
      <c r="L69" s="102" t="s">
        <v>68</v>
      </c>
      <c r="M69" s="123">
        <f>Table1[[#This Row],[QTY
RECIVED]]-Table1[[#This Row],[QTY 
ISSUED]]</f>
        <v>40</v>
      </c>
      <c r="N69" s="106">
        <f>Table1[[#This Row],[INVENTORY]]/208</f>
        <v>0.19230769230769232</v>
      </c>
      <c r="O69" s="102">
        <v>60</v>
      </c>
      <c r="P69" s="102" t="s">
        <v>974</v>
      </c>
      <c r="Q69" s="206" t="s">
        <v>1227</v>
      </c>
      <c r="R69" s="102"/>
      <c r="S69" s="102"/>
      <c r="T69" s="260" t="s">
        <v>947</v>
      </c>
      <c r="U69" s="127">
        <v>50</v>
      </c>
      <c r="V69" s="127">
        <v>150</v>
      </c>
      <c r="W69" s="102"/>
      <c r="X69" s="102"/>
    </row>
    <row r="70" spans="1:24" ht="23.25" thickBot="1" x14ac:dyDescent="0.3">
      <c r="A70" s="101">
        <v>67</v>
      </c>
      <c r="B70" s="102"/>
      <c r="C70" s="102" t="s">
        <v>778</v>
      </c>
      <c r="D70" s="248">
        <v>9987112562</v>
      </c>
      <c r="E70" s="102" t="s">
        <v>779</v>
      </c>
      <c r="F70" s="102" t="s">
        <v>642</v>
      </c>
      <c r="G70" s="102" t="s">
        <v>384</v>
      </c>
      <c r="H70" s="94" t="s">
        <v>915</v>
      </c>
      <c r="I70" s="102" t="s">
        <v>777</v>
      </c>
      <c r="J70" s="102" t="s">
        <v>776</v>
      </c>
      <c r="K70" s="105">
        <v>836</v>
      </c>
      <c r="L70" s="102" t="s">
        <v>68</v>
      </c>
      <c r="M70" s="123">
        <f>Table1[[#This Row],[QTY
RECIVED]]-Table1[[#This Row],[QTY 
ISSUED]]</f>
        <v>656</v>
      </c>
      <c r="N70" s="106">
        <f>Table1[[#This Row],[INVENTORY]]/208</f>
        <v>3.1538461538461537</v>
      </c>
      <c r="O70" s="102">
        <f>30+100+50</f>
        <v>180</v>
      </c>
      <c r="P70" s="102" t="s">
        <v>1125</v>
      </c>
      <c r="Q70" s="206" t="s">
        <v>1138</v>
      </c>
      <c r="R70" s="102"/>
      <c r="S70" s="102"/>
      <c r="T70" s="260" t="s">
        <v>949</v>
      </c>
      <c r="U70" s="127">
        <v>208</v>
      </c>
      <c r="V70" s="127">
        <v>624</v>
      </c>
      <c r="W70" s="115"/>
      <c r="X70" s="115"/>
    </row>
    <row r="71" spans="1:24" ht="15" x14ac:dyDescent="0.25">
      <c r="A71" s="101">
        <v>68</v>
      </c>
      <c r="B71" s="102" t="s">
        <v>1104</v>
      </c>
      <c r="C71" s="102" t="s">
        <v>720</v>
      </c>
      <c r="D71" s="249" t="s">
        <v>1159</v>
      </c>
      <c r="E71" s="202" t="s">
        <v>1158</v>
      </c>
      <c r="F71" s="201" t="s">
        <v>1241</v>
      </c>
      <c r="G71" s="102" t="s">
        <v>701</v>
      </c>
      <c r="H71" s="94" t="s">
        <v>989</v>
      </c>
      <c r="I71" s="102" t="s">
        <v>990</v>
      </c>
      <c r="J71" s="102"/>
      <c r="K71" s="105">
        <v>20040</v>
      </c>
      <c r="L71" s="102" t="s">
        <v>30</v>
      </c>
      <c r="M71" s="123">
        <f>Table1[[#This Row],[QTY
RECIVED]]-Table1[[#This Row],[QTY 
ISSUED]]</f>
        <v>0</v>
      </c>
      <c r="N71" s="106"/>
      <c r="O71" s="102">
        <v>20040</v>
      </c>
      <c r="P71" s="102" t="s">
        <v>1006</v>
      </c>
      <c r="Q71" s="206" t="s">
        <v>1103</v>
      </c>
      <c r="R71" s="102"/>
      <c r="S71" s="102"/>
      <c r="T71" s="260"/>
      <c r="U71" s="127"/>
      <c r="V71" s="127"/>
      <c r="W71" s="115"/>
      <c r="X71" s="115"/>
    </row>
    <row r="72" spans="1:24" ht="15" x14ac:dyDescent="0.25">
      <c r="A72" s="101">
        <v>69</v>
      </c>
      <c r="B72" s="102" t="s">
        <v>993</v>
      </c>
      <c r="C72" s="200" t="s">
        <v>1040</v>
      </c>
      <c r="D72" s="249">
        <v>9987119152</v>
      </c>
      <c r="E72" s="102" t="s">
        <v>1005</v>
      </c>
      <c r="F72" s="102" t="s">
        <v>992</v>
      </c>
      <c r="G72" s="102" t="s">
        <v>992</v>
      </c>
      <c r="H72" s="94" t="s">
        <v>989</v>
      </c>
      <c r="I72" s="102" t="s">
        <v>991</v>
      </c>
      <c r="J72" s="102" t="s">
        <v>1112</v>
      </c>
      <c r="K72" s="105">
        <v>20000</v>
      </c>
      <c r="L72" s="102" t="s">
        <v>30</v>
      </c>
      <c r="M72" s="123"/>
      <c r="N72" s="106"/>
      <c r="O72" s="102">
        <v>20000</v>
      </c>
      <c r="P72" s="102" t="s">
        <v>1006</v>
      </c>
      <c r="Q72" s="206" t="s">
        <v>1051</v>
      </c>
      <c r="R72" s="102"/>
      <c r="S72" s="102"/>
      <c r="T72" s="260"/>
      <c r="U72" s="127"/>
      <c r="V72" s="127"/>
      <c r="W72" s="115"/>
      <c r="X72" s="115"/>
    </row>
    <row r="73" spans="1:24" x14ac:dyDescent="0.25">
      <c r="A73" s="101">
        <v>70</v>
      </c>
      <c r="B73" s="102" t="s">
        <v>1031</v>
      </c>
      <c r="C73" s="102" t="s">
        <v>1040</v>
      </c>
      <c r="D73" s="248" t="s">
        <v>1159</v>
      </c>
      <c r="E73" s="102" t="s">
        <v>1032</v>
      </c>
      <c r="F73" s="102" t="s">
        <v>992</v>
      </c>
      <c r="G73" s="102" t="s">
        <v>992</v>
      </c>
      <c r="H73" s="94" t="s">
        <v>989</v>
      </c>
      <c r="I73" s="94" t="s">
        <v>1033</v>
      </c>
      <c r="J73" s="102" t="s">
        <v>1111</v>
      </c>
      <c r="K73" s="105">
        <v>100000</v>
      </c>
      <c r="L73" s="102" t="s">
        <v>30</v>
      </c>
      <c r="M73" s="123">
        <f>Table1[[#This Row],[QTY
RECIVED]]-Table1[[#This Row],[QTY 
ISSUED]]</f>
        <v>0</v>
      </c>
      <c r="N73" s="106"/>
      <c r="O73" s="102">
        <v>100000</v>
      </c>
      <c r="P73" s="102" t="s">
        <v>1126</v>
      </c>
      <c r="Q73" s="206">
        <v>4512</v>
      </c>
      <c r="R73" s="102"/>
      <c r="S73" s="102"/>
      <c r="T73" s="259"/>
      <c r="U73" s="127"/>
      <c r="V73" s="127"/>
      <c r="W73" s="102"/>
      <c r="X73" s="102"/>
    </row>
    <row r="74" spans="1:24" x14ac:dyDescent="0.25">
      <c r="A74" s="101">
        <v>71</v>
      </c>
      <c r="B74" s="102" t="s">
        <v>1040</v>
      </c>
      <c r="C74" s="102" t="s">
        <v>701</v>
      </c>
      <c r="D74" s="248">
        <v>9987119042</v>
      </c>
      <c r="E74" s="102"/>
      <c r="F74" s="102" t="s">
        <v>116</v>
      </c>
      <c r="G74" s="111" t="s">
        <v>383</v>
      </c>
      <c r="H74" s="94" t="s">
        <v>914</v>
      </c>
      <c r="I74" s="94" t="s">
        <v>1043</v>
      </c>
      <c r="J74" s="102" t="s">
        <v>1071</v>
      </c>
      <c r="K74" s="105">
        <v>624</v>
      </c>
      <c r="L74" s="102" t="s">
        <v>68</v>
      </c>
      <c r="M74" s="123">
        <f>Table1[[#This Row],[QTY
RECIVED]]-Table1[[#This Row],[QTY 
ISSUED]]</f>
        <v>208</v>
      </c>
      <c r="N74" s="106">
        <v>1</v>
      </c>
      <c r="O74" s="102">
        <v>416</v>
      </c>
      <c r="P74" s="102" t="s">
        <v>1044</v>
      </c>
      <c r="Q74" s="206">
        <v>4376</v>
      </c>
      <c r="R74" s="102"/>
      <c r="S74" s="102" t="s">
        <v>1045</v>
      </c>
      <c r="T74" s="259" t="s">
        <v>947</v>
      </c>
      <c r="U74" s="127"/>
      <c r="V74" s="127"/>
      <c r="W74" s="102"/>
      <c r="X74" s="102"/>
    </row>
    <row r="75" spans="1:24" ht="15" x14ac:dyDescent="0.25">
      <c r="A75" s="101">
        <v>72</v>
      </c>
      <c r="B75" s="102" t="s">
        <v>1062</v>
      </c>
      <c r="C75" s="102" t="s">
        <v>1105</v>
      </c>
      <c r="D75" s="248">
        <v>9987112402</v>
      </c>
      <c r="E75" s="102" t="s">
        <v>1073</v>
      </c>
      <c r="F75" s="102" t="s">
        <v>1069</v>
      </c>
      <c r="G75" s="111" t="s">
        <v>1063</v>
      </c>
      <c r="H75" s="230" t="s">
        <v>1053</v>
      </c>
      <c r="I75" s="94" t="s">
        <v>1054</v>
      </c>
      <c r="J75" s="102" t="s">
        <v>1070</v>
      </c>
      <c r="K75" s="105">
        <v>7488</v>
      </c>
      <c r="L75" s="102" t="s">
        <v>68</v>
      </c>
      <c r="M75" s="123">
        <f>Table1[[#This Row],[QTY
RECIVED]]-Table1[[#This Row],[QTY 
ISSUED]]</f>
        <v>7478</v>
      </c>
      <c r="N75" s="106">
        <v>36</v>
      </c>
      <c r="O75" s="102">
        <f>7+3</f>
        <v>10</v>
      </c>
      <c r="P75" s="102" t="s">
        <v>1229</v>
      </c>
      <c r="Q75" s="206" t="s">
        <v>1230</v>
      </c>
      <c r="R75" s="102"/>
      <c r="S75" s="102"/>
      <c r="T75" s="259" t="s">
        <v>1146</v>
      </c>
      <c r="U75" s="127"/>
      <c r="V75" s="127"/>
      <c r="W75" s="102"/>
      <c r="X75" s="102"/>
    </row>
    <row r="76" spans="1:24" ht="15" x14ac:dyDescent="0.25">
      <c r="A76" s="101">
        <v>73</v>
      </c>
      <c r="B76" s="102" t="s">
        <v>1062</v>
      </c>
      <c r="C76" s="102" t="s">
        <v>1105</v>
      </c>
      <c r="D76" s="248">
        <v>9987112392</v>
      </c>
      <c r="E76" s="102" t="s">
        <v>1073</v>
      </c>
      <c r="F76" s="102" t="s">
        <v>1069</v>
      </c>
      <c r="G76" s="111" t="s">
        <v>1063</v>
      </c>
      <c r="H76" s="230" t="s">
        <v>1060</v>
      </c>
      <c r="I76" s="94" t="s">
        <v>1054</v>
      </c>
      <c r="J76" s="102" t="s">
        <v>1072</v>
      </c>
      <c r="K76" s="105">
        <v>1500</v>
      </c>
      <c r="L76" s="102" t="s">
        <v>68</v>
      </c>
      <c r="M76" s="123">
        <f>Table1[[#This Row],[QTY
RECIVED]]-Table1[[#This Row],[QTY 
ISSUED]]</f>
        <v>1493</v>
      </c>
      <c r="N76" s="106">
        <v>75</v>
      </c>
      <c r="O76" s="102">
        <f>7</f>
        <v>7</v>
      </c>
      <c r="P76" s="102" t="s">
        <v>1168</v>
      </c>
      <c r="Q76" s="206">
        <v>4513</v>
      </c>
      <c r="R76" s="102"/>
      <c r="S76" s="102"/>
      <c r="T76" s="259" t="s">
        <v>1146</v>
      </c>
      <c r="U76" s="127"/>
      <c r="V76" s="127"/>
      <c r="W76" s="102"/>
      <c r="X76" s="102"/>
    </row>
    <row r="77" spans="1:24" x14ac:dyDescent="0.25">
      <c r="A77" s="101">
        <v>74</v>
      </c>
      <c r="B77" s="102" t="s">
        <v>1040</v>
      </c>
      <c r="C77" s="102" t="s">
        <v>1106</v>
      </c>
      <c r="D77" s="248">
        <v>9987112592</v>
      </c>
      <c r="E77" s="102" t="s">
        <v>1107</v>
      </c>
      <c r="F77" s="102" t="s">
        <v>94</v>
      </c>
      <c r="G77" s="111" t="s">
        <v>446</v>
      </c>
      <c r="H77" s="94" t="s">
        <v>1108</v>
      </c>
      <c r="I77" s="94" t="s">
        <v>1109</v>
      </c>
      <c r="J77" s="102" t="s">
        <v>1110</v>
      </c>
      <c r="K77" s="105">
        <v>100</v>
      </c>
      <c r="L77" s="102" t="s">
        <v>68</v>
      </c>
      <c r="M77" s="123">
        <f>Table1[[#This Row],[QTY
RECIVED]]-Table1[[#This Row],[QTY 
ISSUED]]</f>
        <v>100</v>
      </c>
      <c r="N77" s="106">
        <v>20</v>
      </c>
      <c r="O77" s="102"/>
      <c r="P77" s="102"/>
      <c r="Q77" s="206"/>
      <c r="R77" s="102"/>
      <c r="S77" s="102"/>
      <c r="T77" s="259" t="s">
        <v>1146</v>
      </c>
      <c r="U77" s="127"/>
      <c r="V77" s="127"/>
      <c r="W77" s="102"/>
      <c r="X77" s="102"/>
    </row>
    <row r="78" spans="1:24" ht="15" x14ac:dyDescent="0.25">
      <c r="A78" s="101">
        <v>75</v>
      </c>
      <c r="B78" s="115" t="s">
        <v>1113</v>
      </c>
      <c r="C78" s="115" t="s">
        <v>1114</v>
      </c>
      <c r="D78" s="249" t="s">
        <v>1159</v>
      </c>
      <c r="E78" s="115" t="s">
        <v>1115</v>
      </c>
      <c r="F78" s="115" t="s">
        <v>992</v>
      </c>
      <c r="G78" s="215" t="s">
        <v>992</v>
      </c>
      <c r="H78" s="216" t="s">
        <v>989</v>
      </c>
      <c r="I78" s="216" t="s">
        <v>1116</v>
      </c>
      <c r="J78" s="115" t="s">
        <v>1117</v>
      </c>
      <c r="K78" s="217">
        <v>120000</v>
      </c>
      <c r="L78" s="115" t="s">
        <v>30</v>
      </c>
      <c r="M78" s="123">
        <f>Table1[[#This Row],[QTY
RECIVED]]-Table1[[#This Row],[QTY 
ISSUED]]</f>
        <v>0</v>
      </c>
      <c r="N78" s="218"/>
      <c r="O78" s="115">
        <f>20000+100000</f>
        <v>120000</v>
      </c>
      <c r="P78" s="115" t="s">
        <v>1118</v>
      </c>
      <c r="Q78" s="219" t="s">
        <v>1170</v>
      </c>
      <c r="R78" s="115"/>
      <c r="S78" s="115"/>
      <c r="T78" s="263"/>
      <c r="U78" s="220"/>
      <c r="V78" s="220"/>
      <c r="W78" s="115"/>
      <c r="X78" s="115"/>
    </row>
    <row r="79" spans="1:24" s="59" customFormat="1" ht="27" customHeight="1" x14ac:dyDescent="0.25">
      <c r="A79" s="138">
        <v>24</v>
      </c>
      <c r="B79" s="234" t="s">
        <v>1062</v>
      </c>
      <c r="C79" s="234" t="s">
        <v>1061</v>
      </c>
      <c r="D79" s="142">
        <v>9987112412</v>
      </c>
      <c r="E79" s="139" t="s">
        <v>1073</v>
      </c>
      <c r="F79" s="139" t="s">
        <v>1063</v>
      </c>
      <c r="G79" s="139" t="s">
        <v>1063</v>
      </c>
      <c r="H79" s="140" t="s">
        <v>1076</v>
      </c>
      <c r="I79" s="139" t="s">
        <v>1077</v>
      </c>
      <c r="J79" s="142" t="s">
        <v>1169</v>
      </c>
      <c r="K79" s="143">
        <v>120</v>
      </c>
      <c r="L79" s="143" t="s">
        <v>30</v>
      </c>
      <c r="M79" s="123">
        <f>Table1[[#This Row],[QTY
RECIVED]]-Table1[[#This Row],[QTY 
ISSUED]]</f>
        <v>116</v>
      </c>
      <c r="N79" s="143">
        <v>6</v>
      </c>
      <c r="O79" s="142">
        <f>3+1</f>
        <v>4</v>
      </c>
      <c r="P79" s="144" t="s">
        <v>1229</v>
      </c>
      <c r="Q79" s="271" t="s">
        <v>1230</v>
      </c>
      <c r="R79" s="142"/>
      <c r="S79" s="139"/>
      <c r="T79" s="142" t="s">
        <v>1068</v>
      </c>
      <c r="U79" s="142"/>
      <c r="V79" s="142"/>
      <c r="W79" s="142"/>
      <c r="X79" s="146"/>
    </row>
    <row r="80" spans="1:24" x14ac:dyDescent="0.25">
      <c r="A80" s="101">
        <v>77</v>
      </c>
      <c r="B80" s="102"/>
      <c r="C80" s="102"/>
      <c r="D80" s="248"/>
      <c r="E80" s="102"/>
      <c r="F80" s="102"/>
      <c r="G80" s="111"/>
      <c r="H80" s="94"/>
      <c r="I80" s="94"/>
      <c r="J80" s="102"/>
      <c r="K80" s="105"/>
      <c r="L80" s="102"/>
      <c r="M80" s="123">
        <f>Table1[[#This Row],[QTY
RECIVED]]-Table1[[#This Row],[QTY 
ISSUED]]</f>
        <v>0</v>
      </c>
      <c r="N80" s="106"/>
      <c r="O80" s="102"/>
      <c r="P80" s="102"/>
      <c r="Q80" s="206"/>
      <c r="R80" s="102"/>
      <c r="S80" s="102"/>
      <c r="T80" s="259"/>
      <c r="U80" s="127"/>
      <c r="V80" s="127"/>
      <c r="W80" s="102"/>
      <c r="X80" s="102"/>
    </row>
    <row r="81" spans="1:24" x14ac:dyDescent="0.25">
      <c r="A81" s="101">
        <v>78</v>
      </c>
      <c r="B81" s="102"/>
      <c r="C81" s="102"/>
      <c r="D81" s="248"/>
      <c r="E81" s="102"/>
      <c r="F81" s="102"/>
      <c r="G81" s="111"/>
      <c r="H81" s="94"/>
      <c r="I81" s="94"/>
      <c r="J81" s="102"/>
      <c r="K81" s="105"/>
      <c r="L81" s="102"/>
      <c r="M81" s="123">
        <f>Table1[[#This Row],[QTY
RECIVED]]-Table1[[#This Row],[QTY 
ISSUED]]</f>
        <v>0</v>
      </c>
      <c r="N81" s="106"/>
      <c r="O81" s="102"/>
      <c r="P81" s="102"/>
      <c r="Q81" s="206"/>
      <c r="R81" s="102"/>
      <c r="S81" s="102"/>
      <c r="T81" s="259"/>
      <c r="U81" s="127"/>
      <c r="V81" s="127"/>
      <c r="W81" s="102"/>
      <c r="X81" s="102"/>
    </row>
    <row r="82" spans="1:24" x14ac:dyDescent="0.25">
      <c r="A82" s="101">
        <v>79</v>
      </c>
      <c r="B82" s="102"/>
      <c r="C82" s="102"/>
      <c r="D82" s="248"/>
      <c r="E82" s="102"/>
      <c r="F82" s="102"/>
      <c r="G82" s="111"/>
      <c r="H82" s="94"/>
      <c r="I82" s="94"/>
      <c r="J82" s="102"/>
      <c r="K82" s="105"/>
      <c r="L82" s="102"/>
      <c r="M82" s="123">
        <f>Table1[[#This Row],[QTY
RECIVED]]-Table1[[#This Row],[QTY 
ISSUED]]</f>
        <v>0</v>
      </c>
      <c r="N82" s="106"/>
      <c r="O82" s="102"/>
      <c r="P82" s="102"/>
      <c r="Q82" s="206"/>
      <c r="R82" s="102"/>
      <c r="S82" s="102"/>
      <c r="T82" s="259"/>
      <c r="U82" s="127"/>
      <c r="V82" s="127"/>
      <c r="W82" s="102"/>
      <c r="X82" s="102"/>
    </row>
    <row r="83" spans="1:24" x14ac:dyDescent="0.25">
      <c r="A83" s="101">
        <v>80</v>
      </c>
      <c r="B83" s="102"/>
      <c r="C83" s="102"/>
      <c r="D83" s="248"/>
      <c r="E83" s="102"/>
      <c r="F83" s="102"/>
      <c r="G83" s="111"/>
      <c r="H83" s="94"/>
      <c r="I83" s="94"/>
      <c r="J83" s="102"/>
      <c r="K83" s="105"/>
      <c r="L83" s="102"/>
      <c r="M83" s="123">
        <f>Table1[[#This Row],[QTY
RECIVED]]-Table1[[#This Row],[QTY 
ISSUED]]</f>
        <v>0</v>
      </c>
      <c r="N83" s="106"/>
      <c r="O83" s="102"/>
      <c r="P83" s="102"/>
      <c r="Q83" s="206"/>
      <c r="R83" s="102"/>
      <c r="S83" s="102"/>
      <c r="T83" s="259"/>
      <c r="U83" s="127"/>
      <c r="V83" s="127"/>
      <c r="W83" s="102"/>
      <c r="X83" s="102"/>
    </row>
    <row r="84" spans="1:24" x14ac:dyDescent="0.25">
      <c r="A84" s="101">
        <v>81</v>
      </c>
      <c r="B84" s="102"/>
      <c r="C84" s="102"/>
      <c r="D84" s="248"/>
      <c r="E84" s="102"/>
      <c r="F84" s="102"/>
      <c r="G84" s="111"/>
      <c r="H84" s="231" t="s">
        <v>996</v>
      </c>
      <c r="I84" s="94"/>
      <c r="J84" s="102"/>
      <c r="K84" s="105"/>
      <c r="L84" s="102"/>
      <c r="M84" s="123">
        <f>Table1[[#This Row],[QTY
RECIVED]]-Table1[[#This Row],[QTY 
ISSUED]]</f>
        <v>0</v>
      </c>
      <c r="N84" s="106"/>
      <c r="O84" s="102"/>
      <c r="P84" s="102"/>
      <c r="Q84" s="206"/>
      <c r="R84" s="102"/>
      <c r="S84" s="102"/>
      <c r="T84" s="259"/>
      <c r="U84" s="127"/>
      <c r="V84" s="127"/>
      <c r="W84" s="102"/>
      <c r="X84" s="102"/>
    </row>
    <row r="85" spans="1:24" x14ac:dyDescent="0.25">
      <c r="A85" s="101">
        <v>82</v>
      </c>
      <c r="B85" s="102"/>
      <c r="C85" s="102"/>
      <c r="D85" s="248"/>
      <c r="E85" s="102"/>
      <c r="F85" s="102"/>
      <c r="G85" s="111"/>
      <c r="H85" s="231" t="s">
        <v>997</v>
      </c>
      <c r="I85" s="94"/>
      <c r="J85" s="102"/>
      <c r="K85" s="105"/>
      <c r="L85" s="102"/>
      <c r="M85" s="123">
        <f>Table1[[#This Row],[QTY
RECIVED]]-Table1[[#This Row],[QTY 
ISSUED]]</f>
        <v>0</v>
      </c>
      <c r="N85" s="106"/>
      <c r="O85" s="102"/>
      <c r="P85" s="102"/>
      <c r="Q85" s="206"/>
      <c r="R85" s="102"/>
      <c r="S85" s="102"/>
      <c r="T85" s="259"/>
      <c r="U85" s="127"/>
      <c r="V85" s="127"/>
      <c r="W85" s="102"/>
      <c r="X85" s="102"/>
    </row>
    <row r="86" spans="1:24" x14ac:dyDescent="0.25">
      <c r="A86" s="101">
        <v>83</v>
      </c>
      <c r="B86" s="115"/>
      <c r="C86" s="115"/>
      <c r="D86" s="250"/>
      <c r="E86" s="115"/>
      <c r="F86" s="115"/>
      <c r="G86" s="215"/>
      <c r="H86" s="232"/>
      <c r="I86" s="216"/>
      <c r="J86" s="115"/>
      <c r="K86" s="217"/>
      <c r="L86" s="115"/>
      <c r="M86" s="123">
        <f>Table1[[#This Row],[QTY
RECIVED]]-Table1[[#This Row],[QTY 
ISSUED]]</f>
        <v>0</v>
      </c>
      <c r="N86" s="218"/>
      <c r="O86" s="115"/>
      <c r="P86" s="115"/>
      <c r="Q86" s="219"/>
      <c r="R86" s="115"/>
      <c r="S86" s="115"/>
      <c r="T86" s="263"/>
      <c r="U86" s="220"/>
      <c r="V86" s="220"/>
      <c r="W86" s="115"/>
      <c r="X86" s="115"/>
    </row>
    <row r="87" spans="1:24" x14ac:dyDescent="0.25">
      <c r="N87" s="118" t="s">
        <v>999</v>
      </c>
    </row>
    <row r="100" spans="18:20" ht="15" x14ac:dyDescent="0.25">
      <c r="R100"/>
      <c r="S100"/>
      <c r="T100" s="266"/>
    </row>
    <row r="101" spans="18:20" ht="15" x14ac:dyDescent="0.25">
      <c r="R101"/>
      <c r="S101"/>
      <c r="T101" s="266"/>
    </row>
    <row r="102" spans="18:20" ht="15" x14ac:dyDescent="0.25">
      <c r="R102"/>
      <c r="S102"/>
      <c r="T102" s="266"/>
    </row>
    <row r="103" spans="18:20" ht="15" x14ac:dyDescent="0.25">
      <c r="R103"/>
      <c r="S103"/>
      <c r="T103" s="266"/>
    </row>
    <row r="104" spans="18:20" ht="15" x14ac:dyDescent="0.25">
      <c r="R104"/>
      <c r="S104"/>
      <c r="T104" s="266"/>
    </row>
    <row r="105" spans="18:20" ht="15" x14ac:dyDescent="0.25">
      <c r="R105"/>
      <c r="S105"/>
      <c r="T105" s="266"/>
    </row>
    <row r="106" spans="18:20" ht="15" x14ac:dyDescent="0.25">
      <c r="R106"/>
      <c r="S106"/>
      <c r="T106" s="266"/>
    </row>
    <row r="107" spans="18:20" ht="15" x14ac:dyDescent="0.25">
      <c r="R107"/>
      <c r="S107"/>
      <c r="T107" s="266"/>
    </row>
    <row r="108" spans="18:20" ht="15" x14ac:dyDescent="0.25">
      <c r="R108"/>
      <c r="S108"/>
      <c r="T108" s="266"/>
    </row>
    <row r="109" spans="18:20" ht="15" x14ac:dyDescent="0.25">
      <c r="R109"/>
      <c r="S109"/>
      <c r="T109" s="266"/>
    </row>
    <row r="110" spans="18:20" ht="15" x14ac:dyDescent="0.25">
      <c r="R110"/>
      <c r="S110"/>
      <c r="T110" s="266"/>
    </row>
    <row r="111" spans="18:20" ht="15" x14ac:dyDescent="0.25">
      <c r="R111"/>
      <c r="S111"/>
      <c r="T111" s="266"/>
    </row>
    <row r="112" spans="18:20" ht="15" x14ac:dyDescent="0.25">
      <c r="R112"/>
      <c r="S112"/>
      <c r="T112" s="266"/>
    </row>
    <row r="113" spans="18:20" ht="15" x14ac:dyDescent="0.25">
      <c r="R113"/>
      <c r="S113"/>
      <c r="T113" s="266"/>
    </row>
    <row r="114" spans="18:20" ht="15" x14ac:dyDescent="0.25">
      <c r="R114"/>
      <c r="S114"/>
      <c r="T114" s="266"/>
    </row>
    <row r="115" spans="18:20" ht="15" x14ac:dyDescent="0.25">
      <c r="R115"/>
      <c r="S115"/>
      <c r="T115" s="266"/>
    </row>
    <row r="116" spans="18:20" ht="15" x14ac:dyDescent="0.25">
      <c r="R116"/>
      <c r="S116"/>
      <c r="T116" s="266"/>
    </row>
    <row r="117" spans="18:20" ht="15" x14ac:dyDescent="0.25">
      <c r="R117"/>
      <c r="S117"/>
      <c r="T117" s="266"/>
    </row>
  </sheetData>
  <mergeCells count="3">
    <mergeCell ref="A2:J2"/>
    <mergeCell ref="K2:N2"/>
    <mergeCell ref="T2:W2"/>
  </mergeCells>
  <phoneticPr fontId="2" type="noConversion"/>
  <conditionalFormatting sqref="M4:M5">
    <cfRule type="cellIs" dxfId="384" priority="16" operator="lessThan">
      <formula>12</formula>
    </cfRule>
  </conditionalFormatting>
  <conditionalFormatting sqref="M6:M7">
    <cfRule type="cellIs" dxfId="383" priority="15" operator="lessThan">
      <formula>110</formula>
    </cfRule>
  </conditionalFormatting>
  <conditionalFormatting sqref="M8">
    <cfRule type="cellIs" dxfId="382" priority="13" operator="lessThan">
      <formula>416</formula>
    </cfRule>
  </conditionalFormatting>
  <conditionalFormatting sqref="M9">
    <cfRule type="cellIs" dxfId="381" priority="53" operator="lessThan">
      <formula>45</formula>
    </cfRule>
    <cfRule type="cellIs" dxfId="380" priority="90" operator="lessThan">
      <formula>50</formula>
    </cfRule>
  </conditionalFormatting>
  <conditionalFormatting sqref="M10">
    <cfRule type="cellIs" dxfId="379" priority="51" operator="lessThan">
      <formula>416</formula>
    </cfRule>
  </conditionalFormatting>
  <conditionalFormatting sqref="M11">
    <cfRule type="cellIs" dxfId="378" priority="87" operator="lessThan">
      <formula>50</formula>
    </cfRule>
  </conditionalFormatting>
  <conditionalFormatting sqref="M11:M12">
    <cfRule type="cellIs" dxfId="377" priority="1" operator="lessThan">
      <formula>45</formula>
    </cfRule>
  </conditionalFormatting>
  <conditionalFormatting sqref="M14">
    <cfRule type="cellIs" dxfId="376" priority="2" operator="lessThan">
      <formula>45</formula>
    </cfRule>
  </conditionalFormatting>
  <conditionalFormatting sqref="M15">
    <cfRule type="cellIs" dxfId="375" priority="22" operator="lessThan">
      <formula>110</formula>
    </cfRule>
  </conditionalFormatting>
  <conditionalFormatting sqref="M16">
    <cfRule type="cellIs" priority="47" operator="lessThan">
      <formula>624</formula>
    </cfRule>
    <cfRule type="cellIs" dxfId="374" priority="48" operator="lessThan">
      <formula>416</formula>
    </cfRule>
    <cfRule type="cellIs" dxfId="373" priority="82" operator="lessThan">
      <formula>832</formula>
    </cfRule>
  </conditionalFormatting>
  <conditionalFormatting sqref="M17">
    <cfRule type="cellIs" dxfId="372" priority="46" operator="lessThan">
      <formula>208</formula>
    </cfRule>
  </conditionalFormatting>
  <conditionalFormatting sqref="M18">
    <cfRule type="cellIs" dxfId="371" priority="45" operator="lessThan">
      <formula>832</formula>
    </cfRule>
    <cfRule type="colorScale" priority="64">
      <colorScale>
        <cfvo type="num" val="832"/>
        <cfvo type="max"/>
        <color rgb="FFFFFF00"/>
        <color rgb="FFFFEF9C"/>
      </colorScale>
    </cfRule>
  </conditionalFormatting>
  <conditionalFormatting sqref="M19">
    <cfRule type="cellIs" dxfId="370" priority="44" operator="lessThan">
      <formula>6240</formula>
    </cfRule>
    <cfRule type="cellIs" dxfId="369" priority="78" operator="lessThan">
      <formula>110</formula>
    </cfRule>
  </conditionalFormatting>
  <conditionalFormatting sqref="M20">
    <cfRule type="cellIs" dxfId="368" priority="43" operator="lessThan">
      <formula>624</formula>
    </cfRule>
    <cfRule type="cellIs" dxfId="367" priority="63" operator="lessThanOrEqual">
      <formula>624</formula>
    </cfRule>
    <cfRule type="cellIs" dxfId="366" priority="77" operator="lessThan">
      <formula>45</formula>
    </cfRule>
  </conditionalFormatting>
  <conditionalFormatting sqref="M47">
    <cfRule type="cellIs" dxfId="365" priority="12" operator="lessThan">
      <formula>110</formula>
    </cfRule>
  </conditionalFormatting>
  <conditionalFormatting sqref="M55">
    <cfRule type="cellIs" dxfId="364" priority="20" operator="lessThan">
      <formula>624</formula>
    </cfRule>
    <cfRule type="cellIs" dxfId="363" priority="74" operator="lessThan">
      <formula>624</formula>
    </cfRule>
  </conditionalFormatting>
  <conditionalFormatting sqref="M57">
    <cfRule type="cellIs" dxfId="362" priority="11" operator="lessThan">
      <formula>416</formula>
    </cfRule>
  </conditionalFormatting>
  <conditionalFormatting sqref="M58">
    <cfRule type="cellIs" dxfId="361" priority="18" operator="lessThan">
      <formula>1250</formula>
    </cfRule>
    <cfRule type="cellIs" dxfId="360" priority="72" operator="lessThan">
      <formula>832</formula>
    </cfRule>
  </conditionalFormatting>
  <conditionalFormatting sqref="M59">
    <cfRule type="cellIs" dxfId="359" priority="10" operator="lessThan">
      <formula>6240</formula>
    </cfRule>
  </conditionalFormatting>
  <conditionalFormatting sqref="M61">
    <cfRule type="cellIs" dxfId="358" priority="9" operator="lessThan">
      <formula>624</formula>
    </cfRule>
  </conditionalFormatting>
  <conditionalFormatting sqref="M63:M64">
    <cfRule type="cellIs" dxfId="357" priority="8" operator="lessThan">
      <formula>1040</formula>
    </cfRule>
  </conditionalFormatting>
  <conditionalFormatting sqref="M66:M67">
    <cfRule type="cellIs" dxfId="356" priority="7" operator="lessThan">
      <formula>110</formula>
    </cfRule>
  </conditionalFormatting>
  <conditionalFormatting sqref="M68">
    <cfRule type="cellIs" dxfId="355" priority="6" operator="lessThan">
      <formula>2080</formula>
    </cfRule>
  </conditionalFormatting>
  <conditionalFormatting sqref="M69">
    <cfRule type="cellIs" dxfId="354" priority="5" operator="lessThan">
      <formula>50</formula>
    </cfRule>
  </conditionalFormatting>
  <conditionalFormatting sqref="M70:M72">
    <cfRule type="cellIs" dxfId="353" priority="4" operator="lessThan">
      <formula>208</formula>
    </cfRule>
  </conditionalFormatting>
  <printOptions horizontalCentered="1"/>
  <pageMargins left="0" right="0" top="0" bottom="0" header="0.3" footer="0.3"/>
  <pageSetup scale="29" fitToHeight="0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C5DFA-AD50-4F85-AF8B-7CC233DD1FAA}">
  <sheetPr>
    <tabColor rgb="FF00B0F0"/>
    <pageSetUpPr fitToPage="1"/>
  </sheetPr>
  <dimension ref="A1:AD111"/>
  <sheetViews>
    <sheetView view="pageBreakPreview" zoomScale="110" zoomScaleNormal="100" zoomScaleSheetLayoutView="110" workbookViewId="0">
      <pane ySplit="3" topLeftCell="A4" activePane="bottomLeft" state="frozen"/>
      <selection activeCell="G42" sqref="G42"/>
      <selection pane="bottomLeft" activeCell="M7" sqref="M7"/>
    </sheetView>
  </sheetViews>
  <sheetFormatPr defaultColWidth="9.140625" defaultRowHeight="11.25" x14ac:dyDescent="0.25"/>
  <cols>
    <col min="1" max="1" width="7.140625" style="229" customWidth="1"/>
    <col min="2" max="2" width="12.85546875" style="1" customWidth="1"/>
    <col min="3" max="3" width="11.7109375" style="1" customWidth="1"/>
    <col min="4" max="4" width="15.140625" style="1" customWidth="1"/>
    <col min="5" max="5" width="12.85546875" style="1" customWidth="1"/>
    <col min="6" max="6" width="21" style="1" customWidth="1"/>
    <col min="7" max="7" width="23.42578125" style="1" customWidth="1"/>
    <col min="8" max="8" width="43.42578125" style="1" customWidth="1"/>
    <col min="9" max="9" width="10.28515625" style="1" customWidth="1"/>
    <col min="10" max="10" width="18.85546875" style="1" customWidth="1"/>
    <col min="11" max="11" width="8.7109375" style="25" customWidth="1"/>
    <col min="12" max="12" width="8.85546875" style="1" customWidth="1"/>
    <col min="13" max="13" width="12.28515625" style="237" customWidth="1"/>
    <col min="14" max="14" width="9.28515625" style="241" customWidth="1"/>
    <col min="15" max="15" width="18.42578125" style="1" customWidth="1"/>
    <col min="16" max="16" width="12" style="1" customWidth="1"/>
    <col min="17" max="17" width="18" style="245" customWidth="1"/>
    <col min="18" max="18" width="18" style="1" customWidth="1"/>
    <col min="19" max="19" width="17.28515625" style="1" customWidth="1"/>
    <col min="20" max="20" width="14.28515625" style="1" customWidth="1"/>
    <col min="21" max="21" width="10.85546875" style="1" customWidth="1"/>
    <col min="22" max="22" width="9" style="1" customWidth="1"/>
    <col min="23" max="23" width="9.5703125" style="1" customWidth="1"/>
    <col min="24" max="24" width="26.28515625" style="1" customWidth="1"/>
    <col min="25" max="25" width="9.140625" style="1" customWidth="1"/>
    <col min="26" max="16384" width="9.140625" style="1"/>
  </cols>
  <sheetData>
    <row r="1" spans="1:30" ht="25.5" customHeight="1" thickBot="1" x14ac:dyDescent="0.3">
      <c r="A1" s="287" t="s">
        <v>864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9"/>
      <c r="N1" s="288"/>
      <c r="O1" s="288"/>
      <c r="P1" s="288"/>
      <c r="Q1" s="290"/>
      <c r="R1" s="288"/>
      <c r="S1" s="288"/>
      <c r="T1" s="288"/>
      <c r="U1" s="288"/>
      <c r="V1" s="288"/>
      <c r="W1" s="288"/>
      <c r="X1" s="288"/>
    </row>
    <row r="2" spans="1:30" ht="11.25" customHeight="1" x14ac:dyDescent="0.25">
      <c r="A2" s="280" t="s">
        <v>190</v>
      </c>
      <c r="B2" s="281"/>
      <c r="C2" s="281"/>
      <c r="D2" s="281"/>
      <c r="E2" s="281"/>
      <c r="F2" s="281"/>
      <c r="G2" s="281"/>
      <c r="H2" s="281"/>
      <c r="I2" s="281"/>
      <c r="J2" s="282"/>
      <c r="K2" s="283" t="s">
        <v>189</v>
      </c>
      <c r="L2" s="284"/>
      <c r="M2" s="285"/>
      <c r="N2" s="286"/>
      <c r="O2" s="18" t="s">
        <v>191</v>
      </c>
      <c r="P2" s="291" t="s">
        <v>188</v>
      </c>
      <c r="Q2" s="292"/>
      <c r="R2" s="293"/>
      <c r="S2" s="212"/>
      <c r="T2" s="212"/>
      <c r="U2" s="213"/>
      <c r="V2" s="214"/>
      <c r="W2" s="214"/>
      <c r="X2" s="214"/>
    </row>
    <row r="3" spans="1:30" s="38" customFormat="1" ht="42.75" customHeight="1" thickBot="1" x14ac:dyDescent="0.3">
      <c r="A3" s="225" t="s">
        <v>0</v>
      </c>
      <c r="B3" s="32" t="s">
        <v>1</v>
      </c>
      <c r="C3" s="32" t="s">
        <v>2</v>
      </c>
      <c r="D3" s="32" t="s">
        <v>709</v>
      </c>
      <c r="E3" s="32" t="s">
        <v>3</v>
      </c>
      <c r="F3" s="32" t="s">
        <v>388</v>
      </c>
      <c r="G3" s="32" t="s">
        <v>389</v>
      </c>
      <c r="H3" s="32" t="s">
        <v>4</v>
      </c>
      <c r="I3" s="32" t="s">
        <v>638</v>
      </c>
      <c r="J3" s="32" t="s">
        <v>637</v>
      </c>
      <c r="K3" s="34" t="s">
        <v>5</v>
      </c>
      <c r="L3" s="35" t="s">
        <v>6</v>
      </c>
      <c r="M3" s="235" t="s">
        <v>7</v>
      </c>
      <c r="N3" s="239" t="s">
        <v>1028</v>
      </c>
      <c r="O3" s="36" t="s">
        <v>8</v>
      </c>
      <c r="P3" s="37" t="s">
        <v>9</v>
      </c>
      <c r="Q3" s="242" t="s">
        <v>10</v>
      </c>
      <c r="R3" s="37" t="s">
        <v>978</v>
      </c>
      <c r="S3" s="37" t="s">
        <v>449</v>
      </c>
      <c r="T3" s="37" t="s">
        <v>12</v>
      </c>
      <c r="U3" s="37" t="s">
        <v>587</v>
      </c>
      <c r="V3" s="37" t="s">
        <v>759</v>
      </c>
      <c r="W3" s="37" t="s">
        <v>760</v>
      </c>
      <c r="X3" s="78" t="s">
        <v>784</v>
      </c>
      <c r="Y3" s="224"/>
      <c r="Z3" s="224"/>
      <c r="AA3" s="224"/>
      <c r="AB3" s="224"/>
      <c r="AC3" s="224"/>
      <c r="AD3" s="224"/>
    </row>
    <row r="4" spans="1:30" ht="22.5" x14ac:dyDescent="0.25">
      <c r="A4" s="226">
        <v>1</v>
      </c>
      <c r="B4" s="4"/>
      <c r="C4" s="4" t="s">
        <v>55</v>
      </c>
      <c r="D4" s="4">
        <v>9989266812</v>
      </c>
      <c r="E4" s="4" t="s">
        <v>72</v>
      </c>
      <c r="F4" s="4" t="s">
        <v>54</v>
      </c>
      <c r="G4" s="4" t="s">
        <v>54</v>
      </c>
      <c r="H4" s="67" t="s">
        <v>503</v>
      </c>
      <c r="I4" s="4"/>
      <c r="J4" s="4"/>
      <c r="K4" s="22">
        <v>10000</v>
      </c>
      <c r="L4" s="4" t="s">
        <v>30</v>
      </c>
      <c r="M4" s="26">
        <f>Table135[[#This Row],[QTY
RECIVED]]-Table135[[#This Row],[QTY 
ISSUED]]</f>
        <v>0</v>
      </c>
      <c r="N4" s="240">
        <v>0</v>
      </c>
      <c r="O4" s="4" t="s">
        <v>73</v>
      </c>
      <c r="P4" s="4">
        <v>10000</v>
      </c>
      <c r="Q4" s="4" t="s">
        <v>194</v>
      </c>
      <c r="R4" s="4" t="s">
        <v>134</v>
      </c>
      <c r="S4" s="4"/>
      <c r="T4" s="4" t="s">
        <v>195</v>
      </c>
      <c r="U4" s="2"/>
      <c r="V4" s="4"/>
      <c r="W4" s="4"/>
      <c r="X4" s="4"/>
      <c r="Y4" s="222"/>
      <c r="Z4" s="222"/>
      <c r="AA4" s="222"/>
      <c r="AB4" s="222"/>
      <c r="AC4" s="222"/>
      <c r="AD4" s="222"/>
    </row>
    <row r="5" spans="1:30" x14ac:dyDescent="0.25">
      <c r="A5" s="226">
        <v>2</v>
      </c>
      <c r="B5" s="4"/>
      <c r="C5" s="4"/>
      <c r="D5" s="4">
        <v>9989266812</v>
      </c>
      <c r="E5" s="4" t="s">
        <v>96</v>
      </c>
      <c r="F5" s="4" t="s">
        <v>54</v>
      </c>
      <c r="G5" s="4" t="s">
        <v>54</v>
      </c>
      <c r="H5" s="67" t="s">
        <v>503</v>
      </c>
      <c r="I5" s="4"/>
      <c r="J5" s="4"/>
      <c r="K5" s="22">
        <v>19470</v>
      </c>
      <c r="L5" s="4" t="s">
        <v>30</v>
      </c>
      <c r="M5" s="26">
        <f>Table135[[#This Row],[QTY
RECIVED]]-Table135[[#This Row],[QTY 
ISSUED]]</f>
        <v>0</v>
      </c>
      <c r="N5" s="240">
        <v>0</v>
      </c>
      <c r="O5" s="4" t="s">
        <v>87</v>
      </c>
      <c r="P5" s="4">
        <v>19470</v>
      </c>
      <c r="Q5" s="4" t="s">
        <v>194</v>
      </c>
      <c r="R5" s="4" t="s">
        <v>134</v>
      </c>
      <c r="S5" s="4"/>
      <c r="T5" s="4" t="s">
        <v>195</v>
      </c>
      <c r="U5" s="2"/>
      <c r="V5" s="4"/>
      <c r="W5" s="4"/>
      <c r="X5" s="4"/>
      <c r="Y5" s="221"/>
      <c r="Z5" s="221"/>
      <c r="AA5" s="221"/>
      <c r="AB5" s="221"/>
      <c r="AC5" s="221"/>
      <c r="AD5" s="221"/>
    </row>
    <row r="6" spans="1:30" ht="33.75" x14ac:dyDescent="0.25">
      <c r="A6" s="226">
        <v>3</v>
      </c>
      <c r="B6" s="4" t="s">
        <v>151</v>
      </c>
      <c r="C6" s="4" t="s">
        <v>150</v>
      </c>
      <c r="D6" s="4">
        <v>9961641062</v>
      </c>
      <c r="E6" s="4" t="s">
        <v>149</v>
      </c>
      <c r="F6" s="4" t="s">
        <v>16</v>
      </c>
      <c r="G6" s="4" t="s">
        <v>166</v>
      </c>
      <c r="H6" s="67" t="s">
        <v>535</v>
      </c>
      <c r="I6" s="4"/>
      <c r="J6" s="4" t="s">
        <v>89</v>
      </c>
      <c r="K6" s="22">
        <v>1000</v>
      </c>
      <c r="L6" s="4" t="s">
        <v>30</v>
      </c>
      <c r="M6" s="26">
        <f>Table135[[#This Row],[QTY
RECIVED]]-Table135[[#This Row],[QTY 
ISSUED]]</f>
        <v>0</v>
      </c>
      <c r="N6" s="240">
        <v>0</v>
      </c>
      <c r="O6" s="4" t="s">
        <v>83</v>
      </c>
      <c r="P6" s="4">
        <f>200+800</f>
        <v>1000</v>
      </c>
      <c r="Q6" s="4" t="s">
        <v>249</v>
      </c>
      <c r="R6" s="4" t="s">
        <v>248</v>
      </c>
      <c r="S6" s="4"/>
      <c r="T6" s="4" t="s">
        <v>137</v>
      </c>
      <c r="U6" s="2"/>
      <c r="V6" s="4"/>
      <c r="W6" s="4"/>
      <c r="X6" s="4"/>
      <c r="Y6" s="221"/>
      <c r="Z6" s="221"/>
      <c r="AA6" s="221"/>
      <c r="AB6" s="221"/>
      <c r="AC6" s="221"/>
      <c r="AD6" s="221"/>
    </row>
    <row r="7" spans="1:30" ht="45" x14ac:dyDescent="0.25">
      <c r="A7" s="226">
        <v>4</v>
      </c>
      <c r="B7" s="4" t="s">
        <v>91</v>
      </c>
      <c r="C7" s="4" t="s">
        <v>15</v>
      </c>
      <c r="D7" s="4">
        <v>9989008942</v>
      </c>
      <c r="E7" s="4" t="s">
        <v>90</v>
      </c>
      <c r="F7" s="12" t="s">
        <v>16</v>
      </c>
      <c r="G7" s="4" t="s">
        <v>162</v>
      </c>
      <c r="H7" s="67" t="s">
        <v>538</v>
      </c>
      <c r="I7" s="4"/>
      <c r="J7" s="4" t="s">
        <v>88</v>
      </c>
      <c r="K7" s="22">
        <v>1500</v>
      </c>
      <c r="L7" s="4" t="s">
        <v>30</v>
      </c>
      <c r="M7" s="26">
        <f>Table135[[#This Row],[QTY
RECIVED]]-Table135[[#This Row],[QTY 
ISSUED]]</f>
        <v>0</v>
      </c>
      <c r="N7" s="240">
        <v>0</v>
      </c>
      <c r="O7" s="4" t="s">
        <v>83</v>
      </c>
      <c r="P7" s="4">
        <f>400+400+400+80+220</f>
        <v>1500</v>
      </c>
      <c r="Q7" s="4" t="s">
        <v>436</v>
      </c>
      <c r="R7" s="4" t="s">
        <v>458</v>
      </c>
      <c r="S7" s="4"/>
      <c r="T7" s="4" t="s">
        <v>21</v>
      </c>
      <c r="U7" s="2"/>
      <c r="V7" s="4"/>
      <c r="W7" s="4"/>
      <c r="X7" s="4"/>
      <c r="Y7" s="221"/>
      <c r="Z7" s="221"/>
      <c r="AA7" s="221"/>
      <c r="AB7" s="221"/>
      <c r="AC7" s="221"/>
      <c r="AD7" s="221"/>
    </row>
    <row r="8" spans="1:30" ht="22.5" customHeight="1" x14ac:dyDescent="0.25">
      <c r="A8" s="226">
        <v>5</v>
      </c>
      <c r="B8" s="4" t="s">
        <v>91</v>
      </c>
      <c r="C8" s="4" t="s">
        <v>15</v>
      </c>
      <c r="D8" s="4">
        <v>99890008952</v>
      </c>
      <c r="E8" s="4" t="s">
        <v>90</v>
      </c>
      <c r="F8" s="12" t="s">
        <v>16</v>
      </c>
      <c r="G8" s="4" t="s">
        <v>167</v>
      </c>
      <c r="H8" s="67" t="s">
        <v>539</v>
      </c>
      <c r="I8" s="4"/>
      <c r="J8" s="4" t="s">
        <v>88</v>
      </c>
      <c r="K8" s="22">
        <v>1500</v>
      </c>
      <c r="L8" s="4" t="s">
        <v>30</v>
      </c>
      <c r="M8" s="26">
        <f>Table135[[#This Row],[QTY
RECIVED]]-Table135[[#This Row],[QTY 
ISSUED]]</f>
        <v>0</v>
      </c>
      <c r="N8" s="240">
        <v>0</v>
      </c>
      <c r="O8" s="4" t="s">
        <v>83</v>
      </c>
      <c r="P8" s="4">
        <f>300+200+300+400+300</f>
        <v>1500</v>
      </c>
      <c r="Q8" s="4" t="s">
        <v>767</v>
      </c>
      <c r="R8" s="4" t="s">
        <v>768</v>
      </c>
      <c r="S8" s="4"/>
      <c r="T8" s="4" t="s">
        <v>52</v>
      </c>
      <c r="U8" s="2"/>
      <c r="V8" s="4"/>
      <c r="W8" s="4"/>
      <c r="X8" s="4"/>
      <c r="Y8" s="221"/>
      <c r="Z8" s="221"/>
      <c r="AA8" s="221"/>
      <c r="AB8" s="221"/>
      <c r="AC8" s="221"/>
      <c r="AD8" s="221"/>
    </row>
    <row r="9" spans="1:30" ht="22.5" x14ac:dyDescent="0.25">
      <c r="A9" s="226">
        <v>6</v>
      </c>
      <c r="B9" s="4" t="s">
        <v>14</v>
      </c>
      <c r="C9" s="4" t="s">
        <v>15</v>
      </c>
      <c r="D9" s="4">
        <v>9989008942</v>
      </c>
      <c r="E9" s="4" t="s">
        <v>13</v>
      </c>
      <c r="F9" s="4" t="s">
        <v>16</v>
      </c>
      <c r="G9" s="4" t="s">
        <v>162</v>
      </c>
      <c r="H9" s="67" t="s">
        <v>538</v>
      </c>
      <c r="I9" s="4"/>
      <c r="J9" s="4"/>
      <c r="K9" s="22">
        <v>600</v>
      </c>
      <c r="L9" s="4" t="s">
        <v>17</v>
      </c>
      <c r="M9" s="26">
        <f>Table135[[#This Row],[QTY
RECIVED]]-Table135[[#This Row],[QTY 
ISSUED]]</f>
        <v>0</v>
      </c>
      <c r="N9" s="240">
        <v>0</v>
      </c>
      <c r="O9" s="4" t="s">
        <v>18</v>
      </c>
      <c r="P9" s="4">
        <v>600</v>
      </c>
      <c r="Q9" s="4" t="s">
        <v>19</v>
      </c>
      <c r="R9" s="4" t="s">
        <v>20</v>
      </c>
      <c r="S9" s="4"/>
      <c r="T9" s="4" t="s">
        <v>21</v>
      </c>
      <c r="U9" s="2"/>
      <c r="V9" s="4"/>
      <c r="W9" s="4"/>
      <c r="X9" s="4"/>
      <c r="Y9" s="221"/>
      <c r="Z9" s="221"/>
      <c r="AA9" s="221"/>
      <c r="AB9" s="221"/>
      <c r="AC9" s="221"/>
      <c r="AD9" s="221"/>
    </row>
    <row r="10" spans="1:30" ht="22.5" x14ac:dyDescent="0.25">
      <c r="A10" s="226">
        <v>7</v>
      </c>
      <c r="B10" s="4" t="s">
        <v>14</v>
      </c>
      <c r="C10" s="4" t="s">
        <v>15</v>
      </c>
      <c r="D10" s="4">
        <v>99890008952</v>
      </c>
      <c r="E10" s="4" t="s">
        <v>13</v>
      </c>
      <c r="F10" s="4" t="s">
        <v>16</v>
      </c>
      <c r="G10" s="4" t="s">
        <v>167</v>
      </c>
      <c r="H10" s="67" t="s">
        <v>539</v>
      </c>
      <c r="I10" s="4"/>
      <c r="J10" s="4"/>
      <c r="K10" s="22">
        <v>600</v>
      </c>
      <c r="L10" s="4" t="s">
        <v>17</v>
      </c>
      <c r="M10" s="26">
        <f>Table135[[#This Row],[QTY
RECIVED]]-Table135[[#This Row],[QTY 
ISSUED]]</f>
        <v>0</v>
      </c>
      <c r="N10" s="240">
        <v>0</v>
      </c>
      <c r="O10" s="4" t="s">
        <v>18</v>
      </c>
      <c r="P10" s="4">
        <v>600</v>
      </c>
      <c r="Q10" s="4" t="s">
        <v>19</v>
      </c>
      <c r="R10" s="4" t="s">
        <v>20</v>
      </c>
      <c r="S10" s="4"/>
      <c r="T10" s="4" t="s">
        <v>22</v>
      </c>
      <c r="U10" s="2"/>
      <c r="V10" s="4"/>
      <c r="W10" s="4"/>
      <c r="X10" s="4"/>
      <c r="Y10" s="221"/>
      <c r="Z10" s="221"/>
      <c r="AA10" s="221"/>
      <c r="AB10" s="221"/>
      <c r="AC10" s="221"/>
      <c r="AD10" s="221"/>
    </row>
    <row r="11" spans="1:30" ht="22.5" x14ac:dyDescent="0.25">
      <c r="A11" s="226">
        <v>8</v>
      </c>
      <c r="B11" s="4" t="s">
        <v>14</v>
      </c>
      <c r="C11" s="4" t="s">
        <v>15</v>
      </c>
      <c r="D11" s="4">
        <v>9961641022</v>
      </c>
      <c r="E11" s="4" t="s">
        <v>13</v>
      </c>
      <c r="F11" s="4" t="s">
        <v>16</v>
      </c>
      <c r="G11" s="4" t="s">
        <v>165</v>
      </c>
      <c r="H11" s="67" t="s">
        <v>536</v>
      </c>
      <c r="I11" s="4"/>
      <c r="J11" s="4"/>
      <c r="K11" s="22">
        <v>2000</v>
      </c>
      <c r="L11" s="4" t="s">
        <v>17</v>
      </c>
      <c r="M11" s="26">
        <f>Table135[[#This Row],[QTY
RECIVED]]-Table135[[#This Row],[QTY 
ISSUED]]</f>
        <v>0</v>
      </c>
      <c r="N11" s="240">
        <v>0</v>
      </c>
      <c r="O11" s="4" t="s">
        <v>18</v>
      </c>
      <c r="P11" s="4">
        <v>2000</v>
      </c>
      <c r="Q11" s="4" t="s">
        <v>23</v>
      </c>
      <c r="R11" s="4" t="s">
        <v>24</v>
      </c>
      <c r="S11" s="4"/>
      <c r="T11" s="4" t="s">
        <v>25</v>
      </c>
      <c r="U11" s="2"/>
      <c r="V11" s="4"/>
      <c r="W11" s="4"/>
      <c r="X11" s="4"/>
      <c r="Y11" s="221"/>
      <c r="Z11" s="221"/>
      <c r="AA11" s="221"/>
      <c r="AB11" s="221"/>
      <c r="AC11" s="221"/>
      <c r="AD11" s="221"/>
    </row>
    <row r="12" spans="1:30" ht="22.5" x14ac:dyDescent="0.25">
      <c r="A12" s="226">
        <v>9</v>
      </c>
      <c r="B12" s="4" t="s">
        <v>14</v>
      </c>
      <c r="C12" s="4" t="s">
        <v>15</v>
      </c>
      <c r="D12" s="4">
        <v>9961641042</v>
      </c>
      <c r="E12" s="4" t="s">
        <v>13</v>
      </c>
      <c r="F12" s="4" t="s">
        <v>16</v>
      </c>
      <c r="G12" s="4" t="s">
        <v>163</v>
      </c>
      <c r="H12" s="67" t="s">
        <v>537</v>
      </c>
      <c r="I12" s="4"/>
      <c r="J12" s="4"/>
      <c r="K12" s="22">
        <v>800</v>
      </c>
      <c r="L12" s="4" t="s">
        <v>17</v>
      </c>
      <c r="M12" s="26">
        <f>Table135[[#This Row],[QTY
RECIVED]]-Table135[[#This Row],[QTY 
ISSUED]]</f>
        <v>0</v>
      </c>
      <c r="N12" s="240">
        <v>0</v>
      </c>
      <c r="O12" s="4" t="s">
        <v>18</v>
      </c>
      <c r="P12" s="4">
        <v>800</v>
      </c>
      <c r="Q12" s="4" t="s">
        <v>26</v>
      </c>
      <c r="R12" s="4" t="s">
        <v>27</v>
      </c>
      <c r="S12" s="4"/>
      <c r="T12" s="4" t="s">
        <v>25</v>
      </c>
      <c r="U12" s="2"/>
      <c r="V12" s="4"/>
      <c r="W12" s="4"/>
      <c r="X12" s="4"/>
      <c r="Y12" s="221"/>
      <c r="Z12" s="221"/>
      <c r="AA12" s="221"/>
      <c r="AB12" s="221"/>
      <c r="AC12" s="221"/>
      <c r="AD12" s="221"/>
    </row>
    <row r="13" spans="1:30" ht="22.5" x14ac:dyDescent="0.25">
      <c r="A13" s="226">
        <v>10</v>
      </c>
      <c r="B13" s="4" t="s">
        <v>14</v>
      </c>
      <c r="C13" s="4" t="s">
        <v>15</v>
      </c>
      <c r="D13" s="4">
        <v>9961641082</v>
      </c>
      <c r="E13" s="4" t="s">
        <v>13</v>
      </c>
      <c r="F13" s="4" t="s">
        <v>16</v>
      </c>
      <c r="G13" s="4" t="s">
        <v>16</v>
      </c>
      <c r="H13" s="67" t="s">
        <v>872</v>
      </c>
      <c r="I13" s="4"/>
      <c r="J13" s="4"/>
      <c r="K13" s="22">
        <v>900</v>
      </c>
      <c r="L13" s="4" t="s">
        <v>17</v>
      </c>
      <c r="M13" s="26">
        <f>Table135[[#This Row],[QTY
RECIVED]]-Table135[[#This Row],[QTY 
ISSUED]]</f>
        <v>0</v>
      </c>
      <c r="N13" s="240">
        <v>0</v>
      </c>
      <c r="O13" s="4" t="s">
        <v>18</v>
      </c>
      <c r="P13" s="4">
        <f>600+300</f>
        <v>900</v>
      </c>
      <c r="Q13" s="4" t="s">
        <v>142</v>
      </c>
      <c r="R13" s="4" t="s">
        <v>141</v>
      </c>
      <c r="S13" s="4"/>
      <c r="T13" s="4" t="s">
        <v>140</v>
      </c>
      <c r="U13" s="2"/>
      <c r="V13" s="4"/>
      <c r="W13" s="4"/>
      <c r="X13" s="4"/>
      <c r="Y13" s="221"/>
      <c r="Z13" s="221"/>
      <c r="AA13" s="221"/>
      <c r="AB13" s="221"/>
      <c r="AC13" s="221"/>
      <c r="AD13" s="221"/>
    </row>
    <row r="14" spans="1:30" ht="45" x14ac:dyDescent="0.25">
      <c r="A14" s="226">
        <v>11</v>
      </c>
      <c r="B14" s="4" t="s">
        <v>14</v>
      </c>
      <c r="C14" s="4" t="s">
        <v>15</v>
      </c>
      <c r="D14" s="4">
        <v>9961641112</v>
      </c>
      <c r="E14" s="4" t="s">
        <v>13</v>
      </c>
      <c r="F14" s="4" t="s">
        <v>16</v>
      </c>
      <c r="G14" s="4" t="s">
        <v>16</v>
      </c>
      <c r="H14" s="67" t="s">
        <v>870</v>
      </c>
      <c r="I14" s="4"/>
      <c r="J14" s="4"/>
      <c r="K14" s="22">
        <v>8764</v>
      </c>
      <c r="L14" s="4" t="s">
        <v>17</v>
      </c>
      <c r="M14" s="26">
        <f>Table135[[#This Row],[QTY
RECIVED]]-Table135[[#This Row],[QTY 
ISSUED]]</f>
        <v>0</v>
      </c>
      <c r="N14" s="240">
        <v>0</v>
      </c>
      <c r="O14" s="4" t="s">
        <v>18</v>
      </c>
      <c r="P14" s="4">
        <v>8764</v>
      </c>
      <c r="Q14" s="243" t="s">
        <v>153</v>
      </c>
      <c r="R14" s="4" t="s">
        <v>152</v>
      </c>
      <c r="S14" s="4"/>
      <c r="T14" s="4" t="s">
        <v>25</v>
      </c>
      <c r="U14" s="2"/>
      <c r="V14" s="4"/>
      <c r="W14" s="4"/>
      <c r="X14" s="4"/>
      <c r="Y14" s="221"/>
      <c r="Z14" s="221"/>
      <c r="AA14" s="221"/>
      <c r="AB14" s="221"/>
      <c r="AC14" s="221"/>
      <c r="AD14" s="221"/>
    </row>
    <row r="15" spans="1:30" ht="22.5" x14ac:dyDescent="0.25">
      <c r="A15" s="226">
        <v>12</v>
      </c>
      <c r="B15" s="4" t="s">
        <v>29</v>
      </c>
      <c r="C15" s="4" t="s">
        <v>15</v>
      </c>
      <c r="D15" s="4">
        <v>9989008942</v>
      </c>
      <c r="E15" s="4" t="s">
        <v>28</v>
      </c>
      <c r="F15" s="4" t="s">
        <v>16</v>
      </c>
      <c r="G15" s="4" t="s">
        <v>162</v>
      </c>
      <c r="H15" s="67" t="s">
        <v>538</v>
      </c>
      <c r="I15" s="4"/>
      <c r="J15" s="4"/>
      <c r="K15" s="22">
        <v>1000</v>
      </c>
      <c r="L15" s="4" t="s">
        <v>30</v>
      </c>
      <c r="M15" s="26">
        <f>Table135[[#This Row],[QTY
RECIVED]]-Table135[[#This Row],[QTY 
ISSUED]]</f>
        <v>0</v>
      </c>
      <c r="N15" s="240">
        <v>0</v>
      </c>
      <c r="O15" s="4" t="s">
        <v>31</v>
      </c>
      <c r="P15" s="4">
        <v>1000</v>
      </c>
      <c r="Q15" s="4" t="s">
        <v>32</v>
      </c>
      <c r="R15" s="4" t="s">
        <v>33</v>
      </c>
      <c r="S15" s="4"/>
      <c r="T15" s="4" t="s">
        <v>21</v>
      </c>
      <c r="U15" s="2"/>
      <c r="V15" s="4"/>
      <c r="W15" s="4"/>
      <c r="X15" s="4"/>
      <c r="Y15" s="221"/>
      <c r="Z15" s="221"/>
      <c r="AA15" s="221"/>
      <c r="AB15" s="221"/>
      <c r="AC15" s="221"/>
      <c r="AD15" s="221"/>
    </row>
    <row r="16" spans="1:30" ht="56.25" x14ac:dyDescent="0.25">
      <c r="A16" s="226">
        <v>13</v>
      </c>
      <c r="B16" s="4" t="s">
        <v>29</v>
      </c>
      <c r="C16" s="4" t="s">
        <v>15</v>
      </c>
      <c r="D16" s="4">
        <v>9989008962</v>
      </c>
      <c r="E16" s="4" t="s">
        <v>28</v>
      </c>
      <c r="F16" s="12" t="s">
        <v>16</v>
      </c>
      <c r="G16" s="4" t="s">
        <v>168</v>
      </c>
      <c r="H16" s="67" t="s">
        <v>540</v>
      </c>
      <c r="I16" s="4"/>
      <c r="J16" s="4"/>
      <c r="K16" s="22">
        <v>3000</v>
      </c>
      <c r="L16" s="4" t="s">
        <v>30</v>
      </c>
      <c r="M16" s="26">
        <f>Table135[[#This Row],[QTY
RECIVED]]-Table135[[#This Row],[QTY 
ISSUED]]</f>
        <v>0</v>
      </c>
      <c r="N16" s="240">
        <v>0</v>
      </c>
      <c r="O16" s="4" t="s">
        <v>31</v>
      </c>
      <c r="P16" s="4">
        <f>800+600+200+200+200-200+50+200+400+15+65+470</f>
        <v>3000</v>
      </c>
      <c r="Q16" s="4" t="s">
        <v>828</v>
      </c>
      <c r="R16" s="4" t="s">
        <v>829</v>
      </c>
      <c r="S16" s="4" t="s">
        <v>450</v>
      </c>
      <c r="T16" s="4" t="s">
        <v>52</v>
      </c>
      <c r="U16" s="2"/>
      <c r="V16" s="4"/>
      <c r="W16" s="4"/>
      <c r="X16" s="4"/>
      <c r="Y16" s="221"/>
      <c r="Z16" s="221"/>
      <c r="AA16" s="221"/>
      <c r="AB16" s="221"/>
      <c r="AC16" s="221"/>
      <c r="AD16" s="221"/>
    </row>
    <row r="17" spans="1:30" ht="22.5" x14ac:dyDescent="0.25">
      <c r="A17" s="226">
        <v>14</v>
      </c>
      <c r="B17" s="4" t="s">
        <v>35</v>
      </c>
      <c r="C17" s="4" t="s">
        <v>15</v>
      </c>
      <c r="D17" s="4">
        <v>9961641042</v>
      </c>
      <c r="E17" s="4" t="s">
        <v>34</v>
      </c>
      <c r="F17" s="4" t="s">
        <v>16</v>
      </c>
      <c r="G17" s="4" t="s">
        <v>163</v>
      </c>
      <c r="H17" s="67" t="s">
        <v>537</v>
      </c>
      <c r="I17" s="4"/>
      <c r="J17" s="4"/>
      <c r="K17" s="22">
        <v>1000</v>
      </c>
      <c r="L17" s="4" t="s">
        <v>30</v>
      </c>
      <c r="M17" s="26">
        <f>Table135[[#This Row],[QTY
RECIVED]]-Table135[[#This Row],[QTY 
ISSUED]]</f>
        <v>0</v>
      </c>
      <c r="N17" s="240">
        <v>0</v>
      </c>
      <c r="O17" s="4" t="s">
        <v>36</v>
      </c>
      <c r="P17" s="4">
        <v>1000</v>
      </c>
      <c r="Q17" s="4" t="s">
        <v>37</v>
      </c>
      <c r="R17" s="4" t="s">
        <v>38</v>
      </c>
      <c r="S17" s="4"/>
      <c r="T17" s="4" t="s">
        <v>25</v>
      </c>
      <c r="U17" s="5"/>
      <c r="V17" s="4"/>
      <c r="W17" s="4"/>
      <c r="X17" s="4"/>
      <c r="Y17" s="221"/>
      <c r="Z17" s="221"/>
      <c r="AA17" s="221"/>
      <c r="AB17" s="221"/>
      <c r="AC17" s="221"/>
      <c r="AD17" s="221"/>
    </row>
    <row r="18" spans="1:30" ht="22.5" x14ac:dyDescent="0.25">
      <c r="A18" s="226">
        <v>15</v>
      </c>
      <c r="B18" s="4" t="s">
        <v>35</v>
      </c>
      <c r="C18" s="4" t="s">
        <v>15</v>
      </c>
      <c r="D18" s="4">
        <v>99890008952</v>
      </c>
      <c r="E18" s="4" t="s">
        <v>34</v>
      </c>
      <c r="F18" s="4" t="s">
        <v>16</v>
      </c>
      <c r="G18" s="4" t="s">
        <v>167</v>
      </c>
      <c r="H18" s="67" t="s">
        <v>539</v>
      </c>
      <c r="I18" s="4"/>
      <c r="J18" s="4"/>
      <c r="K18" s="22">
        <v>1400</v>
      </c>
      <c r="L18" s="4" t="s">
        <v>30</v>
      </c>
      <c r="M18" s="26">
        <f>Table135[[#This Row],[QTY
RECIVED]]-Table135[[#This Row],[QTY 
ISSUED]]</f>
        <v>0</v>
      </c>
      <c r="N18" s="240">
        <v>0</v>
      </c>
      <c r="O18" s="4" t="s">
        <v>36</v>
      </c>
      <c r="P18" s="4">
        <v>1400</v>
      </c>
      <c r="Q18" s="4" t="s">
        <v>40</v>
      </c>
      <c r="R18" s="4" t="s">
        <v>41</v>
      </c>
      <c r="S18" s="4"/>
      <c r="T18" s="4" t="s">
        <v>42</v>
      </c>
      <c r="U18" s="2"/>
      <c r="V18" s="4"/>
      <c r="W18" s="4"/>
      <c r="X18" s="4"/>
      <c r="Y18" s="221"/>
      <c r="Z18" s="221"/>
      <c r="AA18" s="221"/>
      <c r="AB18" s="221"/>
      <c r="AC18" s="221"/>
      <c r="AD18" s="221"/>
    </row>
    <row r="19" spans="1:30" ht="22.5" x14ac:dyDescent="0.25">
      <c r="A19" s="226">
        <v>16</v>
      </c>
      <c r="B19" s="4" t="s">
        <v>35</v>
      </c>
      <c r="C19" s="4" t="s">
        <v>15</v>
      </c>
      <c r="D19" s="73">
        <v>9961641042</v>
      </c>
      <c r="E19" s="4" t="s">
        <v>48</v>
      </c>
      <c r="F19" s="4" t="s">
        <v>16</v>
      </c>
      <c r="G19" s="67" t="s">
        <v>163</v>
      </c>
      <c r="H19" s="67" t="s">
        <v>710</v>
      </c>
      <c r="I19" s="4"/>
      <c r="J19" s="4"/>
      <c r="K19" s="22">
        <v>400</v>
      </c>
      <c r="L19" s="4" t="s">
        <v>30</v>
      </c>
      <c r="M19" s="26">
        <f>Table135[[#This Row],[QTY
RECIVED]]-Table135[[#This Row],[QTY 
ISSUED]]</f>
        <v>0</v>
      </c>
      <c r="N19" s="240">
        <v>0</v>
      </c>
      <c r="O19" s="4" t="s">
        <v>36</v>
      </c>
      <c r="P19" s="4">
        <v>400</v>
      </c>
      <c r="Q19" s="4" t="s">
        <v>43</v>
      </c>
      <c r="R19" s="4" t="s">
        <v>44</v>
      </c>
      <c r="S19" s="4"/>
      <c r="T19" s="4" t="s">
        <v>25</v>
      </c>
      <c r="U19" s="2"/>
      <c r="V19" s="4"/>
      <c r="W19" s="4"/>
      <c r="X19" s="4"/>
      <c r="Y19" s="221"/>
      <c r="Z19" s="221"/>
      <c r="AA19" s="221"/>
      <c r="AB19" s="221"/>
      <c r="AC19" s="221"/>
      <c r="AD19" s="221"/>
    </row>
    <row r="20" spans="1:30" ht="22.5" x14ac:dyDescent="0.25">
      <c r="A20" s="226">
        <v>17</v>
      </c>
      <c r="B20" s="4" t="s">
        <v>35</v>
      </c>
      <c r="C20" s="4" t="s">
        <v>15</v>
      </c>
      <c r="D20" s="4">
        <v>9961641082</v>
      </c>
      <c r="E20" s="4" t="s">
        <v>34</v>
      </c>
      <c r="F20" s="4" t="s">
        <v>16</v>
      </c>
      <c r="G20" s="4" t="s">
        <v>16</v>
      </c>
      <c r="H20" s="67" t="s">
        <v>872</v>
      </c>
      <c r="I20" s="4"/>
      <c r="J20" s="4"/>
      <c r="K20" s="22">
        <v>1800</v>
      </c>
      <c r="L20" s="4" t="s">
        <v>30</v>
      </c>
      <c r="M20" s="26">
        <f>Table135[[#This Row],[QTY
RECIVED]]-Table135[[#This Row],[QTY 
ISSUED]]</f>
        <v>0</v>
      </c>
      <c r="N20" s="240">
        <v>0</v>
      </c>
      <c r="O20" s="4" t="s">
        <v>36</v>
      </c>
      <c r="P20" s="4">
        <f>1750+50</f>
        <v>1800</v>
      </c>
      <c r="Q20" s="4" t="s">
        <v>144</v>
      </c>
      <c r="R20" s="4" t="s">
        <v>143</v>
      </c>
      <c r="S20" s="4"/>
      <c r="T20" s="4" t="s">
        <v>25</v>
      </c>
      <c r="U20" s="2"/>
      <c r="V20" s="4"/>
      <c r="W20" s="4"/>
      <c r="X20" s="4"/>
      <c r="Y20" s="221"/>
      <c r="Z20" s="221"/>
      <c r="AA20" s="221"/>
      <c r="AB20" s="221"/>
      <c r="AC20" s="221"/>
      <c r="AD20" s="221"/>
    </row>
    <row r="21" spans="1:30" ht="33.75" x14ac:dyDescent="0.25">
      <c r="A21" s="226">
        <v>18</v>
      </c>
      <c r="B21" s="4" t="s">
        <v>35</v>
      </c>
      <c r="C21" s="4" t="s">
        <v>15</v>
      </c>
      <c r="D21" s="4">
        <v>9961641022</v>
      </c>
      <c r="E21" s="4" t="s">
        <v>34</v>
      </c>
      <c r="F21" s="4" t="s">
        <v>16</v>
      </c>
      <c r="G21" s="4" t="s">
        <v>165</v>
      </c>
      <c r="H21" s="67" t="s">
        <v>536</v>
      </c>
      <c r="I21" s="4"/>
      <c r="J21" s="4"/>
      <c r="K21" s="22">
        <v>4100</v>
      </c>
      <c r="L21" s="4" t="s">
        <v>30</v>
      </c>
      <c r="M21" s="26">
        <f>Table135[[#This Row],[QTY
RECIVED]]-Table135[[#This Row],[QTY 
ISSUED]]</f>
        <v>0</v>
      </c>
      <c r="N21" s="240">
        <v>0</v>
      </c>
      <c r="O21" s="4" t="s">
        <v>36</v>
      </c>
      <c r="P21" s="4">
        <f>3100+1000</f>
        <v>4100</v>
      </c>
      <c r="Q21" s="4" t="s">
        <v>139</v>
      </c>
      <c r="R21" s="4" t="s">
        <v>138</v>
      </c>
      <c r="S21" s="4"/>
      <c r="T21" s="4" t="s">
        <v>137</v>
      </c>
      <c r="U21" s="2"/>
      <c r="V21" s="4"/>
      <c r="W21" s="4"/>
      <c r="X21" s="4"/>
      <c r="Y21" s="221"/>
      <c r="Z21" s="221"/>
      <c r="AA21" s="221"/>
      <c r="AB21" s="221"/>
      <c r="AC21" s="221"/>
      <c r="AD21" s="221"/>
    </row>
    <row r="22" spans="1:30" ht="22.5" x14ac:dyDescent="0.25">
      <c r="A22" s="226">
        <v>19</v>
      </c>
      <c r="B22" s="4" t="s">
        <v>35</v>
      </c>
      <c r="C22" s="4" t="s">
        <v>15</v>
      </c>
      <c r="D22" s="4">
        <v>9961641042</v>
      </c>
      <c r="E22" s="4" t="s">
        <v>48</v>
      </c>
      <c r="F22" s="4" t="s">
        <v>16</v>
      </c>
      <c r="G22" s="4" t="s">
        <v>163</v>
      </c>
      <c r="H22" s="67" t="s">
        <v>537</v>
      </c>
      <c r="I22" s="4"/>
      <c r="J22" s="4" t="s">
        <v>49</v>
      </c>
      <c r="K22" s="22">
        <v>125</v>
      </c>
      <c r="L22" s="4" t="s">
        <v>30</v>
      </c>
      <c r="M22" s="26">
        <f>Table135[[#This Row],[QTY
RECIVED]]-Table135[[#This Row],[QTY 
ISSUED]]</f>
        <v>0</v>
      </c>
      <c r="N22" s="240">
        <v>0</v>
      </c>
      <c r="O22" s="4" t="s">
        <v>36</v>
      </c>
      <c r="P22" s="4">
        <v>125</v>
      </c>
      <c r="Q22" s="4" t="s">
        <v>50</v>
      </c>
      <c r="R22" s="4" t="s">
        <v>51</v>
      </c>
      <c r="S22" s="4"/>
      <c r="T22" s="4" t="s">
        <v>52</v>
      </c>
      <c r="U22" s="2"/>
      <c r="V22" s="4"/>
      <c r="W22" s="4"/>
      <c r="X22" s="4"/>
      <c r="Y22" s="221"/>
      <c r="Z22" s="221"/>
      <c r="AA22" s="221"/>
      <c r="AB22" s="221"/>
      <c r="AC22" s="221"/>
      <c r="AD22" s="221"/>
    </row>
    <row r="23" spans="1:30" ht="45" x14ac:dyDescent="0.25">
      <c r="A23" s="226">
        <v>21</v>
      </c>
      <c r="B23" s="4" t="s">
        <v>35</v>
      </c>
      <c r="C23" s="4" t="s">
        <v>15</v>
      </c>
      <c r="D23" s="4">
        <v>9989008942</v>
      </c>
      <c r="E23" s="4" t="s">
        <v>34</v>
      </c>
      <c r="F23" s="12" t="s">
        <v>16</v>
      </c>
      <c r="G23" s="4" t="s">
        <v>162</v>
      </c>
      <c r="H23" s="67" t="s">
        <v>538</v>
      </c>
      <c r="I23" s="4"/>
      <c r="J23" s="4"/>
      <c r="K23" s="22">
        <v>1400</v>
      </c>
      <c r="L23" s="4" t="s">
        <v>30</v>
      </c>
      <c r="M23" s="26">
        <f>Table135[[#This Row],[QTY
RECIVED]]-Table135[[#This Row],[QTY 
ISSUED]]</f>
        <v>550</v>
      </c>
      <c r="N23" s="238">
        <f>Table135[[#This Row],[INVENTORY]]/200</f>
        <v>2.75</v>
      </c>
      <c r="O23" s="4" t="s">
        <v>36</v>
      </c>
      <c r="P23" s="4">
        <f>200+200+400+200+200-350</f>
        <v>850</v>
      </c>
      <c r="Q23" s="4" t="s">
        <v>667</v>
      </c>
      <c r="R23" s="4" t="s">
        <v>457</v>
      </c>
      <c r="S23" s="4" t="s">
        <v>450</v>
      </c>
      <c r="T23" s="4" t="s">
        <v>39</v>
      </c>
      <c r="U23" s="253" t="s">
        <v>1139</v>
      </c>
      <c r="V23" s="4"/>
      <c r="W23" s="4"/>
      <c r="X23" s="4"/>
      <c r="Y23" s="221"/>
      <c r="Z23" s="221"/>
      <c r="AA23" s="221"/>
      <c r="AB23" s="221"/>
      <c r="AC23" s="221"/>
      <c r="AD23" s="221"/>
    </row>
    <row r="24" spans="1:30" ht="78.75" x14ac:dyDescent="0.25">
      <c r="A24" s="226">
        <v>22</v>
      </c>
      <c r="B24" s="4" t="s">
        <v>46</v>
      </c>
      <c r="C24" s="4" t="s">
        <v>15</v>
      </c>
      <c r="D24" s="4">
        <v>9961641112</v>
      </c>
      <c r="E24" s="4" t="s">
        <v>45</v>
      </c>
      <c r="F24" s="12" t="s">
        <v>16</v>
      </c>
      <c r="G24" s="12" t="s">
        <v>16</v>
      </c>
      <c r="H24" s="67" t="s">
        <v>870</v>
      </c>
      <c r="I24" s="4"/>
      <c r="J24" s="4"/>
      <c r="K24" s="22">
        <v>17636</v>
      </c>
      <c r="L24" s="4" t="s">
        <v>30</v>
      </c>
      <c r="M24" s="26">
        <f>Table135[[#This Row],[QTY
RECIVED]]-Table135[[#This Row],[QTY 
ISSUED]]</f>
        <v>2000</v>
      </c>
      <c r="N24" s="238">
        <f>Table135[[#This Row],[INVENTORY]]/250</f>
        <v>8</v>
      </c>
      <c r="O24" s="4" t="s">
        <v>47</v>
      </c>
      <c r="P24" s="4">
        <f>919+1000+500+467+1000+1000+1000+2160+1590+1000+2000+1000+1000+1000</f>
        <v>15636</v>
      </c>
      <c r="Q24" s="243" t="s">
        <v>1049</v>
      </c>
      <c r="R24" s="4" t="s">
        <v>1050</v>
      </c>
      <c r="S24" s="4"/>
      <c r="T24" s="4" t="s">
        <v>52</v>
      </c>
      <c r="U24" s="254" t="s">
        <v>1140</v>
      </c>
      <c r="V24" s="4"/>
      <c r="W24" s="4"/>
      <c r="X24" s="4"/>
      <c r="Y24" s="221"/>
      <c r="Z24" s="221"/>
      <c r="AA24" s="221"/>
      <c r="AB24" s="221"/>
      <c r="AC24" s="221"/>
      <c r="AD24" s="221"/>
    </row>
    <row r="25" spans="1:30" ht="22.5" x14ac:dyDescent="0.25">
      <c r="A25" s="226">
        <v>23</v>
      </c>
      <c r="B25" s="4"/>
      <c r="C25" s="4" t="s">
        <v>55</v>
      </c>
      <c r="D25" s="4">
        <v>9989266812</v>
      </c>
      <c r="E25" s="4" t="s">
        <v>56</v>
      </c>
      <c r="F25" s="4" t="s">
        <v>54</v>
      </c>
      <c r="G25" s="4" t="s">
        <v>54</v>
      </c>
      <c r="H25" s="67" t="s">
        <v>503</v>
      </c>
      <c r="I25" s="4"/>
      <c r="J25" s="4"/>
      <c r="K25" s="22">
        <v>60300</v>
      </c>
      <c r="L25" s="4" t="s">
        <v>30</v>
      </c>
      <c r="M25" s="26">
        <f>Table135[[#This Row],[QTY
RECIVED]]-Table135[[#This Row],[QTY 
ISSUED]]</f>
        <v>0</v>
      </c>
      <c r="N25" s="238">
        <f>Table135[[#This Row],[INVENTORY]]/250</f>
        <v>0</v>
      </c>
      <c r="O25" s="4" t="s">
        <v>57</v>
      </c>
      <c r="P25" s="4">
        <v>60300</v>
      </c>
      <c r="Q25" s="4" t="s">
        <v>194</v>
      </c>
      <c r="R25" s="4" t="s">
        <v>134</v>
      </c>
      <c r="S25" s="4"/>
      <c r="T25" s="4" t="s">
        <v>195</v>
      </c>
      <c r="U25" s="2"/>
      <c r="V25" s="4"/>
      <c r="W25" s="4"/>
      <c r="X25" s="4"/>
      <c r="Y25" s="221"/>
      <c r="Z25" s="221"/>
      <c r="AA25" s="221"/>
      <c r="AB25" s="221"/>
      <c r="AC25" s="221"/>
      <c r="AD25" s="221"/>
    </row>
    <row r="26" spans="1:30" ht="22.5" x14ac:dyDescent="0.25">
      <c r="A26" s="226">
        <v>24</v>
      </c>
      <c r="B26" s="4">
        <v>922</v>
      </c>
      <c r="C26" s="4" t="s">
        <v>701</v>
      </c>
      <c r="D26" s="4">
        <v>9989000782</v>
      </c>
      <c r="E26" s="4" t="s">
        <v>129</v>
      </c>
      <c r="F26" s="4" t="s">
        <v>125</v>
      </c>
      <c r="G26" s="4" t="s">
        <v>126</v>
      </c>
      <c r="H26" s="67" t="s">
        <v>1026</v>
      </c>
      <c r="I26" s="4"/>
      <c r="J26" s="4"/>
      <c r="K26" s="22">
        <v>15</v>
      </c>
      <c r="L26" s="4" t="s">
        <v>30</v>
      </c>
      <c r="M26" s="236">
        <f>Table135[[#This Row],[QTY
RECIVED]]-Table135[[#This Row],[QTY 
ISSUED]]</f>
        <v>0</v>
      </c>
      <c r="N26" s="238">
        <f>Table135[[#This Row],[INVENTORY]]/250</f>
        <v>0</v>
      </c>
      <c r="O26" s="4" t="s">
        <v>128</v>
      </c>
      <c r="P26" s="4">
        <v>15</v>
      </c>
      <c r="Q26" s="4" t="s">
        <v>109</v>
      </c>
      <c r="R26" s="4" t="s">
        <v>66</v>
      </c>
      <c r="S26" s="4"/>
      <c r="T26" s="4" t="s">
        <v>52</v>
      </c>
      <c r="U26" s="2"/>
      <c r="V26" s="4"/>
      <c r="W26" s="4"/>
      <c r="X26" s="4"/>
      <c r="Y26" s="221"/>
      <c r="Z26" s="221"/>
      <c r="AA26" s="221"/>
      <c r="AB26" s="221"/>
      <c r="AC26" s="221"/>
      <c r="AD26" s="221"/>
    </row>
    <row r="27" spans="1:30" ht="78.75" x14ac:dyDescent="0.25">
      <c r="A27" s="226">
        <v>25</v>
      </c>
      <c r="B27" s="4">
        <v>922</v>
      </c>
      <c r="C27" s="4" t="s">
        <v>701</v>
      </c>
      <c r="D27" s="4">
        <v>9989008042</v>
      </c>
      <c r="E27" s="4" t="s">
        <v>129</v>
      </c>
      <c r="F27" s="12" t="s">
        <v>125</v>
      </c>
      <c r="G27" s="4" t="s">
        <v>127</v>
      </c>
      <c r="H27" s="67" t="s">
        <v>127</v>
      </c>
      <c r="I27" s="4"/>
      <c r="J27" s="4"/>
      <c r="K27" s="22">
        <v>12000</v>
      </c>
      <c r="L27" s="4" t="s">
        <v>30</v>
      </c>
      <c r="M27" s="26">
        <f>Table135[[#This Row],[QTY
RECIVED]]-Table135[[#This Row],[QTY 
ISSUED]]</f>
        <v>0</v>
      </c>
      <c r="N27" s="238">
        <f>Table135[[#This Row],[INVENTORY]]/250</f>
        <v>0</v>
      </c>
      <c r="O27" s="4" t="s">
        <v>128</v>
      </c>
      <c r="P27" s="4">
        <f>140+100+760+1000+180+560+720+1120+1080+1000+1000+120+1000+1000+1220+1000</f>
        <v>12000</v>
      </c>
      <c r="Q27" s="4" t="s">
        <v>713</v>
      </c>
      <c r="R27" s="4" t="s">
        <v>714</v>
      </c>
      <c r="S27" s="4"/>
      <c r="T27" s="4" t="s">
        <v>52</v>
      </c>
      <c r="U27" s="2"/>
      <c r="V27" s="4"/>
      <c r="W27" s="4"/>
      <c r="X27" s="4"/>
      <c r="Y27" s="221"/>
      <c r="Z27" s="221"/>
      <c r="AA27" s="221"/>
      <c r="AB27" s="221"/>
      <c r="AC27" s="221"/>
      <c r="AD27" s="221"/>
    </row>
    <row r="28" spans="1:30" ht="22.5" x14ac:dyDescent="0.25">
      <c r="A28" s="226">
        <v>26</v>
      </c>
      <c r="B28" s="4"/>
      <c r="C28" s="4" t="s">
        <v>55</v>
      </c>
      <c r="D28" s="4">
        <v>9989008972</v>
      </c>
      <c r="E28" s="4" t="s">
        <v>61</v>
      </c>
      <c r="F28" s="4" t="s">
        <v>60</v>
      </c>
      <c r="G28" s="4" t="s">
        <v>169</v>
      </c>
      <c r="H28" s="67" t="s">
        <v>58</v>
      </c>
      <c r="I28" s="4"/>
      <c r="J28" s="4"/>
      <c r="K28" s="22">
        <v>5320</v>
      </c>
      <c r="L28" s="4" t="s">
        <v>30</v>
      </c>
      <c r="M28" s="26">
        <f>Table135[[#This Row],[QTY
RECIVED]]-Table135[[#This Row],[QTY 
ISSUED]]</f>
        <v>0</v>
      </c>
      <c r="N28" s="238">
        <f>Table135[[#This Row],[INVENTORY]]/250</f>
        <v>0</v>
      </c>
      <c r="O28" s="4" t="s">
        <v>59</v>
      </c>
      <c r="P28" s="4">
        <v>5320</v>
      </c>
      <c r="Q28" s="4" t="s">
        <v>194</v>
      </c>
      <c r="R28" s="4" t="s">
        <v>134</v>
      </c>
      <c r="S28" s="4"/>
      <c r="T28" s="4" t="s">
        <v>195</v>
      </c>
      <c r="U28" s="2"/>
      <c r="V28" s="4"/>
      <c r="W28" s="4"/>
      <c r="X28" s="4"/>
      <c r="Y28" s="221"/>
      <c r="Z28" s="221"/>
      <c r="AA28" s="221"/>
      <c r="AB28" s="221"/>
      <c r="AC28" s="221"/>
      <c r="AD28" s="221"/>
    </row>
    <row r="29" spans="1:30" ht="22.5" x14ac:dyDescent="0.25">
      <c r="A29" s="226">
        <v>27</v>
      </c>
      <c r="B29" s="4"/>
      <c r="C29" s="4" t="s">
        <v>55</v>
      </c>
      <c r="D29" s="4">
        <v>9989008972</v>
      </c>
      <c r="E29" s="4" t="s">
        <v>62</v>
      </c>
      <c r="F29" s="4" t="s">
        <v>60</v>
      </c>
      <c r="G29" s="4" t="s">
        <v>169</v>
      </c>
      <c r="H29" s="67" t="s">
        <v>58</v>
      </c>
      <c r="I29" s="4"/>
      <c r="J29" s="4"/>
      <c r="K29" s="22">
        <v>2000</v>
      </c>
      <c r="L29" s="4" t="s">
        <v>30</v>
      </c>
      <c r="M29" s="26">
        <f>Table135[[#This Row],[QTY
RECIVED]]-Table135[[#This Row],[QTY 
ISSUED]]</f>
        <v>0</v>
      </c>
      <c r="N29" s="238">
        <f>Table135[[#This Row],[INVENTORY]]/250</f>
        <v>0</v>
      </c>
      <c r="O29" s="4" t="s">
        <v>59</v>
      </c>
      <c r="P29" s="4">
        <v>2000</v>
      </c>
      <c r="Q29" s="4" t="s">
        <v>194</v>
      </c>
      <c r="R29" s="4" t="s">
        <v>134</v>
      </c>
      <c r="S29" s="4"/>
      <c r="T29" s="4" t="s">
        <v>195</v>
      </c>
      <c r="U29" s="2"/>
      <c r="V29" s="4"/>
      <c r="W29" s="4"/>
      <c r="X29" s="4"/>
      <c r="Y29" s="221"/>
      <c r="Z29" s="221"/>
      <c r="AA29" s="221"/>
      <c r="AB29" s="221"/>
      <c r="AC29" s="221"/>
      <c r="AD29" s="221"/>
    </row>
    <row r="30" spans="1:30" ht="22.5" x14ac:dyDescent="0.25">
      <c r="A30" s="226">
        <v>28</v>
      </c>
      <c r="B30" s="4"/>
      <c r="C30" s="4" t="s">
        <v>64</v>
      </c>
      <c r="D30" s="4">
        <v>9989007922</v>
      </c>
      <c r="E30" s="4" t="s">
        <v>66</v>
      </c>
      <c r="F30" s="4" t="s">
        <v>65</v>
      </c>
      <c r="G30" s="4" t="s">
        <v>63</v>
      </c>
      <c r="H30" s="67" t="s">
        <v>518</v>
      </c>
      <c r="I30" s="4"/>
      <c r="J30" s="4"/>
      <c r="K30" s="22">
        <v>24720</v>
      </c>
      <c r="L30" s="4" t="s">
        <v>30</v>
      </c>
      <c r="M30" s="26">
        <f>Table135[[#This Row],[QTY
RECIVED]]-Table135[[#This Row],[QTY 
ISSUED]]</f>
        <v>0</v>
      </c>
      <c r="N30" s="238">
        <f>Table135[[#This Row],[INVENTORY]]/250</f>
        <v>0</v>
      </c>
      <c r="O30" s="4" t="s">
        <v>67</v>
      </c>
      <c r="P30" s="4">
        <v>24720</v>
      </c>
      <c r="Q30" s="4" t="s">
        <v>194</v>
      </c>
      <c r="R30" s="4" t="s">
        <v>134</v>
      </c>
      <c r="S30" s="4"/>
      <c r="T30" s="4" t="s">
        <v>195</v>
      </c>
      <c r="U30" s="2"/>
      <c r="V30" s="4"/>
      <c r="W30" s="4"/>
      <c r="X30" s="4"/>
      <c r="Y30" s="221"/>
      <c r="Z30" s="221"/>
      <c r="AA30" s="221"/>
      <c r="AB30" s="221"/>
      <c r="AC30" s="221"/>
      <c r="AD30" s="221"/>
    </row>
    <row r="31" spans="1:30" ht="22.5" x14ac:dyDescent="0.25">
      <c r="A31" s="226">
        <v>29</v>
      </c>
      <c r="B31" s="4"/>
      <c r="C31" s="4" t="s">
        <v>55</v>
      </c>
      <c r="D31" s="4">
        <v>9989266812</v>
      </c>
      <c r="E31" s="4" t="s">
        <v>260</v>
      </c>
      <c r="F31" s="4" t="s">
        <v>54</v>
      </c>
      <c r="G31" s="4" t="s">
        <v>54</v>
      </c>
      <c r="H31" s="67" t="s">
        <v>503</v>
      </c>
      <c r="I31" s="4"/>
      <c r="J31" s="4" t="s">
        <v>471</v>
      </c>
      <c r="K31" s="22">
        <v>11290</v>
      </c>
      <c r="L31" s="4" t="s">
        <v>30</v>
      </c>
      <c r="M31" s="26">
        <f>Table135[[#This Row],[QTY
RECIVED]]-Table135[[#This Row],[QTY 
ISSUED]]</f>
        <v>0</v>
      </c>
      <c r="N31" s="238">
        <f>Table135[[#This Row],[INVENTORY]]/250</f>
        <v>0</v>
      </c>
      <c r="O31" s="4" t="s">
        <v>136</v>
      </c>
      <c r="P31" s="4">
        <f>4516+2258+1129+3387</f>
        <v>11290</v>
      </c>
      <c r="Q31" s="4" t="s">
        <v>472</v>
      </c>
      <c r="R31" s="4" t="s">
        <v>473</v>
      </c>
      <c r="S31" s="4"/>
      <c r="T31" s="4" t="s">
        <v>456</v>
      </c>
      <c r="U31" s="2"/>
      <c r="V31" s="4"/>
      <c r="W31" s="4"/>
      <c r="X31" s="4"/>
      <c r="Y31" s="221"/>
      <c r="Z31" s="221"/>
      <c r="AA31" s="221"/>
      <c r="AB31" s="221"/>
      <c r="AC31" s="221"/>
      <c r="AD31" s="221"/>
    </row>
    <row r="32" spans="1:30" x14ac:dyDescent="0.25">
      <c r="A32" s="226">
        <v>30</v>
      </c>
      <c r="B32" s="4"/>
      <c r="C32" s="4" t="s">
        <v>132</v>
      </c>
      <c r="D32" s="4"/>
      <c r="E32" s="4" t="s">
        <v>134</v>
      </c>
      <c r="F32" s="12" t="s">
        <v>135</v>
      </c>
      <c r="G32" s="4">
        <v>9989266832</v>
      </c>
      <c r="H32" s="67" t="s">
        <v>131</v>
      </c>
      <c r="I32" s="4"/>
      <c r="J32" s="4"/>
      <c r="K32" s="22">
        <v>10</v>
      </c>
      <c r="L32" s="4" t="s">
        <v>133</v>
      </c>
      <c r="M32" s="26">
        <f>Table135[[#This Row],[QTY
RECIVED]]-Table135[[#This Row],[QTY 
ISSUED]]</f>
        <v>0</v>
      </c>
      <c r="N32" s="238">
        <f>Table135[[#This Row],[INVENTORY]]/1</f>
        <v>0</v>
      </c>
      <c r="O32" s="4" t="s">
        <v>136</v>
      </c>
      <c r="P32" s="4">
        <v>10</v>
      </c>
      <c r="Q32" s="4" t="s">
        <v>1011</v>
      </c>
      <c r="R32" s="4">
        <v>3912</v>
      </c>
      <c r="S32" s="4"/>
      <c r="T32" s="4"/>
      <c r="U32" s="5"/>
      <c r="V32" s="4"/>
      <c r="W32" s="4"/>
      <c r="X32" s="4"/>
      <c r="Y32" s="221"/>
      <c r="Z32" s="221"/>
      <c r="AA32" s="221"/>
      <c r="AB32" s="221"/>
      <c r="AC32" s="221"/>
      <c r="AD32" s="221"/>
    </row>
    <row r="33" spans="1:30" ht="14.25" x14ac:dyDescent="0.25">
      <c r="A33" s="226">
        <v>31</v>
      </c>
      <c r="B33" s="4"/>
      <c r="C33" s="4" t="s">
        <v>701</v>
      </c>
      <c r="D33" s="4">
        <v>9989008982</v>
      </c>
      <c r="E33" s="4" t="s">
        <v>175</v>
      </c>
      <c r="F33" s="12" t="s">
        <v>116</v>
      </c>
      <c r="G33" s="4" t="s">
        <v>170</v>
      </c>
      <c r="H33" s="67" t="s">
        <v>117</v>
      </c>
      <c r="I33" s="4" t="s">
        <v>656</v>
      </c>
      <c r="J33" s="4"/>
      <c r="K33" s="22">
        <v>200</v>
      </c>
      <c r="L33" s="4" t="s">
        <v>30</v>
      </c>
      <c r="M33" s="26">
        <f>Table135[[#This Row],[QTY
RECIVED]]-Table135[[#This Row],[QTY 
ISSUED]]</f>
        <v>193</v>
      </c>
      <c r="N33" s="238">
        <f>Table135[[#This Row],[INVENTORY]]/208</f>
        <v>0.92788461538461542</v>
      </c>
      <c r="O33" s="4" t="s">
        <v>115</v>
      </c>
      <c r="P33" s="4">
        <v>7</v>
      </c>
      <c r="Q33" s="4" t="s">
        <v>1011</v>
      </c>
      <c r="R33" s="4">
        <v>3917</v>
      </c>
      <c r="S33" s="4"/>
      <c r="T33" s="4"/>
      <c r="U33" s="254" t="s">
        <v>1142</v>
      </c>
      <c r="V33" s="4"/>
      <c r="W33" s="4"/>
      <c r="X33" s="4"/>
      <c r="Y33" s="221"/>
      <c r="Z33" s="221"/>
      <c r="AA33" s="221"/>
      <c r="AB33" s="221"/>
      <c r="AC33" s="221"/>
      <c r="AD33" s="221"/>
    </row>
    <row r="34" spans="1:30" x14ac:dyDescent="0.25">
      <c r="A34" s="226">
        <v>32</v>
      </c>
      <c r="B34" s="4"/>
      <c r="C34" s="4" t="s">
        <v>701</v>
      </c>
      <c r="D34" s="4">
        <v>9989008882</v>
      </c>
      <c r="E34" s="4" t="s">
        <v>173</v>
      </c>
      <c r="F34" s="4" t="s">
        <v>111</v>
      </c>
      <c r="G34" s="4" t="s">
        <v>171</v>
      </c>
      <c r="H34" s="67" t="s">
        <v>112</v>
      </c>
      <c r="I34" s="4"/>
      <c r="J34" s="4"/>
      <c r="K34" s="22">
        <v>3010</v>
      </c>
      <c r="L34" s="4" t="s">
        <v>30</v>
      </c>
      <c r="M34" s="26">
        <f>Table135[[#This Row],[QTY
RECIVED]]-Table135[[#This Row],[QTY 
ISSUED]]</f>
        <v>0</v>
      </c>
      <c r="N34" s="238">
        <f>Table135[[#This Row],[INVENTORY]]/1</f>
        <v>0</v>
      </c>
      <c r="O34" s="4" t="s">
        <v>113</v>
      </c>
      <c r="P34" s="4">
        <v>3010</v>
      </c>
      <c r="Q34" s="4"/>
      <c r="R34" s="4"/>
      <c r="S34" s="4"/>
      <c r="T34" s="4"/>
      <c r="U34" s="2"/>
      <c r="V34" s="4"/>
      <c r="W34" s="4"/>
      <c r="X34" s="4"/>
      <c r="Y34" s="221"/>
      <c r="Z34" s="221"/>
      <c r="AA34" s="221"/>
      <c r="AB34" s="221"/>
      <c r="AC34" s="221"/>
      <c r="AD34" s="221"/>
    </row>
    <row r="35" spans="1:30" ht="22.5" x14ac:dyDescent="0.25">
      <c r="A35" s="226">
        <v>33</v>
      </c>
      <c r="B35" s="4"/>
      <c r="C35" s="4" t="s">
        <v>55</v>
      </c>
      <c r="D35" s="4">
        <v>9989008972</v>
      </c>
      <c r="E35" s="4" t="s">
        <v>110</v>
      </c>
      <c r="F35" s="4" t="s">
        <v>60</v>
      </c>
      <c r="G35" s="4" t="s">
        <v>169</v>
      </c>
      <c r="H35" s="67" t="s">
        <v>58</v>
      </c>
      <c r="I35" s="4"/>
      <c r="J35" s="4"/>
      <c r="K35" s="22">
        <v>5320</v>
      </c>
      <c r="L35" s="4" t="s">
        <v>30</v>
      </c>
      <c r="M35" s="26">
        <f>Table135[[#This Row],[QTY
RECIVED]]-Table135[[#This Row],[QTY 
ISSUED]]</f>
        <v>0</v>
      </c>
      <c r="N35" s="238">
        <f>Table135[[#This Row],[INVENTORY]]/1</f>
        <v>0</v>
      </c>
      <c r="O35" s="4" t="s">
        <v>109</v>
      </c>
      <c r="P35" s="4">
        <v>5320</v>
      </c>
      <c r="Q35" s="4" t="s">
        <v>194</v>
      </c>
      <c r="R35" s="4" t="s">
        <v>134</v>
      </c>
      <c r="S35" s="4"/>
      <c r="T35" s="4" t="s">
        <v>195</v>
      </c>
      <c r="U35" s="2"/>
      <c r="V35" s="4"/>
      <c r="W35" s="4"/>
      <c r="X35" s="4"/>
      <c r="Y35" s="221"/>
      <c r="Z35" s="221"/>
      <c r="AA35" s="221"/>
      <c r="AB35" s="221"/>
      <c r="AC35" s="221"/>
      <c r="AD35" s="221"/>
    </row>
    <row r="36" spans="1:30" ht="22.5" x14ac:dyDescent="0.25">
      <c r="A36" s="226">
        <v>34</v>
      </c>
      <c r="B36" s="4"/>
      <c r="C36" s="4" t="s">
        <v>64</v>
      </c>
      <c r="D36" s="4">
        <v>9989007922</v>
      </c>
      <c r="E36" s="4" t="s">
        <v>118</v>
      </c>
      <c r="F36" s="4" t="s">
        <v>65</v>
      </c>
      <c r="G36" s="4" t="s">
        <v>63</v>
      </c>
      <c r="H36" s="67" t="s">
        <v>518</v>
      </c>
      <c r="I36" s="4"/>
      <c r="J36" s="4"/>
      <c r="K36" s="22">
        <v>25620</v>
      </c>
      <c r="L36" s="4" t="s">
        <v>30</v>
      </c>
      <c r="M36" s="26">
        <f>Table135[[#This Row],[QTY
RECIVED]]-Table135[[#This Row],[QTY 
ISSUED]]</f>
        <v>0</v>
      </c>
      <c r="N36" s="238">
        <f>Table135[[#This Row],[INVENTORY]]/1</f>
        <v>0</v>
      </c>
      <c r="O36" s="4" t="s">
        <v>109</v>
      </c>
      <c r="P36" s="4">
        <v>25620</v>
      </c>
      <c r="Q36" s="4" t="s">
        <v>194</v>
      </c>
      <c r="R36" s="4" t="s">
        <v>134</v>
      </c>
      <c r="S36" s="4"/>
      <c r="T36" s="4" t="s">
        <v>195</v>
      </c>
      <c r="U36" s="2"/>
      <c r="V36" s="4"/>
      <c r="W36" s="4"/>
      <c r="X36" s="4"/>
      <c r="Y36" s="221"/>
      <c r="Z36" s="221"/>
      <c r="AA36" s="221"/>
      <c r="AB36" s="221"/>
      <c r="AC36" s="221"/>
      <c r="AD36" s="221"/>
    </row>
    <row r="37" spans="1:30" ht="45" x14ac:dyDescent="0.25">
      <c r="A37" s="226">
        <v>35</v>
      </c>
      <c r="B37" s="4" t="s">
        <v>98</v>
      </c>
      <c r="C37" s="4" t="s">
        <v>192</v>
      </c>
      <c r="D37" s="4">
        <v>9961641042</v>
      </c>
      <c r="E37" s="4" t="s">
        <v>97</v>
      </c>
      <c r="F37" s="4" t="s">
        <v>16</v>
      </c>
      <c r="G37" s="4" t="s">
        <v>163</v>
      </c>
      <c r="H37" s="67" t="s">
        <v>537</v>
      </c>
      <c r="I37" s="4"/>
      <c r="J37" s="4" t="s">
        <v>99</v>
      </c>
      <c r="K37" s="22">
        <v>300</v>
      </c>
      <c r="L37" s="4" t="s">
        <v>30</v>
      </c>
      <c r="M37" s="26">
        <f>Table135[[#This Row],[QTY
RECIVED]]-Table135[[#This Row],[QTY 
ISSUED]]</f>
        <v>0</v>
      </c>
      <c r="N37" s="238">
        <f>Table135[[#This Row],[INVENTORY]]/1</f>
        <v>0</v>
      </c>
      <c r="O37" s="4" t="s">
        <v>105</v>
      </c>
      <c r="P37" s="4">
        <v>300</v>
      </c>
      <c r="Q37" s="4" t="s">
        <v>124</v>
      </c>
      <c r="R37" s="4" t="s">
        <v>72</v>
      </c>
      <c r="S37" s="4"/>
      <c r="T37" s="4" t="s">
        <v>52</v>
      </c>
      <c r="U37" s="2"/>
      <c r="V37" s="4"/>
      <c r="W37" s="4"/>
      <c r="X37" s="4"/>
      <c r="Y37" s="221"/>
      <c r="Z37" s="221"/>
      <c r="AA37" s="221"/>
      <c r="AB37" s="221"/>
      <c r="AC37" s="221"/>
      <c r="AD37" s="221"/>
    </row>
    <row r="38" spans="1:30" ht="22.5" x14ac:dyDescent="0.25">
      <c r="A38" s="226">
        <v>36</v>
      </c>
      <c r="B38" s="4" t="s">
        <v>98</v>
      </c>
      <c r="C38" s="4" t="s">
        <v>192</v>
      </c>
      <c r="D38" s="4">
        <v>9961641062</v>
      </c>
      <c r="E38" s="4" t="s">
        <v>97</v>
      </c>
      <c r="F38" s="12" t="s">
        <v>16</v>
      </c>
      <c r="G38" s="4" t="s">
        <v>166</v>
      </c>
      <c r="H38" s="67" t="s">
        <v>535</v>
      </c>
      <c r="I38" s="4"/>
      <c r="J38" s="4" t="s">
        <v>100</v>
      </c>
      <c r="K38" s="22">
        <v>1200</v>
      </c>
      <c r="L38" s="4" t="s">
        <v>30</v>
      </c>
      <c r="M38" s="26">
        <f>Table135[[#This Row],[QTY
RECIVED]]-Table135[[#This Row],[QTY 
ISSUED]]</f>
        <v>600</v>
      </c>
      <c r="N38" s="238">
        <f>Table135[[#This Row],[INVENTORY]]/200</f>
        <v>3</v>
      </c>
      <c r="O38" s="4" t="s">
        <v>105</v>
      </c>
      <c r="P38" s="4">
        <f>400+200</f>
        <v>600</v>
      </c>
      <c r="Q38" s="4" t="s">
        <v>1010</v>
      </c>
      <c r="R38" s="4" t="s">
        <v>1014</v>
      </c>
      <c r="S38" s="4"/>
      <c r="T38" s="4" t="s">
        <v>137</v>
      </c>
      <c r="U38" s="254" t="s">
        <v>1139</v>
      </c>
      <c r="V38" s="4"/>
      <c r="W38" s="4"/>
      <c r="X38" s="4"/>
      <c r="Y38" s="221"/>
      <c r="Z38" s="221"/>
      <c r="AA38" s="221"/>
      <c r="AB38" s="221"/>
      <c r="AC38" s="221"/>
      <c r="AD38" s="221"/>
    </row>
    <row r="39" spans="1:30" ht="22.5" x14ac:dyDescent="0.25">
      <c r="A39" s="226">
        <v>37</v>
      </c>
      <c r="B39" s="4"/>
      <c r="C39" s="4" t="s">
        <v>64</v>
      </c>
      <c r="D39" s="4">
        <v>9989007922</v>
      </c>
      <c r="E39" s="4" t="s">
        <v>130</v>
      </c>
      <c r="F39" s="4" t="s">
        <v>65</v>
      </c>
      <c r="G39" s="4" t="s">
        <v>63</v>
      </c>
      <c r="H39" s="67" t="s">
        <v>518</v>
      </c>
      <c r="I39" s="4"/>
      <c r="J39" s="4"/>
      <c r="K39" s="22">
        <v>5000</v>
      </c>
      <c r="L39" s="4" t="s">
        <v>30</v>
      </c>
      <c r="M39" s="26">
        <f>Table135[[#This Row],[QTY
RECIVED]]-Table135[[#This Row],[QTY 
ISSUED]]</f>
        <v>0</v>
      </c>
      <c r="N39" s="238">
        <f>Table135[[#This Row],[INVENTORY]]/1</f>
        <v>0</v>
      </c>
      <c r="O39" s="4" t="s">
        <v>122</v>
      </c>
      <c r="P39" s="4">
        <v>5000</v>
      </c>
      <c r="Q39" s="4" t="s">
        <v>194</v>
      </c>
      <c r="R39" s="4" t="s">
        <v>134</v>
      </c>
      <c r="S39" s="4"/>
      <c r="T39" s="4" t="s">
        <v>195</v>
      </c>
      <c r="U39" s="2"/>
      <c r="V39" s="4"/>
      <c r="W39" s="4"/>
      <c r="X39" s="4"/>
      <c r="Y39" s="221"/>
      <c r="Z39" s="221"/>
      <c r="AA39" s="221"/>
      <c r="AB39" s="221"/>
      <c r="AC39" s="221"/>
      <c r="AD39" s="221"/>
    </row>
    <row r="40" spans="1:30" ht="22.5" x14ac:dyDescent="0.25">
      <c r="A40" s="226">
        <v>38</v>
      </c>
      <c r="B40" s="4"/>
      <c r="C40" s="4" t="s">
        <v>64</v>
      </c>
      <c r="D40" s="4">
        <v>9989007922</v>
      </c>
      <c r="E40" s="4" t="s">
        <v>177</v>
      </c>
      <c r="F40" s="4" t="s">
        <v>65</v>
      </c>
      <c r="G40" s="4" t="s">
        <v>63</v>
      </c>
      <c r="H40" s="67" t="s">
        <v>518</v>
      </c>
      <c r="I40" s="4"/>
      <c r="J40" s="4"/>
      <c r="K40" s="22">
        <v>19720</v>
      </c>
      <c r="L40" s="4" t="s">
        <v>30</v>
      </c>
      <c r="M40" s="26">
        <f>Table135[[#This Row],[QTY
RECIVED]]-Table135[[#This Row],[QTY 
ISSUED]]</f>
        <v>0</v>
      </c>
      <c r="N40" s="238">
        <f>Table135[[#This Row],[INVENTORY]]/1</f>
        <v>0</v>
      </c>
      <c r="O40" s="4" t="s">
        <v>156</v>
      </c>
      <c r="P40" s="4">
        <v>19720</v>
      </c>
      <c r="Q40" s="4" t="s">
        <v>194</v>
      </c>
      <c r="R40" s="4" t="s">
        <v>134</v>
      </c>
      <c r="S40" s="4"/>
      <c r="T40" s="4" t="s">
        <v>195</v>
      </c>
      <c r="U40" s="2"/>
      <c r="V40" s="4"/>
      <c r="W40" s="4"/>
      <c r="X40" s="4"/>
      <c r="Y40" s="221"/>
      <c r="Z40" s="221"/>
      <c r="AA40" s="221"/>
      <c r="AB40" s="221"/>
      <c r="AC40" s="221"/>
      <c r="AD40" s="221"/>
    </row>
    <row r="41" spans="1:30" ht="22.5" x14ac:dyDescent="0.25">
      <c r="A41" s="226">
        <v>39</v>
      </c>
      <c r="B41" s="4"/>
      <c r="C41" s="4" t="s">
        <v>193</v>
      </c>
      <c r="D41" s="4">
        <v>9961641022</v>
      </c>
      <c r="E41" s="4" t="s">
        <v>180</v>
      </c>
      <c r="F41" s="4" t="s">
        <v>16</v>
      </c>
      <c r="G41" s="4" t="s">
        <v>165</v>
      </c>
      <c r="H41" s="67" t="s">
        <v>536</v>
      </c>
      <c r="I41" s="4"/>
      <c r="J41" s="4" t="s">
        <v>182</v>
      </c>
      <c r="K41" s="22">
        <v>3000</v>
      </c>
      <c r="L41" s="4" t="s">
        <v>30</v>
      </c>
      <c r="M41" s="26">
        <f>Table135[[#This Row],[QTY
RECIVED]]-Table135[[#This Row],[QTY 
ISSUED]]</f>
        <v>0</v>
      </c>
      <c r="N41" s="238">
        <f>Table135[[#This Row],[INVENTORY]]/1</f>
        <v>0</v>
      </c>
      <c r="O41" s="4" t="s">
        <v>172</v>
      </c>
      <c r="P41" s="4">
        <f>1000+800+400+800</f>
        <v>3000</v>
      </c>
      <c r="Q41" s="4" t="s">
        <v>204</v>
      </c>
      <c r="R41" s="4" t="s">
        <v>205</v>
      </c>
      <c r="S41" s="4"/>
      <c r="T41" s="4" t="s">
        <v>52</v>
      </c>
      <c r="U41" s="2"/>
      <c r="V41" s="4"/>
      <c r="W41" s="4"/>
      <c r="X41" s="4"/>
      <c r="Y41" s="221"/>
      <c r="Z41" s="221"/>
      <c r="AA41" s="221"/>
      <c r="AB41" s="221"/>
      <c r="AC41" s="221"/>
      <c r="AD41" s="221"/>
    </row>
    <row r="42" spans="1:30" ht="56.25" x14ac:dyDescent="0.25">
      <c r="A42" s="226">
        <v>40</v>
      </c>
      <c r="B42" s="4"/>
      <c r="C42" s="4" t="s">
        <v>193</v>
      </c>
      <c r="D42" s="4">
        <v>9961641082</v>
      </c>
      <c r="E42" s="4" t="s">
        <v>180</v>
      </c>
      <c r="F42" s="12" t="s">
        <v>16</v>
      </c>
      <c r="G42" s="12" t="s">
        <v>16</v>
      </c>
      <c r="H42" s="67" t="s">
        <v>872</v>
      </c>
      <c r="I42" s="4"/>
      <c r="J42" s="4" t="s">
        <v>183</v>
      </c>
      <c r="K42" s="22">
        <v>1800</v>
      </c>
      <c r="L42" s="4" t="s">
        <v>30</v>
      </c>
      <c r="M42" s="26">
        <f>Table135[[#This Row],[QTY
RECIVED]]-Table135[[#This Row],[QTY 
ISSUED]]</f>
        <v>0</v>
      </c>
      <c r="N42" s="238">
        <f>Table135[[#This Row],[INVENTORY]]/1</f>
        <v>0</v>
      </c>
      <c r="O42" s="4" t="s">
        <v>172</v>
      </c>
      <c r="P42" s="4">
        <f>173+960+480+187</f>
        <v>1800</v>
      </c>
      <c r="Q42" s="4" t="s">
        <v>451</v>
      </c>
      <c r="R42" s="4" t="s">
        <v>452</v>
      </c>
      <c r="S42" s="4"/>
      <c r="T42" s="4" t="s">
        <v>25</v>
      </c>
      <c r="U42" s="2"/>
      <c r="V42" s="4"/>
      <c r="W42" s="4"/>
      <c r="X42" s="4"/>
      <c r="Y42" s="221"/>
      <c r="Z42" s="221"/>
      <c r="AA42" s="221"/>
      <c r="AB42" s="221"/>
      <c r="AC42" s="221"/>
      <c r="AD42" s="221"/>
    </row>
    <row r="43" spans="1:30" ht="33.75" x14ac:dyDescent="0.25">
      <c r="A43" s="226">
        <v>41</v>
      </c>
      <c r="B43" s="4"/>
      <c r="C43" s="4" t="s">
        <v>193</v>
      </c>
      <c r="D43" s="4">
        <v>9961641042</v>
      </c>
      <c r="E43" s="4" t="s">
        <v>180</v>
      </c>
      <c r="F43" s="12" t="s">
        <v>16</v>
      </c>
      <c r="G43" s="4" t="s">
        <v>163</v>
      </c>
      <c r="H43" s="67" t="s">
        <v>537</v>
      </c>
      <c r="I43" s="4"/>
      <c r="J43" s="4" t="s">
        <v>181</v>
      </c>
      <c r="K43" s="22">
        <v>800</v>
      </c>
      <c r="L43" s="4" t="s">
        <v>30</v>
      </c>
      <c r="M43" s="26">
        <f>Table135[[#This Row],[QTY
RECIVED]]-Table135[[#This Row],[QTY 
ISSUED]]</f>
        <v>0</v>
      </c>
      <c r="N43" s="238">
        <f>Table135[[#This Row],[INVENTORY]]/1</f>
        <v>0</v>
      </c>
      <c r="O43" s="4" t="s">
        <v>172</v>
      </c>
      <c r="P43" s="4">
        <f>200+200+400-400+200+200</f>
        <v>800</v>
      </c>
      <c r="Q43" s="4" t="s">
        <v>762</v>
      </c>
      <c r="R43" s="4" t="s">
        <v>761</v>
      </c>
      <c r="S43" s="4" t="s">
        <v>450</v>
      </c>
      <c r="T43" s="4"/>
      <c r="U43" s="2"/>
      <c r="V43" s="4"/>
      <c r="W43" s="4"/>
      <c r="X43" s="4"/>
      <c r="Y43" s="221"/>
      <c r="Z43" s="221"/>
      <c r="AA43" s="221"/>
      <c r="AB43" s="221"/>
      <c r="AC43" s="221"/>
      <c r="AD43" s="221"/>
    </row>
    <row r="44" spans="1:30" ht="22.5" x14ac:dyDescent="0.25">
      <c r="A44" s="226">
        <v>42</v>
      </c>
      <c r="B44" s="4"/>
      <c r="C44" s="4" t="s">
        <v>64</v>
      </c>
      <c r="D44" s="4">
        <v>9989007922</v>
      </c>
      <c r="E44" s="4" t="s">
        <v>178</v>
      </c>
      <c r="F44" s="4" t="s">
        <v>65</v>
      </c>
      <c r="G44" s="4" t="s">
        <v>63</v>
      </c>
      <c r="H44" s="67" t="s">
        <v>518</v>
      </c>
      <c r="I44" s="4"/>
      <c r="J44" s="4"/>
      <c r="K44" s="22">
        <v>14940</v>
      </c>
      <c r="L44" s="4" t="s">
        <v>30</v>
      </c>
      <c r="M44" s="26">
        <f>Table135[[#This Row],[QTY
RECIVED]]-Table135[[#This Row],[QTY 
ISSUED]]</f>
        <v>0</v>
      </c>
      <c r="N44" s="238">
        <f>Table135[[#This Row],[INVENTORY]]/1</f>
        <v>0</v>
      </c>
      <c r="O44" s="4" t="s">
        <v>179</v>
      </c>
      <c r="P44" s="4">
        <v>14940</v>
      </c>
      <c r="Q44" s="4" t="s">
        <v>194</v>
      </c>
      <c r="R44" s="4" t="s">
        <v>134</v>
      </c>
      <c r="S44" s="4"/>
      <c r="T44" s="4" t="s">
        <v>195</v>
      </c>
      <c r="U44" s="2"/>
      <c r="V44" s="4"/>
      <c r="W44" s="4"/>
      <c r="X44" s="4"/>
      <c r="Y44" s="221"/>
      <c r="Z44" s="221"/>
      <c r="AA44" s="221"/>
      <c r="AB44" s="221"/>
      <c r="AC44" s="221"/>
      <c r="AD44" s="221"/>
    </row>
    <row r="45" spans="1:30" ht="33.75" x14ac:dyDescent="0.25">
      <c r="A45" s="226">
        <v>43</v>
      </c>
      <c r="B45" s="4"/>
      <c r="C45" s="4" t="s">
        <v>193</v>
      </c>
      <c r="D45" s="4">
        <v>9961641102</v>
      </c>
      <c r="E45" s="4" t="s">
        <v>180</v>
      </c>
      <c r="F45" s="12" t="s">
        <v>16</v>
      </c>
      <c r="G45" s="4">
        <v>9961641042</v>
      </c>
      <c r="H45" s="67" t="s">
        <v>541</v>
      </c>
      <c r="I45" s="4"/>
      <c r="J45" s="4" t="s">
        <v>869</v>
      </c>
      <c r="K45" s="22">
        <v>990</v>
      </c>
      <c r="L45" s="4" t="s">
        <v>30</v>
      </c>
      <c r="M45" s="26">
        <f>Table135[[#This Row],[QTY
RECIVED]]-Table135[[#This Row],[QTY 
ISSUED]]</f>
        <v>90</v>
      </c>
      <c r="N45" s="238">
        <f>Table135[[#This Row],[INVENTORY]]/45</f>
        <v>2</v>
      </c>
      <c r="O45" s="4" t="s">
        <v>228</v>
      </c>
      <c r="P45" s="4">
        <f>45+90+180+180+180+270-45</f>
        <v>900</v>
      </c>
      <c r="Q45" s="4" t="s">
        <v>375</v>
      </c>
      <c r="R45" s="4" t="s">
        <v>376</v>
      </c>
      <c r="S45" s="4" t="s">
        <v>1149</v>
      </c>
      <c r="T45" s="4" t="s">
        <v>25</v>
      </c>
      <c r="U45" s="254" t="s">
        <v>1141</v>
      </c>
      <c r="V45" s="4"/>
      <c r="W45" s="4"/>
      <c r="X45" s="4"/>
      <c r="Y45" s="221"/>
      <c r="Z45" s="221"/>
      <c r="AA45" s="221"/>
      <c r="AB45" s="221"/>
      <c r="AC45" s="221"/>
      <c r="AD45" s="221"/>
    </row>
    <row r="46" spans="1:30" ht="22.5" x14ac:dyDescent="0.25">
      <c r="A46" s="226">
        <v>44</v>
      </c>
      <c r="B46" s="4">
        <v>35658</v>
      </c>
      <c r="C46" s="4"/>
      <c r="D46" s="4">
        <v>9989008912</v>
      </c>
      <c r="E46" s="4" t="s">
        <v>227</v>
      </c>
      <c r="F46" s="12" t="s">
        <v>371</v>
      </c>
      <c r="G46" s="4"/>
      <c r="H46" s="67" t="s">
        <v>221</v>
      </c>
      <c r="I46" s="4"/>
      <c r="J46" s="4"/>
      <c r="K46" s="22">
        <v>3000</v>
      </c>
      <c r="L46" s="4" t="s">
        <v>30</v>
      </c>
      <c r="M46" s="26">
        <f>Table135[[#This Row],[QTY
RECIVED]]-Table135[[#This Row],[QTY 
ISSUED]]</f>
        <v>0</v>
      </c>
      <c r="N46" s="238">
        <f>Table135[[#This Row],[INVENTORY]]/1</f>
        <v>0</v>
      </c>
      <c r="O46" s="4" t="s">
        <v>222</v>
      </c>
      <c r="P46" s="4">
        <f>500+1000+250+1000+250</f>
        <v>3000</v>
      </c>
      <c r="Q46" s="4" t="s">
        <v>453</v>
      </c>
      <c r="R46" s="4" t="s">
        <v>459</v>
      </c>
      <c r="S46" s="4"/>
      <c r="T46" s="4" t="s">
        <v>25</v>
      </c>
      <c r="U46" s="8"/>
      <c r="V46" s="4"/>
      <c r="W46" s="4"/>
      <c r="X46" s="4"/>
      <c r="Y46" s="221"/>
      <c r="Z46" s="221"/>
      <c r="AA46" s="221"/>
      <c r="AB46" s="221"/>
      <c r="AC46" s="221"/>
      <c r="AD46" s="221"/>
    </row>
    <row r="47" spans="1:30" ht="22.5" x14ac:dyDescent="0.25">
      <c r="A47" s="226">
        <v>45</v>
      </c>
      <c r="B47" s="4"/>
      <c r="C47" s="4"/>
      <c r="D47" s="4">
        <v>9961641102</v>
      </c>
      <c r="E47" s="4" t="s">
        <v>227</v>
      </c>
      <c r="F47" s="12" t="s">
        <v>371</v>
      </c>
      <c r="G47" s="4">
        <v>201881</v>
      </c>
      <c r="H47" s="67" t="s">
        <v>541</v>
      </c>
      <c r="I47" s="4"/>
      <c r="J47" s="4" t="s">
        <v>1097</v>
      </c>
      <c r="K47" s="22">
        <v>1000</v>
      </c>
      <c r="L47" s="4" t="s">
        <v>30</v>
      </c>
      <c r="M47" s="26">
        <f>Table135[[#This Row],[QTY
RECIVED]]-Table135[[#This Row],[QTY 
ISSUED]]</f>
        <v>1000</v>
      </c>
      <c r="N47" s="238">
        <f>Table135[[#This Row],[INVENTORY]]/25</f>
        <v>40</v>
      </c>
      <c r="O47" s="4" t="s">
        <v>222</v>
      </c>
      <c r="P47" s="4"/>
      <c r="Q47" s="4"/>
      <c r="R47" s="4"/>
      <c r="S47" s="4"/>
      <c r="T47" s="4"/>
      <c r="U47" s="254" t="s">
        <v>1141</v>
      </c>
      <c r="V47" s="4"/>
      <c r="W47" s="4"/>
      <c r="X47" s="4"/>
      <c r="Y47" s="221"/>
      <c r="Z47" s="221"/>
      <c r="AA47" s="221"/>
      <c r="AB47" s="221"/>
      <c r="AC47" s="221"/>
      <c r="AD47" s="221"/>
    </row>
    <row r="48" spans="1:30" ht="21" x14ac:dyDescent="0.25">
      <c r="A48" s="226">
        <v>46</v>
      </c>
      <c r="B48" s="4"/>
      <c r="C48" s="4"/>
      <c r="D48" s="4">
        <v>9989008892</v>
      </c>
      <c r="E48" s="4" t="s">
        <v>227</v>
      </c>
      <c r="F48" s="12" t="s">
        <v>371</v>
      </c>
      <c r="G48" s="4" t="s">
        <v>223</v>
      </c>
      <c r="H48" s="67" t="s">
        <v>224</v>
      </c>
      <c r="I48" s="4"/>
      <c r="J48" s="4"/>
      <c r="K48" s="22">
        <v>400</v>
      </c>
      <c r="L48" s="4" t="s">
        <v>30</v>
      </c>
      <c r="M48" s="26">
        <f>Table135[[#This Row],[QTY
RECIVED]]-Table135[[#This Row],[QTY 
ISSUED]]</f>
        <v>0</v>
      </c>
      <c r="N48" s="238">
        <f>Table135[[#This Row],[INVENTORY]]/1</f>
        <v>0</v>
      </c>
      <c r="O48" s="4" t="s">
        <v>222</v>
      </c>
      <c r="P48" s="4">
        <f>200+200</f>
        <v>400</v>
      </c>
      <c r="Q48" s="4" t="s">
        <v>335</v>
      </c>
      <c r="R48" s="4" t="s">
        <v>336</v>
      </c>
      <c r="S48" s="4"/>
      <c r="T48" s="4" t="s">
        <v>238</v>
      </c>
      <c r="U48" s="8"/>
      <c r="V48" s="4"/>
      <c r="W48" s="4"/>
      <c r="X48" s="4"/>
      <c r="Y48" s="221"/>
      <c r="Z48" s="221"/>
      <c r="AA48" s="221"/>
      <c r="AB48" s="221"/>
      <c r="AC48" s="221"/>
      <c r="AD48" s="221"/>
    </row>
    <row r="49" spans="1:30" ht="21" x14ac:dyDescent="0.25">
      <c r="A49" s="226">
        <v>47</v>
      </c>
      <c r="B49" s="4"/>
      <c r="C49" s="4"/>
      <c r="D49" s="4">
        <v>9989008902</v>
      </c>
      <c r="E49" s="4" t="s">
        <v>227</v>
      </c>
      <c r="F49" s="12" t="s">
        <v>371</v>
      </c>
      <c r="G49" s="4">
        <v>201364</v>
      </c>
      <c r="H49" s="67" t="s">
        <v>951</v>
      </c>
      <c r="I49" s="4"/>
      <c r="J49" s="4"/>
      <c r="K49" s="22">
        <v>400</v>
      </c>
      <c r="L49" s="4" t="s">
        <v>30</v>
      </c>
      <c r="M49" s="26">
        <f>Table135[[#This Row],[QTY
RECIVED]]-Table135[[#This Row],[QTY 
ISSUED]]</f>
        <v>0</v>
      </c>
      <c r="N49" s="238">
        <f>Table135[[#This Row],[INVENTORY]]/1</f>
        <v>0</v>
      </c>
      <c r="O49" s="4" t="s">
        <v>222</v>
      </c>
      <c r="P49" s="4">
        <f>200+200</f>
        <v>400</v>
      </c>
      <c r="Q49" s="4" t="s">
        <v>333</v>
      </c>
      <c r="R49" s="4" t="s">
        <v>334</v>
      </c>
      <c r="S49" s="4"/>
      <c r="T49" s="4" t="s">
        <v>25</v>
      </c>
      <c r="U49" s="8"/>
      <c r="V49" s="4"/>
      <c r="W49" s="4"/>
      <c r="X49" s="4"/>
      <c r="Y49" s="221"/>
      <c r="Z49" s="221"/>
      <c r="AA49" s="221"/>
      <c r="AB49" s="221"/>
      <c r="AC49" s="221"/>
      <c r="AD49" s="221"/>
    </row>
    <row r="50" spans="1:30" ht="21" x14ac:dyDescent="0.25">
      <c r="A50" s="226">
        <v>48</v>
      </c>
      <c r="B50" s="4"/>
      <c r="C50" s="4"/>
      <c r="D50" s="4">
        <v>9961641082</v>
      </c>
      <c r="E50" s="4" t="s">
        <v>227</v>
      </c>
      <c r="F50" s="12" t="s">
        <v>371</v>
      </c>
      <c r="G50" s="4" t="s">
        <v>223</v>
      </c>
      <c r="H50" s="67" t="s">
        <v>872</v>
      </c>
      <c r="I50" s="4"/>
      <c r="J50" s="4"/>
      <c r="K50" s="22">
        <v>2400</v>
      </c>
      <c r="L50" s="4" t="s">
        <v>30</v>
      </c>
      <c r="M50" s="26">
        <f>Table135[[#This Row],[QTY
RECIVED]]-Table135[[#This Row],[QTY 
ISSUED]]</f>
        <v>0</v>
      </c>
      <c r="N50" s="238">
        <f>Table135[[#This Row],[INVENTORY]]/1</f>
        <v>0</v>
      </c>
      <c r="O50" s="4" t="s">
        <v>222</v>
      </c>
      <c r="P50" s="4">
        <v>2400</v>
      </c>
      <c r="Q50" s="4" t="s">
        <v>246</v>
      </c>
      <c r="R50" s="4" t="s">
        <v>247</v>
      </c>
      <c r="S50" s="4"/>
      <c r="T50" s="4"/>
      <c r="U50" s="8"/>
      <c r="V50" s="4"/>
      <c r="W50" s="4"/>
      <c r="X50" s="4"/>
      <c r="Y50" s="221"/>
      <c r="Z50" s="221"/>
      <c r="AA50" s="221"/>
      <c r="AB50" s="221"/>
      <c r="AC50" s="221"/>
      <c r="AD50" s="221"/>
    </row>
    <row r="51" spans="1:30" ht="22.5" x14ac:dyDescent="0.25">
      <c r="A51" s="226">
        <v>49</v>
      </c>
      <c r="B51" s="4">
        <v>36034</v>
      </c>
      <c r="C51" s="4" t="s">
        <v>726</v>
      </c>
      <c r="D51" s="4">
        <v>9961641102</v>
      </c>
      <c r="E51" s="4" t="s">
        <v>372</v>
      </c>
      <c r="F51" s="12" t="s">
        <v>371</v>
      </c>
      <c r="G51" s="12" t="s">
        <v>371</v>
      </c>
      <c r="H51" s="67" t="s">
        <v>541</v>
      </c>
      <c r="I51" s="4" t="s">
        <v>877</v>
      </c>
      <c r="J51" s="15" t="s">
        <v>369</v>
      </c>
      <c r="K51" s="22">
        <v>1500</v>
      </c>
      <c r="L51" s="4" t="s">
        <v>30</v>
      </c>
      <c r="M51" s="26">
        <f>Table135[[#This Row],[QTY
RECIVED]]-Table135[[#This Row],[QTY 
ISSUED]]</f>
        <v>1500</v>
      </c>
      <c r="N51" s="238">
        <f>Table135[[#This Row],[INVENTORY]]/25</f>
        <v>60</v>
      </c>
      <c r="O51" s="4" t="s">
        <v>337</v>
      </c>
      <c r="P51" s="4"/>
      <c r="Q51" s="4"/>
      <c r="R51" s="4"/>
      <c r="S51" s="4"/>
      <c r="T51" s="4"/>
      <c r="U51" s="254" t="s">
        <v>1141</v>
      </c>
      <c r="V51" s="4"/>
      <c r="W51" s="4"/>
      <c r="X51" s="4"/>
      <c r="Y51" s="221"/>
      <c r="Z51" s="221"/>
      <c r="AA51" s="221"/>
      <c r="AB51" s="221"/>
      <c r="AC51" s="221"/>
      <c r="AD51" s="221"/>
    </row>
    <row r="52" spans="1:30" ht="22.5" x14ac:dyDescent="0.25">
      <c r="A52" s="226">
        <v>50</v>
      </c>
      <c r="B52" s="4">
        <v>36032</v>
      </c>
      <c r="C52" s="4" t="s">
        <v>726</v>
      </c>
      <c r="D52" s="4">
        <v>9989008892</v>
      </c>
      <c r="E52" s="4" t="s">
        <v>372</v>
      </c>
      <c r="F52" s="12" t="s">
        <v>371</v>
      </c>
      <c r="G52" s="12" t="s">
        <v>371</v>
      </c>
      <c r="H52" s="67" t="s">
        <v>224</v>
      </c>
      <c r="I52" s="4" t="s">
        <v>877</v>
      </c>
      <c r="J52" s="15" t="s">
        <v>368</v>
      </c>
      <c r="K52" s="39">
        <v>1200</v>
      </c>
      <c r="L52" s="4" t="s">
        <v>30</v>
      </c>
      <c r="M52" s="26">
        <f>Table135[[#This Row],[QTY
RECIVED]]-Table135[[#This Row],[QTY 
ISSUED]]</f>
        <v>0</v>
      </c>
      <c r="N52" s="238">
        <f>Table135[[#This Row],[INVENTORY]]/1</f>
        <v>0</v>
      </c>
      <c r="O52" s="4" t="s">
        <v>337</v>
      </c>
      <c r="P52" s="4">
        <f>200+400+400+200</f>
        <v>1200</v>
      </c>
      <c r="Q52" s="4" t="s">
        <v>643</v>
      </c>
      <c r="R52" s="4" t="s">
        <v>644</v>
      </c>
      <c r="S52" s="4"/>
      <c r="T52" s="4"/>
      <c r="U52" s="5"/>
      <c r="V52" s="4"/>
      <c r="W52" s="4"/>
      <c r="X52" s="4"/>
      <c r="Y52" s="221"/>
      <c r="Z52" s="221"/>
      <c r="AA52" s="221"/>
      <c r="AB52" s="221"/>
      <c r="AC52" s="221"/>
      <c r="AD52" s="221"/>
    </row>
    <row r="53" spans="1:30" ht="33.75" x14ac:dyDescent="0.25">
      <c r="A53" s="226">
        <v>51</v>
      </c>
      <c r="B53" s="4">
        <v>36033</v>
      </c>
      <c r="C53" s="4" t="s">
        <v>726</v>
      </c>
      <c r="D53" s="4">
        <v>9989008902</v>
      </c>
      <c r="E53" s="4" t="s">
        <v>372</v>
      </c>
      <c r="F53" s="12" t="s">
        <v>371</v>
      </c>
      <c r="G53" s="12" t="s">
        <v>371</v>
      </c>
      <c r="H53" s="67" t="s">
        <v>951</v>
      </c>
      <c r="I53" s="4" t="s">
        <v>877</v>
      </c>
      <c r="J53" s="4" t="s">
        <v>493</v>
      </c>
      <c r="K53" s="22">
        <v>1200</v>
      </c>
      <c r="L53" s="4" t="s">
        <v>30</v>
      </c>
      <c r="M53" s="26">
        <f>Table135[[#This Row],[QTY
RECIVED]]-Table135[[#This Row],[QTY 
ISSUED]]</f>
        <v>0</v>
      </c>
      <c r="N53" s="238">
        <f>Table135[[#This Row],[INVENTORY]]/1</f>
        <v>0</v>
      </c>
      <c r="O53" s="4" t="s">
        <v>337</v>
      </c>
      <c r="P53" s="4">
        <f>200+400+200+200+200</f>
        <v>1200</v>
      </c>
      <c r="Q53" s="4" t="s">
        <v>839</v>
      </c>
      <c r="R53" s="4" t="s">
        <v>840</v>
      </c>
      <c r="S53" s="4"/>
      <c r="T53" s="4"/>
      <c r="U53" s="5"/>
      <c r="V53" s="4"/>
      <c r="W53" s="4"/>
      <c r="X53" s="4"/>
      <c r="Y53" s="221"/>
      <c r="Z53" s="221"/>
      <c r="AA53" s="221"/>
      <c r="AB53" s="221"/>
      <c r="AC53" s="221"/>
      <c r="AD53" s="221"/>
    </row>
    <row r="54" spans="1:30" ht="56.25" x14ac:dyDescent="0.25">
      <c r="A54" s="226">
        <v>52</v>
      </c>
      <c r="B54" s="4">
        <v>36031</v>
      </c>
      <c r="C54" s="4" t="s">
        <v>726</v>
      </c>
      <c r="D54" s="4">
        <v>9989008912</v>
      </c>
      <c r="E54" s="4" t="s">
        <v>372</v>
      </c>
      <c r="F54" s="12" t="s">
        <v>371</v>
      </c>
      <c r="G54" s="12" t="s">
        <v>371</v>
      </c>
      <c r="H54" s="67" t="s">
        <v>221</v>
      </c>
      <c r="I54" s="4" t="s">
        <v>877</v>
      </c>
      <c r="J54" s="15" t="s">
        <v>367</v>
      </c>
      <c r="K54" s="39">
        <v>7000</v>
      </c>
      <c r="L54" s="4" t="s">
        <v>30</v>
      </c>
      <c r="M54" s="26">
        <f>Table135[[#This Row],[QTY
RECIVED]]-Table135[[#This Row],[QTY 
ISSUED]]</f>
        <v>1750</v>
      </c>
      <c r="N54" s="238">
        <f>Table135[[#This Row],[INVENTORY]]/250</f>
        <v>7</v>
      </c>
      <c r="O54" s="4" t="s">
        <v>337</v>
      </c>
      <c r="P54" s="4">
        <f>750+1000+1000+250+250+250+250+250+1000+250</f>
        <v>5250</v>
      </c>
      <c r="Q54" s="4" t="s">
        <v>1186</v>
      </c>
      <c r="R54" s="4" t="s">
        <v>1187</v>
      </c>
      <c r="S54" s="4"/>
      <c r="T54" s="4"/>
      <c r="U54" s="255" t="s">
        <v>1140</v>
      </c>
      <c r="V54" s="4"/>
      <c r="W54" s="4"/>
      <c r="X54" s="4"/>
      <c r="Y54" s="221"/>
      <c r="Z54" s="221"/>
      <c r="AA54" s="221"/>
      <c r="AB54" s="221"/>
      <c r="AC54" s="221"/>
      <c r="AD54" s="221"/>
    </row>
    <row r="55" spans="1:30" ht="22.5" x14ac:dyDescent="0.25">
      <c r="A55" s="226">
        <v>53</v>
      </c>
      <c r="B55" s="4">
        <v>36035</v>
      </c>
      <c r="C55" s="4" t="s">
        <v>1017</v>
      </c>
      <c r="D55" s="4">
        <v>9961641112</v>
      </c>
      <c r="E55" s="4" t="s">
        <v>372</v>
      </c>
      <c r="F55" s="12" t="s">
        <v>371</v>
      </c>
      <c r="G55" s="4" t="s">
        <v>223</v>
      </c>
      <c r="H55" s="67" t="s">
        <v>870</v>
      </c>
      <c r="I55" s="4" t="s">
        <v>877</v>
      </c>
      <c r="J55" s="15" t="s">
        <v>370</v>
      </c>
      <c r="K55" s="39">
        <v>3000</v>
      </c>
      <c r="L55" s="4" t="s">
        <v>30</v>
      </c>
      <c r="M55" s="26">
        <f>Table135[[#This Row],[QTY
RECIVED]]-Table135[[#This Row],[QTY 
ISSUED]]</f>
        <v>0</v>
      </c>
      <c r="N55" s="238">
        <f>Table135[[#This Row],[INVENTORY]]/1</f>
        <v>0</v>
      </c>
      <c r="O55" s="4" t="s">
        <v>337</v>
      </c>
      <c r="P55" s="4">
        <f>1000+500+500+750+250</f>
        <v>3000</v>
      </c>
      <c r="Q55" s="243" t="s">
        <v>454</v>
      </c>
      <c r="R55" s="4" t="s">
        <v>455</v>
      </c>
      <c r="S55" s="4"/>
      <c r="T55" s="4" t="s">
        <v>374</v>
      </c>
      <c r="U55" s="5"/>
      <c r="V55" s="4"/>
      <c r="W55" s="4"/>
      <c r="X55" s="4"/>
      <c r="Y55" s="221"/>
      <c r="Z55" s="221"/>
      <c r="AA55" s="221"/>
      <c r="AB55" s="221"/>
      <c r="AC55" s="221"/>
      <c r="AD55" s="221"/>
    </row>
    <row r="56" spans="1:30" ht="21" x14ac:dyDescent="0.25">
      <c r="A56" s="226">
        <v>54</v>
      </c>
      <c r="B56" s="4"/>
      <c r="C56" s="4"/>
      <c r="D56" s="4">
        <v>9961641082</v>
      </c>
      <c r="E56" s="4" t="s">
        <v>461</v>
      </c>
      <c r="F56" s="12" t="s">
        <v>371</v>
      </c>
      <c r="G56" s="4" t="s">
        <v>223</v>
      </c>
      <c r="H56" s="67" t="s">
        <v>872</v>
      </c>
      <c r="I56" s="4"/>
      <c r="J56" s="4" t="s">
        <v>603</v>
      </c>
      <c r="K56" s="22">
        <v>1200</v>
      </c>
      <c r="L56" s="4" t="s">
        <v>30</v>
      </c>
      <c r="M56" s="26">
        <f>Table135[[#This Row],[QTY
RECIVED]]-Table135[[#This Row],[QTY 
ISSUED]]</f>
        <v>0</v>
      </c>
      <c r="N56" s="238">
        <f>Table135[[#This Row],[INVENTORY]]/1</f>
        <v>0</v>
      </c>
      <c r="O56" s="4" t="s">
        <v>604</v>
      </c>
      <c r="P56" s="4">
        <v>1200</v>
      </c>
      <c r="Q56" s="4" t="s">
        <v>462</v>
      </c>
      <c r="R56" s="4" t="s">
        <v>463</v>
      </c>
      <c r="S56" s="4"/>
      <c r="T56" s="4"/>
      <c r="U56" s="5"/>
      <c r="V56" s="4"/>
      <c r="W56" s="4"/>
      <c r="X56" s="4"/>
      <c r="Y56" s="221"/>
      <c r="Z56" s="221"/>
      <c r="AA56" s="221"/>
      <c r="AB56" s="221"/>
      <c r="AC56" s="221"/>
      <c r="AD56" s="221"/>
    </row>
    <row r="57" spans="1:30" ht="14.25" x14ac:dyDescent="0.25">
      <c r="A57" s="226">
        <v>55</v>
      </c>
      <c r="B57" s="4"/>
      <c r="C57" s="4"/>
      <c r="D57" s="4">
        <v>9989008922</v>
      </c>
      <c r="E57" s="4" t="s">
        <v>513</v>
      </c>
      <c r="F57" s="4" t="s">
        <v>514</v>
      </c>
      <c r="G57" s="4" t="s">
        <v>514</v>
      </c>
      <c r="H57" s="67" t="s">
        <v>871</v>
      </c>
      <c r="I57" s="4"/>
      <c r="J57" s="4" t="s">
        <v>515</v>
      </c>
      <c r="K57" s="22">
        <v>500</v>
      </c>
      <c r="L57" s="4"/>
      <c r="M57" s="26">
        <f>Table135[[#This Row],[QTY
RECIVED]]-Table135[[#This Row],[QTY 
ISSUED]]</f>
        <v>500</v>
      </c>
      <c r="N57" s="238">
        <f>Table135[[#This Row],[INVENTORY]]/25</f>
        <v>20</v>
      </c>
      <c r="O57" s="4" t="s">
        <v>516</v>
      </c>
      <c r="P57" s="4"/>
      <c r="Q57" s="4"/>
      <c r="R57" s="4"/>
      <c r="S57" s="4"/>
      <c r="T57" s="4"/>
      <c r="U57" s="255" t="s">
        <v>1144</v>
      </c>
      <c r="V57" s="4"/>
      <c r="W57" s="4"/>
      <c r="X57" s="4"/>
      <c r="Y57" s="221"/>
      <c r="Z57" s="221"/>
      <c r="AA57" s="221"/>
      <c r="AB57" s="221"/>
      <c r="AC57" s="221"/>
      <c r="AD57" s="221"/>
    </row>
    <row r="58" spans="1:30" ht="33.75" x14ac:dyDescent="0.25">
      <c r="A58" s="226">
        <v>56</v>
      </c>
      <c r="B58" s="4" t="s">
        <v>615</v>
      </c>
      <c r="C58" s="4" t="s">
        <v>726</v>
      </c>
      <c r="D58" s="4">
        <v>9989008912</v>
      </c>
      <c r="E58" s="4" t="s">
        <v>496</v>
      </c>
      <c r="F58" s="12" t="s">
        <v>371</v>
      </c>
      <c r="G58" s="4" t="s">
        <v>223</v>
      </c>
      <c r="H58" s="67" t="s">
        <v>221</v>
      </c>
      <c r="I58" s="4" t="s">
        <v>878</v>
      </c>
      <c r="J58" s="4" t="s">
        <v>492</v>
      </c>
      <c r="K58" s="22">
        <v>4000</v>
      </c>
      <c r="L58" s="4" t="s">
        <v>30</v>
      </c>
      <c r="M58" s="26">
        <f>Table135[[#This Row],[QTY
RECIVED]]-Table135[[#This Row],[QTY 
ISSUED]]</f>
        <v>1000</v>
      </c>
      <c r="N58" s="238">
        <f>Table135[[#This Row],[INVENTORY]]/250</f>
        <v>4</v>
      </c>
      <c r="O58" s="4" t="s">
        <v>494</v>
      </c>
      <c r="P58" s="4">
        <f>250+1000+1000+250+250+250</f>
        <v>3000</v>
      </c>
      <c r="Q58" s="4" t="s">
        <v>1018</v>
      </c>
      <c r="R58" s="4" t="s">
        <v>1022</v>
      </c>
      <c r="S58" s="4"/>
      <c r="T58" s="4"/>
      <c r="U58" s="255" t="s">
        <v>1140</v>
      </c>
      <c r="V58" s="4"/>
      <c r="W58" s="4"/>
      <c r="X58" s="4"/>
      <c r="Y58" s="221"/>
      <c r="Z58" s="221"/>
      <c r="AA58" s="221"/>
      <c r="AB58" s="221"/>
      <c r="AC58" s="221"/>
      <c r="AD58" s="221"/>
    </row>
    <row r="59" spans="1:30" ht="22.5" x14ac:dyDescent="0.25">
      <c r="A59" s="226">
        <v>57</v>
      </c>
      <c r="B59" s="4" t="s">
        <v>615</v>
      </c>
      <c r="C59" s="4" t="s">
        <v>726</v>
      </c>
      <c r="D59" s="4">
        <v>9989008892</v>
      </c>
      <c r="E59" s="4" t="s">
        <v>496</v>
      </c>
      <c r="F59" s="12" t="s">
        <v>371</v>
      </c>
      <c r="G59" s="4" t="s">
        <v>223</v>
      </c>
      <c r="H59" s="67" t="s">
        <v>224</v>
      </c>
      <c r="I59" s="4" t="s">
        <v>878</v>
      </c>
      <c r="J59" s="4" t="s">
        <v>493</v>
      </c>
      <c r="K59" s="22">
        <v>1200</v>
      </c>
      <c r="L59" s="4" t="s">
        <v>30</v>
      </c>
      <c r="M59" s="26">
        <f>Table135[[#This Row],[QTY
RECIVED]]-Table135[[#This Row],[QTY 
ISSUED]]</f>
        <v>0</v>
      </c>
      <c r="N59" s="238">
        <f>Table135[[#This Row],[INVENTORY]]/1</f>
        <v>0</v>
      </c>
      <c r="O59" s="4" t="s">
        <v>494</v>
      </c>
      <c r="P59" s="4">
        <f>200+200+400+400</f>
        <v>1200</v>
      </c>
      <c r="Q59" s="4" t="s">
        <v>830</v>
      </c>
      <c r="R59" s="4" t="s">
        <v>831</v>
      </c>
      <c r="S59" s="4"/>
      <c r="T59" s="4"/>
      <c r="U59" s="5"/>
      <c r="V59" s="4"/>
      <c r="W59" s="4"/>
      <c r="X59" s="4"/>
      <c r="Y59" s="221"/>
      <c r="Z59" s="221"/>
      <c r="AA59" s="221"/>
      <c r="AB59" s="221"/>
      <c r="AC59" s="221"/>
      <c r="AD59" s="221"/>
    </row>
    <row r="60" spans="1:30" ht="33.75" x14ac:dyDescent="0.25">
      <c r="A60" s="226">
        <v>58</v>
      </c>
      <c r="B60" s="4" t="s">
        <v>615</v>
      </c>
      <c r="C60" s="4" t="s">
        <v>726</v>
      </c>
      <c r="D60" s="4">
        <v>9989008902</v>
      </c>
      <c r="E60" s="4" t="s">
        <v>496</v>
      </c>
      <c r="F60" s="12" t="s">
        <v>371</v>
      </c>
      <c r="G60" s="4" t="s">
        <v>223</v>
      </c>
      <c r="H60" s="67" t="s">
        <v>951</v>
      </c>
      <c r="I60" s="4" t="s">
        <v>878</v>
      </c>
      <c r="J60" s="4" t="s">
        <v>493</v>
      </c>
      <c r="K60" s="22">
        <v>1200</v>
      </c>
      <c r="L60" s="4" t="s">
        <v>30</v>
      </c>
      <c r="M60" s="26">
        <f>Table135[[#This Row],[QTY
RECIVED]]-Table135[[#This Row],[QTY 
ISSUED]]</f>
        <v>0</v>
      </c>
      <c r="N60" s="238">
        <f>Table135[[#This Row],[INVENTORY]]/1</f>
        <v>0</v>
      </c>
      <c r="O60" s="4" t="s">
        <v>494</v>
      </c>
      <c r="P60" s="4">
        <f>200+400+400+200</f>
        <v>1200</v>
      </c>
      <c r="Q60" s="4" t="s">
        <v>975</v>
      </c>
      <c r="R60" s="4" t="s">
        <v>1021</v>
      </c>
      <c r="S60" s="4"/>
      <c r="T60" s="4"/>
      <c r="U60" s="5"/>
      <c r="V60" s="4"/>
      <c r="W60" s="4"/>
      <c r="X60" s="4"/>
      <c r="Y60" s="221"/>
      <c r="Z60" s="221"/>
      <c r="AA60" s="221"/>
      <c r="AB60" s="221"/>
      <c r="AC60" s="221"/>
      <c r="AD60" s="221"/>
    </row>
    <row r="61" spans="1:30" ht="90" x14ac:dyDescent="0.25">
      <c r="A61" s="226">
        <v>59</v>
      </c>
      <c r="B61" s="4" t="s">
        <v>615</v>
      </c>
      <c r="C61" s="4" t="s">
        <v>1017</v>
      </c>
      <c r="D61" s="4">
        <v>9961641112</v>
      </c>
      <c r="E61" s="4" t="s">
        <v>496</v>
      </c>
      <c r="F61" s="12" t="s">
        <v>371</v>
      </c>
      <c r="G61" s="4" t="s">
        <v>223</v>
      </c>
      <c r="H61" s="67" t="s">
        <v>870</v>
      </c>
      <c r="I61" s="4" t="s">
        <v>878</v>
      </c>
      <c r="J61" s="4" t="s">
        <v>651</v>
      </c>
      <c r="K61" s="22">
        <v>10000</v>
      </c>
      <c r="L61" s="4" t="s">
        <v>30</v>
      </c>
      <c r="M61" s="26">
        <f>Table135[[#This Row],[QTY
RECIVED]]-Table135[[#This Row],[QTY 
ISSUED]]</f>
        <v>0</v>
      </c>
      <c r="N61" s="238">
        <f>Table135[[#This Row],[INVENTORY]]/1</f>
        <v>0</v>
      </c>
      <c r="O61" s="4" t="s">
        <v>494</v>
      </c>
      <c r="P61" s="4">
        <f>500+800+500+500+500+1000+500+500+500+250+500+500+250+500+750+750+500+700</f>
        <v>10000</v>
      </c>
      <c r="Q61" s="243" t="s">
        <v>979</v>
      </c>
      <c r="R61" s="4" t="s">
        <v>1020</v>
      </c>
      <c r="S61" s="4"/>
      <c r="T61" s="4"/>
      <c r="U61" s="5"/>
      <c r="V61" s="4"/>
      <c r="W61" s="4"/>
      <c r="X61" s="4"/>
      <c r="Y61" s="221"/>
      <c r="Z61" s="221"/>
      <c r="AA61" s="221"/>
      <c r="AB61" s="221"/>
      <c r="AC61" s="221"/>
      <c r="AD61" s="221"/>
    </row>
    <row r="62" spans="1:30" ht="33.75" x14ac:dyDescent="0.25">
      <c r="A62" s="226">
        <v>60</v>
      </c>
      <c r="B62" s="4" t="s">
        <v>615</v>
      </c>
      <c r="C62" s="4" t="s">
        <v>726</v>
      </c>
      <c r="D62" s="4">
        <v>9961641082</v>
      </c>
      <c r="E62" s="4" t="s">
        <v>496</v>
      </c>
      <c r="F62" s="12" t="s">
        <v>371</v>
      </c>
      <c r="G62" s="4" t="s">
        <v>223</v>
      </c>
      <c r="H62" s="67" t="s">
        <v>872</v>
      </c>
      <c r="I62" s="4" t="s">
        <v>878</v>
      </c>
      <c r="J62" s="4" t="s">
        <v>532</v>
      </c>
      <c r="K62" s="22">
        <v>6000</v>
      </c>
      <c r="L62" s="4" t="s">
        <v>30</v>
      </c>
      <c r="M62" s="26">
        <f>Table135[[#This Row],[QTY
RECIVED]]-Table135[[#This Row],[QTY 
ISSUED]]</f>
        <v>0</v>
      </c>
      <c r="N62" s="238">
        <f>Table135[[#This Row],[INVENTORY]]/1</f>
        <v>0</v>
      </c>
      <c r="O62" s="4" t="s">
        <v>494</v>
      </c>
      <c r="P62" s="4">
        <f>1200+1200+1200+1200+200+1000</f>
        <v>6000</v>
      </c>
      <c r="Q62" s="4" t="s">
        <v>801</v>
      </c>
      <c r="R62" s="4" t="s">
        <v>800</v>
      </c>
      <c r="S62" s="4"/>
      <c r="T62" s="4"/>
      <c r="U62" s="5"/>
      <c r="V62" s="4"/>
      <c r="W62" s="4"/>
      <c r="X62" s="4"/>
      <c r="Y62" s="221"/>
      <c r="Z62" s="221"/>
      <c r="AA62" s="221"/>
      <c r="AB62" s="221"/>
      <c r="AC62" s="221"/>
      <c r="AD62" s="221"/>
    </row>
    <row r="63" spans="1:30" ht="14.25" x14ac:dyDescent="0.25">
      <c r="A63" s="226">
        <v>61</v>
      </c>
      <c r="B63" s="4"/>
      <c r="C63" s="4" t="s">
        <v>725</v>
      </c>
      <c r="D63" s="4">
        <v>9989266812</v>
      </c>
      <c r="E63" s="4" t="s">
        <v>380</v>
      </c>
      <c r="F63" s="4" t="s">
        <v>54</v>
      </c>
      <c r="G63" s="4" t="s">
        <v>261</v>
      </c>
      <c r="H63" s="67" t="s">
        <v>503</v>
      </c>
      <c r="I63" s="4"/>
      <c r="J63" s="4" t="s">
        <v>522</v>
      </c>
      <c r="K63" s="22">
        <v>25100</v>
      </c>
      <c r="L63" s="4" t="s">
        <v>30</v>
      </c>
      <c r="M63" s="26">
        <f>Table135[[#This Row],[QTY
RECIVED]]-Table135[[#This Row],[QTY 
ISSUED]]</f>
        <v>3570</v>
      </c>
      <c r="N63" s="238">
        <v>3</v>
      </c>
      <c r="O63" s="4" t="s">
        <v>505</v>
      </c>
      <c r="P63" s="4">
        <f>15580+5950</f>
        <v>21530</v>
      </c>
      <c r="Q63" s="4" t="s">
        <v>533</v>
      </c>
      <c r="R63" s="4" t="s">
        <v>534</v>
      </c>
      <c r="S63" s="4"/>
      <c r="T63" s="4" t="s">
        <v>456</v>
      </c>
      <c r="U63" s="255" t="s">
        <v>1143</v>
      </c>
      <c r="V63" s="4"/>
      <c r="W63" s="4"/>
      <c r="X63" s="4"/>
      <c r="Y63" s="221"/>
      <c r="Z63" s="221"/>
      <c r="AA63" s="221"/>
      <c r="AB63" s="221"/>
      <c r="AC63" s="221"/>
      <c r="AD63" s="221"/>
    </row>
    <row r="64" spans="1:30" x14ac:dyDescent="0.25">
      <c r="A64" s="226">
        <v>62</v>
      </c>
      <c r="B64" s="4"/>
      <c r="C64" s="4" t="s">
        <v>701</v>
      </c>
      <c r="D64" s="4">
        <v>9989007922</v>
      </c>
      <c r="E64" s="4" t="s">
        <v>379</v>
      </c>
      <c r="F64" s="4" t="s">
        <v>106</v>
      </c>
      <c r="G64" s="4" t="s">
        <v>106</v>
      </c>
      <c r="H64" s="67" t="s">
        <v>518</v>
      </c>
      <c r="I64" s="4"/>
      <c r="J64" s="4" t="s">
        <v>519</v>
      </c>
      <c r="K64" s="22">
        <v>24980</v>
      </c>
      <c r="L64" s="4" t="s">
        <v>30</v>
      </c>
      <c r="M64" s="26">
        <f>Table135[[#This Row],[QTY
RECIVED]]-Table135[[#This Row],[QTY 
ISSUED]]</f>
        <v>0</v>
      </c>
      <c r="N64" s="238"/>
      <c r="O64" s="4" t="s">
        <v>505</v>
      </c>
      <c r="P64" s="4">
        <v>24980</v>
      </c>
      <c r="Q64" s="4" t="s">
        <v>547</v>
      </c>
      <c r="R64" s="4" t="s">
        <v>593</v>
      </c>
      <c r="S64" s="4"/>
      <c r="T64" s="4" t="s">
        <v>195</v>
      </c>
      <c r="U64" s="5"/>
      <c r="V64" s="4"/>
      <c r="W64" s="4"/>
      <c r="X64" s="4"/>
      <c r="Y64" s="221"/>
      <c r="Z64" s="221"/>
      <c r="AA64" s="221"/>
      <c r="AB64" s="221"/>
      <c r="AC64" s="221"/>
      <c r="AD64" s="221"/>
    </row>
    <row r="65" spans="1:30" ht="22.5" x14ac:dyDescent="0.25">
      <c r="A65" s="227"/>
      <c r="B65" s="4"/>
      <c r="C65" s="4" t="s">
        <v>701</v>
      </c>
      <c r="D65" s="4">
        <v>9989000782</v>
      </c>
      <c r="E65" s="4" t="s">
        <v>1029</v>
      </c>
      <c r="F65" s="4" t="s">
        <v>646</v>
      </c>
      <c r="G65" s="5" t="s">
        <v>126</v>
      </c>
      <c r="H65" s="67" t="s">
        <v>1026</v>
      </c>
      <c r="I65" s="197"/>
      <c r="J65" s="4" t="s">
        <v>1027</v>
      </c>
      <c r="K65" s="22">
        <v>10</v>
      </c>
      <c r="L65" s="4" t="s">
        <v>30</v>
      </c>
      <c r="M65" s="236">
        <f>Table135[[#This Row],[QTY
RECIVED]]-Table135[[#This Row],[QTY 
ISSUED]]</f>
        <v>0</v>
      </c>
      <c r="N65" s="238">
        <f>Table135[[#This Row],[INVENTORY]]/1</f>
        <v>0</v>
      </c>
      <c r="O65" s="4" t="s">
        <v>647</v>
      </c>
      <c r="P65" s="4">
        <f>10-7.6+7.6</f>
        <v>10</v>
      </c>
      <c r="Q65" s="4" t="s">
        <v>648</v>
      </c>
      <c r="R65" s="4" t="s">
        <v>1086</v>
      </c>
      <c r="S65" s="4" t="s">
        <v>1025</v>
      </c>
      <c r="T65" s="4" t="s">
        <v>1087</v>
      </c>
      <c r="U65" s="5"/>
      <c r="V65" s="4"/>
      <c r="W65" s="4"/>
      <c r="X65" s="4"/>
      <c r="Y65" s="221"/>
      <c r="Z65" s="221"/>
      <c r="AA65" s="221"/>
      <c r="AB65" s="221"/>
      <c r="AC65" s="221"/>
      <c r="AD65" s="221"/>
    </row>
    <row r="66" spans="1:30" ht="22.5" x14ac:dyDescent="0.25">
      <c r="A66" s="226">
        <v>63</v>
      </c>
      <c r="B66" s="4"/>
      <c r="C66" s="4" t="s">
        <v>701</v>
      </c>
      <c r="D66" s="4">
        <v>9989000782</v>
      </c>
      <c r="E66" s="4" t="s">
        <v>1030</v>
      </c>
      <c r="F66" s="4" t="s">
        <v>645</v>
      </c>
      <c r="G66" s="4" t="s">
        <v>126</v>
      </c>
      <c r="H66" s="67" t="s">
        <v>1026</v>
      </c>
      <c r="I66" s="4"/>
      <c r="J66" s="4" t="s">
        <v>655</v>
      </c>
      <c r="K66" s="22">
        <v>10</v>
      </c>
      <c r="L66" s="4" t="s">
        <v>30</v>
      </c>
      <c r="M66" s="236">
        <f>Table135[[#This Row],[QTY
RECIVED]]-Table135[[#This Row],[QTY 
ISSUED]]</f>
        <v>0</v>
      </c>
      <c r="N66" s="238">
        <f>Table135[[#This Row],[INVENTORY]]/1</f>
        <v>0</v>
      </c>
      <c r="O66" s="4" t="s">
        <v>647</v>
      </c>
      <c r="P66" s="4">
        <v>10</v>
      </c>
      <c r="Q66" s="4" t="s">
        <v>1088</v>
      </c>
      <c r="R66" s="4">
        <v>4380</v>
      </c>
      <c r="S66" s="4"/>
      <c r="T66" s="4" t="s">
        <v>1089</v>
      </c>
      <c r="U66" s="5"/>
      <c r="V66" s="4"/>
      <c r="W66" s="4"/>
      <c r="X66" s="4"/>
      <c r="Y66" s="221"/>
      <c r="Z66" s="221"/>
      <c r="AA66" s="221"/>
      <c r="AB66" s="221"/>
      <c r="AC66" s="221"/>
      <c r="AD66" s="221"/>
    </row>
    <row r="67" spans="1:30" ht="18.75" customHeight="1" x14ac:dyDescent="0.25">
      <c r="A67" s="226">
        <v>64</v>
      </c>
      <c r="B67" s="6"/>
      <c r="C67" s="4" t="s">
        <v>701</v>
      </c>
      <c r="D67" s="4">
        <v>9989008042</v>
      </c>
      <c r="E67" s="4" t="s">
        <v>1078</v>
      </c>
      <c r="F67" s="4" t="s">
        <v>645</v>
      </c>
      <c r="G67" s="4" t="s">
        <v>645</v>
      </c>
      <c r="H67" s="67" t="s">
        <v>127</v>
      </c>
      <c r="I67" s="6"/>
      <c r="J67" s="6" t="s">
        <v>657</v>
      </c>
      <c r="K67" s="24">
        <v>5000</v>
      </c>
      <c r="L67" s="6" t="s">
        <v>658</v>
      </c>
      <c r="M67" s="27">
        <f>Table135[[#This Row],[QTY
RECIVED]]-Table135[[#This Row],[QTY 
ISSUED]]</f>
        <v>200</v>
      </c>
      <c r="N67" s="238">
        <f>Table135[[#This Row],[INVENTORY]]/1000</f>
        <v>0.2</v>
      </c>
      <c r="O67" s="6" t="s">
        <v>659</v>
      </c>
      <c r="P67" s="4">
        <f>1000+4000-200</f>
        <v>4800</v>
      </c>
      <c r="Q67" s="6" t="s">
        <v>1079</v>
      </c>
      <c r="R67" s="6" t="s">
        <v>1080</v>
      </c>
      <c r="S67" s="6" t="s">
        <v>1174</v>
      </c>
      <c r="T67" s="6" t="s">
        <v>1081</v>
      </c>
      <c r="U67" s="45"/>
      <c r="V67" s="4"/>
      <c r="W67" s="4"/>
      <c r="X67" s="4"/>
      <c r="Y67" s="221"/>
      <c r="Z67" s="221"/>
      <c r="AA67" s="221"/>
      <c r="AB67" s="221"/>
      <c r="AC67" s="221"/>
      <c r="AD67" s="221"/>
    </row>
    <row r="68" spans="1:30" ht="14.25" x14ac:dyDescent="0.25">
      <c r="A68" s="226">
        <v>65</v>
      </c>
      <c r="B68" s="4"/>
      <c r="C68" s="4" t="s">
        <v>725</v>
      </c>
      <c r="D68" s="4">
        <v>9989266812</v>
      </c>
      <c r="E68" s="4" t="s">
        <v>1039</v>
      </c>
      <c r="F68" s="4" t="s">
        <v>54</v>
      </c>
      <c r="G68" s="4" t="s">
        <v>794</v>
      </c>
      <c r="H68" s="67" t="s">
        <v>503</v>
      </c>
      <c r="I68" s="4"/>
      <c r="J68" s="4"/>
      <c r="K68" s="22">
        <v>25070</v>
      </c>
      <c r="L68" s="4" t="s">
        <v>30</v>
      </c>
      <c r="M68" s="26">
        <f>Table135[[#This Row],[QTY
RECIVED]]-Table135[[#This Row],[QTY 
ISSUED]]</f>
        <v>8070</v>
      </c>
      <c r="N68" s="238">
        <v>8</v>
      </c>
      <c r="O68" s="4" t="s">
        <v>795</v>
      </c>
      <c r="P68" s="4">
        <f>17000</f>
        <v>17000</v>
      </c>
      <c r="Q68" s="4" t="s">
        <v>796</v>
      </c>
      <c r="R68" s="4" t="s">
        <v>797</v>
      </c>
      <c r="S68" s="4"/>
      <c r="T68" s="4" t="s">
        <v>456</v>
      </c>
      <c r="U68" s="255" t="s">
        <v>1143</v>
      </c>
      <c r="V68" s="4"/>
      <c r="W68" s="4"/>
      <c r="X68" s="6"/>
      <c r="Y68" s="221"/>
      <c r="Z68" s="221"/>
      <c r="AA68" s="221"/>
      <c r="AB68" s="221"/>
      <c r="AC68" s="221"/>
      <c r="AD68" s="221"/>
    </row>
    <row r="69" spans="1:30" ht="22.5" x14ac:dyDescent="0.25">
      <c r="A69" s="226">
        <v>66</v>
      </c>
      <c r="B69" s="4">
        <v>37684</v>
      </c>
      <c r="C69" s="4" t="s">
        <v>726</v>
      </c>
      <c r="D69" s="4">
        <v>9989008892</v>
      </c>
      <c r="E69" s="4" t="s">
        <v>876</v>
      </c>
      <c r="F69" s="12" t="s">
        <v>371</v>
      </c>
      <c r="G69" s="12" t="s">
        <v>817</v>
      </c>
      <c r="H69" s="67" t="s">
        <v>224</v>
      </c>
      <c r="I69" s="4" t="s">
        <v>879</v>
      </c>
      <c r="J69" s="4" t="s">
        <v>819</v>
      </c>
      <c r="K69" s="22">
        <f>2000+200</f>
        <v>2200</v>
      </c>
      <c r="L69" s="4" t="s">
        <v>30</v>
      </c>
      <c r="M69" s="81">
        <f>Table135[[#This Row],[QTY
RECIVED]]-Table135[[#This Row],[QTY 
ISSUED]]</f>
        <v>800</v>
      </c>
      <c r="N69" s="238">
        <f>Table135[[#This Row],[INVENTORY]]/200</f>
        <v>4</v>
      </c>
      <c r="O69" s="4" t="s">
        <v>1242</v>
      </c>
      <c r="P69" s="4">
        <f>400+400+400+200</f>
        <v>1400</v>
      </c>
      <c r="Q69" s="4" t="s">
        <v>1096</v>
      </c>
      <c r="R69" s="4" t="s">
        <v>1095</v>
      </c>
      <c r="S69" s="4"/>
      <c r="T69" s="4"/>
      <c r="U69" s="255" t="s">
        <v>1139</v>
      </c>
      <c r="V69" s="4"/>
      <c r="W69" s="4"/>
      <c r="X69" s="6"/>
      <c r="Y69" s="221"/>
      <c r="Z69" s="221"/>
      <c r="AA69" s="221"/>
      <c r="AB69" s="221"/>
      <c r="AC69" s="221"/>
      <c r="AD69" s="221"/>
    </row>
    <row r="70" spans="1:30" ht="22.5" x14ac:dyDescent="0.25">
      <c r="A70" s="226">
        <v>67</v>
      </c>
      <c r="B70" s="4">
        <v>37684</v>
      </c>
      <c r="C70" s="4" t="s">
        <v>726</v>
      </c>
      <c r="D70" s="4">
        <v>9989008902</v>
      </c>
      <c r="E70" s="4" t="s">
        <v>876</v>
      </c>
      <c r="F70" s="12" t="s">
        <v>371</v>
      </c>
      <c r="G70" s="12" t="s">
        <v>817</v>
      </c>
      <c r="H70" s="67" t="s">
        <v>951</v>
      </c>
      <c r="I70" s="4" t="s">
        <v>879</v>
      </c>
      <c r="J70" s="4" t="s">
        <v>819</v>
      </c>
      <c r="K70" s="22">
        <v>2000</v>
      </c>
      <c r="L70" s="4" t="s">
        <v>30</v>
      </c>
      <c r="M70" s="81">
        <f>Table135[[#This Row],[QTY
RECIVED]]-Table135[[#This Row],[QTY 
ISSUED]]</f>
        <v>1000</v>
      </c>
      <c r="N70" s="238">
        <f>Table135[[#This Row],[INVENTORY]]/200</f>
        <v>5</v>
      </c>
      <c r="O70" s="4" t="s">
        <v>821</v>
      </c>
      <c r="P70" s="4">
        <f>400+200+200+200</f>
        <v>1000</v>
      </c>
      <c r="Q70" s="4" t="s">
        <v>1233</v>
      </c>
      <c r="R70" s="4" t="s">
        <v>1234</v>
      </c>
      <c r="S70" s="4"/>
      <c r="T70" s="4"/>
      <c r="U70" s="255" t="s">
        <v>1139</v>
      </c>
      <c r="V70" s="4"/>
      <c r="W70" s="4"/>
      <c r="X70" s="6"/>
      <c r="Y70" s="221"/>
      <c r="Z70" s="221"/>
      <c r="AA70" s="221"/>
      <c r="AB70" s="221"/>
      <c r="AC70" s="221"/>
      <c r="AD70" s="221"/>
    </row>
    <row r="71" spans="1:30" ht="22.5" x14ac:dyDescent="0.25">
      <c r="A71" s="226">
        <v>68</v>
      </c>
      <c r="B71" s="4">
        <v>37684</v>
      </c>
      <c r="C71" s="4" t="s">
        <v>726</v>
      </c>
      <c r="D71" s="4">
        <v>9961641082</v>
      </c>
      <c r="E71" s="4" t="s">
        <v>876</v>
      </c>
      <c r="F71" s="12" t="s">
        <v>371</v>
      </c>
      <c r="G71" s="12" t="s">
        <v>817</v>
      </c>
      <c r="H71" s="67" t="s">
        <v>872</v>
      </c>
      <c r="I71" s="4" t="s">
        <v>879</v>
      </c>
      <c r="J71" s="4" t="s">
        <v>820</v>
      </c>
      <c r="K71" s="22">
        <v>8400</v>
      </c>
      <c r="L71" s="4" t="s">
        <v>30</v>
      </c>
      <c r="M71" s="81">
        <f>Table135[[#This Row],[QTY
RECIVED]]-Table135[[#This Row],[QTY 
ISSUED]]</f>
        <v>3000</v>
      </c>
      <c r="N71" s="238">
        <f>Table135[[#This Row],[INVENTORY]]/300</f>
        <v>10</v>
      </c>
      <c r="O71" s="4" t="s">
        <v>821</v>
      </c>
      <c r="P71" s="4">
        <f>2400+300+2700</f>
        <v>5400</v>
      </c>
      <c r="Q71" s="4" t="s">
        <v>1100</v>
      </c>
      <c r="R71" s="4" t="s">
        <v>1101</v>
      </c>
      <c r="S71" s="4"/>
      <c r="T71" s="4"/>
      <c r="U71" s="255" t="s">
        <v>1139</v>
      </c>
      <c r="V71" s="4"/>
      <c r="W71" s="4"/>
      <c r="X71" s="6"/>
      <c r="Y71" s="221"/>
      <c r="Z71" s="221"/>
      <c r="AA71" s="221"/>
      <c r="AB71" s="221"/>
      <c r="AC71" s="221"/>
      <c r="AD71" s="221"/>
    </row>
    <row r="72" spans="1:30" ht="22.5" x14ac:dyDescent="0.25">
      <c r="A72" s="226">
        <v>69</v>
      </c>
      <c r="B72" s="4" t="s">
        <v>873</v>
      </c>
      <c r="C72" s="4" t="s">
        <v>726</v>
      </c>
      <c r="D72" s="4">
        <v>9989008932</v>
      </c>
      <c r="E72" s="4" t="s">
        <v>876</v>
      </c>
      <c r="F72" s="12" t="s">
        <v>371</v>
      </c>
      <c r="G72" s="12" t="s">
        <v>817</v>
      </c>
      <c r="H72" s="67" t="s">
        <v>834</v>
      </c>
      <c r="I72" s="4" t="s">
        <v>818</v>
      </c>
      <c r="J72" s="4" t="s">
        <v>836</v>
      </c>
      <c r="K72" s="22">
        <v>200</v>
      </c>
      <c r="L72" s="4" t="s">
        <v>30</v>
      </c>
      <c r="M72" s="26">
        <f>Table135[[#This Row],[QTY
RECIVED]]-Table135[[#This Row],[QTY 
ISSUED]]</f>
        <v>0</v>
      </c>
      <c r="N72" s="238">
        <f>Table135[[#This Row],[INVENTORY]]/1</f>
        <v>0</v>
      </c>
      <c r="O72" s="4" t="s">
        <v>835</v>
      </c>
      <c r="P72" s="4">
        <v>200</v>
      </c>
      <c r="Q72" s="4" t="s">
        <v>898</v>
      </c>
      <c r="R72" s="4" t="s">
        <v>899</v>
      </c>
      <c r="S72" s="4"/>
      <c r="T72" s="4" t="s">
        <v>456</v>
      </c>
      <c r="U72" s="5"/>
      <c r="V72" s="4"/>
      <c r="W72" s="4"/>
      <c r="X72" s="4"/>
      <c r="Y72" s="221"/>
      <c r="Z72" s="221"/>
      <c r="AA72" s="221"/>
      <c r="AB72" s="221"/>
      <c r="AC72" s="221"/>
      <c r="AD72" s="221"/>
    </row>
    <row r="73" spans="1:30" ht="101.25" x14ac:dyDescent="0.25">
      <c r="A73" s="226">
        <v>70</v>
      </c>
      <c r="B73" s="4" t="s">
        <v>874</v>
      </c>
      <c r="C73" s="4" t="s">
        <v>1017</v>
      </c>
      <c r="D73" s="4">
        <v>9961641112</v>
      </c>
      <c r="E73" s="4" t="s">
        <v>876</v>
      </c>
      <c r="F73" s="12" t="s">
        <v>371</v>
      </c>
      <c r="G73" s="12" t="s">
        <v>817</v>
      </c>
      <c r="H73" s="67" t="s">
        <v>870</v>
      </c>
      <c r="I73" s="4" t="s">
        <v>818</v>
      </c>
      <c r="J73" s="4" t="s">
        <v>837</v>
      </c>
      <c r="K73" s="22">
        <v>16000</v>
      </c>
      <c r="L73" s="4" t="s">
        <v>30</v>
      </c>
      <c r="M73" s="26">
        <f>Table135[[#This Row],[QTY
RECIVED]]-Table135[[#This Row],[QTY 
ISSUED]]</f>
        <v>500</v>
      </c>
      <c r="N73" s="238">
        <f>Table135[[#This Row],[INVENTORY]]/250</f>
        <v>2</v>
      </c>
      <c r="O73" s="4" t="s">
        <v>835</v>
      </c>
      <c r="P73" s="4">
        <f>500+500+1000+500+750+500+500+750+1000+1000+750+750+500+1000+250+1000+500+1000+1000+250+1000+500</f>
        <v>15500</v>
      </c>
      <c r="Q73" s="243" t="s">
        <v>1231</v>
      </c>
      <c r="R73" s="4" t="s">
        <v>1232</v>
      </c>
      <c r="S73" s="4"/>
      <c r="T73" s="4" t="s">
        <v>456</v>
      </c>
      <c r="U73" s="255" t="s">
        <v>1140</v>
      </c>
      <c r="V73" s="4"/>
      <c r="W73" s="4"/>
      <c r="X73" s="4"/>
      <c r="Y73" s="221"/>
      <c r="Z73" s="221"/>
      <c r="AA73" s="221"/>
      <c r="AB73" s="221"/>
      <c r="AC73" s="221"/>
      <c r="AD73" s="221"/>
    </row>
    <row r="74" spans="1:30" ht="22.5" x14ac:dyDescent="0.25">
      <c r="A74" s="226">
        <v>71</v>
      </c>
      <c r="B74" s="4" t="s">
        <v>875</v>
      </c>
      <c r="C74" s="4" t="s">
        <v>726</v>
      </c>
      <c r="D74" s="4">
        <v>9989008912</v>
      </c>
      <c r="E74" s="4" t="s">
        <v>876</v>
      </c>
      <c r="F74" s="12" t="s">
        <v>371</v>
      </c>
      <c r="G74" s="12" t="s">
        <v>817</v>
      </c>
      <c r="H74" s="67" t="s">
        <v>221</v>
      </c>
      <c r="I74" s="4" t="s">
        <v>818</v>
      </c>
      <c r="J74" s="4" t="s">
        <v>838</v>
      </c>
      <c r="K74" s="22">
        <v>6000</v>
      </c>
      <c r="L74" s="4" t="s">
        <v>30</v>
      </c>
      <c r="M74" s="26">
        <f>Table135[[#This Row],[QTY
RECIVED]]-Table135[[#This Row],[QTY 
ISSUED]]</f>
        <v>6000</v>
      </c>
      <c r="N74" s="238">
        <f>Table135[[#This Row],[INVENTORY]]/250</f>
        <v>24</v>
      </c>
      <c r="O74" s="4" t="s">
        <v>835</v>
      </c>
      <c r="P74" s="4"/>
      <c r="Q74" s="4"/>
      <c r="R74" s="4"/>
      <c r="S74" s="4"/>
      <c r="T74" s="4"/>
      <c r="U74" s="255" t="s">
        <v>1140</v>
      </c>
      <c r="V74" s="4"/>
      <c r="W74" s="4"/>
      <c r="X74" s="4"/>
      <c r="Y74" s="221"/>
      <c r="Z74" s="221"/>
      <c r="AA74" s="221"/>
      <c r="AB74" s="221"/>
      <c r="AC74" s="221"/>
      <c r="AD74" s="221"/>
    </row>
    <row r="75" spans="1:30" ht="17.25" customHeight="1" x14ac:dyDescent="0.25">
      <c r="A75" s="226">
        <v>72</v>
      </c>
      <c r="B75" s="4"/>
      <c r="C75" s="12" t="s">
        <v>1003</v>
      </c>
      <c r="D75" s="199">
        <v>9989000792</v>
      </c>
      <c r="E75" s="4" t="s">
        <v>1004</v>
      </c>
      <c r="F75" s="12" t="s">
        <v>984</v>
      </c>
      <c r="G75" s="12" t="s">
        <v>984</v>
      </c>
      <c r="H75" s="67" t="s">
        <v>981</v>
      </c>
      <c r="I75" s="4"/>
      <c r="J75" s="4" t="s">
        <v>983</v>
      </c>
      <c r="K75" s="22">
        <v>100</v>
      </c>
      <c r="L75" s="4" t="s">
        <v>30</v>
      </c>
      <c r="M75" s="26">
        <f>Table135[[#This Row],[QTY
RECIVED]]-Table135[[#This Row],[QTY 
ISSUED]]</f>
        <v>0</v>
      </c>
      <c r="N75" s="238">
        <f>Table135[[#This Row],[INVENTORY]]/1</f>
        <v>0</v>
      </c>
      <c r="O75" s="4" t="s">
        <v>980</v>
      </c>
      <c r="P75" s="4">
        <v>100</v>
      </c>
      <c r="Q75" s="4" t="s">
        <v>998</v>
      </c>
      <c r="R75" s="4">
        <v>3918</v>
      </c>
      <c r="S75" s="4"/>
      <c r="T75" s="4"/>
      <c r="U75" s="5"/>
      <c r="V75" s="4"/>
      <c r="W75" s="4"/>
      <c r="X75" s="4"/>
      <c r="Y75" s="221"/>
      <c r="Z75" s="221"/>
      <c r="AA75" s="221"/>
      <c r="AB75" s="221"/>
      <c r="AC75" s="221"/>
      <c r="AD75" s="221"/>
    </row>
    <row r="76" spans="1:30" x14ac:dyDescent="0.25">
      <c r="A76" s="226">
        <v>73</v>
      </c>
      <c r="B76" s="4"/>
      <c r="C76" s="4" t="s">
        <v>701</v>
      </c>
      <c r="D76" s="4">
        <v>9989000912</v>
      </c>
      <c r="E76" s="4" t="s">
        <v>982</v>
      </c>
      <c r="F76" s="12" t="s">
        <v>988</v>
      </c>
      <c r="G76" s="12" t="s">
        <v>988</v>
      </c>
      <c r="H76" s="196" t="s">
        <v>985</v>
      </c>
      <c r="I76" s="197"/>
      <c r="J76" s="198"/>
      <c r="K76" s="22">
        <v>1260</v>
      </c>
      <c r="L76" s="4" t="s">
        <v>17</v>
      </c>
      <c r="M76" s="26">
        <f>Table135[[#This Row],[QTY
RECIVED]]-Table135[[#This Row],[QTY 
ISSUED]]</f>
        <v>0</v>
      </c>
      <c r="N76" s="238"/>
      <c r="O76" s="4" t="s">
        <v>987</v>
      </c>
      <c r="P76" s="4">
        <v>1260</v>
      </c>
      <c r="Q76" s="4" t="s">
        <v>998</v>
      </c>
      <c r="R76" s="4">
        <v>4108</v>
      </c>
      <c r="S76" s="4"/>
      <c r="T76" s="4" t="s">
        <v>195</v>
      </c>
      <c r="U76" s="5"/>
      <c r="V76" s="4"/>
      <c r="W76" s="4"/>
      <c r="X76" s="4"/>
      <c r="Y76" s="221"/>
      <c r="Z76" s="221"/>
      <c r="AA76" s="221"/>
      <c r="AB76" s="221"/>
      <c r="AC76" s="221"/>
      <c r="AD76" s="221"/>
    </row>
    <row r="77" spans="1:30" ht="14.25" x14ac:dyDescent="0.25">
      <c r="A77" s="226">
        <v>74</v>
      </c>
      <c r="B77" s="4"/>
      <c r="C77" s="4" t="s">
        <v>701</v>
      </c>
      <c r="D77" s="4">
        <v>9989000932</v>
      </c>
      <c r="E77" s="4" t="s">
        <v>982</v>
      </c>
      <c r="F77" s="12" t="s">
        <v>988</v>
      </c>
      <c r="G77" s="12" t="s">
        <v>988</v>
      </c>
      <c r="H77" s="196" t="s">
        <v>986</v>
      </c>
      <c r="I77" s="197"/>
      <c r="J77" s="198"/>
      <c r="K77" s="22">
        <v>1260</v>
      </c>
      <c r="L77" s="4" t="s">
        <v>30</v>
      </c>
      <c r="M77" s="26">
        <f>Table135[[#This Row],[QTY
RECIVED]]-Table135[[#This Row],[QTY 
ISSUED]]</f>
        <v>1260</v>
      </c>
      <c r="N77" s="238">
        <v>1</v>
      </c>
      <c r="O77" s="4" t="s">
        <v>987</v>
      </c>
      <c r="P77" s="4"/>
      <c r="Q77" s="4"/>
      <c r="R77" s="4"/>
      <c r="S77" s="4"/>
      <c r="T77" s="4"/>
      <c r="U77" s="255" t="s">
        <v>1145</v>
      </c>
      <c r="V77" s="4"/>
      <c r="W77" s="4"/>
      <c r="X77" s="4"/>
      <c r="Y77" s="221"/>
      <c r="Z77" s="221"/>
      <c r="AA77" s="221"/>
      <c r="AB77" s="221"/>
      <c r="AC77" s="221"/>
      <c r="AD77" s="221"/>
    </row>
    <row r="78" spans="1:30" ht="21" x14ac:dyDescent="0.25">
      <c r="A78" s="227">
        <v>75</v>
      </c>
      <c r="B78" s="4">
        <v>38362</v>
      </c>
      <c r="C78" s="12" t="s">
        <v>1017</v>
      </c>
      <c r="D78" s="4">
        <v>9961641112</v>
      </c>
      <c r="E78" s="4"/>
      <c r="F78" s="12" t="s">
        <v>371</v>
      </c>
      <c r="G78" s="12" t="s">
        <v>817</v>
      </c>
      <c r="H78" s="67" t="s">
        <v>870</v>
      </c>
      <c r="I78" s="197" t="s">
        <v>1001</v>
      </c>
      <c r="J78" s="198" t="s">
        <v>1002</v>
      </c>
      <c r="K78" s="22">
        <v>15000</v>
      </c>
      <c r="L78" s="4" t="s">
        <v>30</v>
      </c>
      <c r="M78" s="26">
        <f>Table135[[#This Row],[QTY
RECIVED]]-Table135[[#This Row],[QTY 
ISSUED]]</f>
        <v>14000</v>
      </c>
      <c r="N78" s="238">
        <f>Table135[[#This Row],[INVENTORY]]/250</f>
        <v>56</v>
      </c>
      <c r="O78" s="4" t="s">
        <v>1000</v>
      </c>
      <c r="P78" s="4">
        <f>1000</f>
        <v>1000</v>
      </c>
      <c r="Q78" s="243" t="s">
        <v>1098</v>
      </c>
      <c r="R78" s="4">
        <v>4433</v>
      </c>
      <c r="S78" s="4"/>
      <c r="T78" s="4"/>
      <c r="U78" s="255" t="s">
        <v>1140</v>
      </c>
      <c r="V78" s="4"/>
      <c r="W78" s="4"/>
      <c r="X78" s="4"/>
      <c r="Y78" s="221"/>
      <c r="Z78" s="221"/>
      <c r="AA78" s="221"/>
      <c r="AB78" s="221"/>
      <c r="AC78" s="221"/>
      <c r="AD78" s="221"/>
    </row>
    <row r="79" spans="1:30" ht="21" x14ac:dyDescent="0.25">
      <c r="A79" s="228">
        <v>76</v>
      </c>
      <c r="B79" s="6">
        <v>38462</v>
      </c>
      <c r="C79" s="12" t="s">
        <v>1017</v>
      </c>
      <c r="D79" s="4">
        <v>9961641112</v>
      </c>
      <c r="E79" s="6" t="s">
        <v>1015</v>
      </c>
      <c r="F79" s="12" t="s">
        <v>371</v>
      </c>
      <c r="G79" s="12" t="s">
        <v>371</v>
      </c>
      <c r="H79" s="67" t="s">
        <v>870</v>
      </c>
      <c r="I79" s="17" t="s">
        <v>1008</v>
      </c>
      <c r="J79" s="6" t="s">
        <v>651</v>
      </c>
      <c r="K79" s="24">
        <v>10000</v>
      </c>
      <c r="L79" s="4" t="s">
        <v>30</v>
      </c>
      <c r="M79" s="27">
        <f>Table135[[#This Row],[QTY
RECIVED]]-Table135[[#This Row],[QTY 
ISSUED]]</f>
        <v>7000</v>
      </c>
      <c r="N79" s="238">
        <f>Table135[[#This Row],[INVENTORY]]/250</f>
        <v>28</v>
      </c>
      <c r="O79" s="6" t="s">
        <v>1009</v>
      </c>
      <c r="P79" s="6">
        <v>3000</v>
      </c>
      <c r="Q79" s="244" t="s">
        <v>1012</v>
      </c>
      <c r="R79" s="6">
        <v>3978</v>
      </c>
      <c r="S79" s="6"/>
      <c r="T79" s="6" t="s">
        <v>1016</v>
      </c>
      <c r="U79" s="256" t="s">
        <v>1140</v>
      </c>
      <c r="V79" s="6"/>
      <c r="W79" s="6"/>
      <c r="X79" s="6"/>
      <c r="Y79" s="221"/>
      <c r="Z79" s="221"/>
      <c r="AA79" s="221"/>
      <c r="AB79" s="221"/>
      <c r="AC79" s="221"/>
      <c r="AD79" s="221"/>
    </row>
    <row r="80" spans="1:30" ht="14.25" x14ac:dyDescent="0.25">
      <c r="A80" s="227">
        <v>77</v>
      </c>
      <c r="B80" s="4" t="s">
        <v>1034</v>
      </c>
      <c r="C80" s="4" t="s">
        <v>1083</v>
      </c>
      <c r="D80" s="4">
        <v>9989008042</v>
      </c>
      <c r="E80" s="4" t="s">
        <v>1084</v>
      </c>
      <c r="F80" s="4" t="s">
        <v>1035</v>
      </c>
      <c r="G80" s="5" t="s">
        <v>1035</v>
      </c>
      <c r="H80" s="67" t="s">
        <v>127</v>
      </c>
      <c r="I80" s="197"/>
      <c r="J80" s="4" t="s">
        <v>1036</v>
      </c>
      <c r="K80" s="22">
        <v>15000</v>
      </c>
      <c r="L80" s="4" t="s">
        <v>30</v>
      </c>
      <c r="M80" s="26">
        <f>Table135[[#This Row],[QTY
RECIVED]]-Table135[[#This Row],[QTY 
ISSUED]]</f>
        <v>2000</v>
      </c>
      <c r="N80" s="238">
        <f>Table135[[#This Row],[INVENTORY]]/1000</f>
        <v>2</v>
      </c>
      <c r="O80" s="4" t="s">
        <v>1037</v>
      </c>
      <c r="P80" s="4">
        <v>13000</v>
      </c>
      <c r="Q80" s="4" t="s">
        <v>1082</v>
      </c>
      <c r="R80" s="4">
        <v>4396</v>
      </c>
      <c r="S80" s="4"/>
      <c r="T80" s="4" t="s">
        <v>645</v>
      </c>
      <c r="U80" s="255" t="s">
        <v>1144</v>
      </c>
      <c r="V80" s="4"/>
      <c r="W80" s="4"/>
      <c r="X80" s="4"/>
      <c r="Y80" s="221"/>
      <c r="Z80" s="221"/>
      <c r="AA80" s="221"/>
      <c r="AB80" s="221"/>
      <c r="AC80" s="221"/>
      <c r="AD80" s="221"/>
    </row>
    <row r="81" spans="1:30" ht="22.5" x14ac:dyDescent="0.25">
      <c r="A81" s="227">
        <v>78</v>
      </c>
      <c r="B81" s="4" t="s">
        <v>1034</v>
      </c>
      <c r="C81" s="4"/>
      <c r="D81" s="4">
        <v>9989000782</v>
      </c>
      <c r="E81" s="4"/>
      <c r="F81" s="4" t="s">
        <v>1035</v>
      </c>
      <c r="G81" s="5" t="s">
        <v>126</v>
      </c>
      <c r="H81" s="67" t="s">
        <v>1026</v>
      </c>
      <c r="I81" s="197"/>
      <c r="J81" s="4" t="s">
        <v>1038</v>
      </c>
      <c r="K81" s="22">
        <v>60</v>
      </c>
      <c r="L81" s="4" t="s">
        <v>30</v>
      </c>
      <c r="M81" s="236">
        <f>Table135[[#This Row],[QTY
RECIVED]]-Table135[[#This Row],[QTY 
ISSUED]]</f>
        <v>30</v>
      </c>
      <c r="N81" s="238">
        <f>Table135[[#This Row],[INVENTORY]]/30</f>
        <v>1</v>
      </c>
      <c r="O81" s="4" t="s">
        <v>1037</v>
      </c>
      <c r="P81" s="4">
        <f>10+5-5.4+5.4+15</f>
        <v>30</v>
      </c>
      <c r="Q81" s="4" t="s">
        <v>1091</v>
      </c>
      <c r="R81" s="4" t="s">
        <v>1092</v>
      </c>
      <c r="S81" s="4" t="s">
        <v>1090</v>
      </c>
      <c r="T81" s="4" t="s">
        <v>195</v>
      </c>
      <c r="U81" s="255" t="s">
        <v>1144</v>
      </c>
      <c r="V81" s="4"/>
      <c r="W81" s="4"/>
      <c r="X81" s="4"/>
      <c r="Y81" s="221"/>
      <c r="Z81" s="221"/>
      <c r="AA81" s="221"/>
      <c r="AB81" s="221"/>
      <c r="AC81" s="221"/>
      <c r="AD81" s="221"/>
    </row>
    <row r="82" spans="1:30" ht="22.5" x14ac:dyDescent="0.25">
      <c r="A82" s="228">
        <v>79</v>
      </c>
      <c r="B82" s="6" t="s">
        <v>1040</v>
      </c>
      <c r="C82" s="6" t="s">
        <v>373</v>
      </c>
      <c r="D82" s="6">
        <v>9989008932</v>
      </c>
      <c r="E82" s="6" t="s">
        <v>649</v>
      </c>
      <c r="F82" s="12" t="s">
        <v>371</v>
      </c>
      <c r="G82" s="45"/>
      <c r="H82" s="67" t="s">
        <v>834</v>
      </c>
      <c r="I82" s="17" t="s">
        <v>1041</v>
      </c>
      <c r="J82" s="4" t="s">
        <v>836</v>
      </c>
      <c r="K82" s="24">
        <v>200</v>
      </c>
      <c r="L82" s="6" t="s">
        <v>30</v>
      </c>
      <c r="M82" s="27">
        <f>Table135[[#This Row],[QTY
RECIVED]]-Table135[[#This Row],[QTY 
ISSUED]]</f>
        <v>0</v>
      </c>
      <c r="N82" s="238">
        <f>Table135[[#This Row],[INVENTORY]]/200</f>
        <v>0</v>
      </c>
      <c r="O82" s="6" t="s">
        <v>1042</v>
      </c>
      <c r="P82" s="6">
        <v>200</v>
      </c>
      <c r="Q82" s="6" t="s">
        <v>1048</v>
      </c>
      <c r="R82" s="6">
        <v>4315</v>
      </c>
      <c r="S82" s="6"/>
      <c r="T82" s="6"/>
      <c r="U82" s="45"/>
      <c r="V82" s="6"/>
      <c r="W82" s="6"/>
      <c r="X82" s="6"/>
      <c r="Y82" s="223"/>
      <c r="Z82" s="223"/>
      <c r="AA82" s="223"/>
      <c r="AB82" s="223"/>
      <c r="AC82" s="223"/>
      <c r="AD82" s="223"/>
    </row>
    <row r="83" spans="1:30" ht="22.5" x14ac:dyDescent="0.25">
      <c r="A83" s="227">
        <v>90</v>
      </c>
      <c r="B83" s="4">
        <v>36823</v>
      </c>
      <c r="C83" s="4" t="s">
        <v>1127</v>
      </c>
      <c r="D83" s="4">
        <v>9990058012</v>
      </c>
      <c r="E83" s="4" t="s">
        <v>1128</v>
      </c>
      <c r="F83" s="4" t="s">
        <v>1129</v>
      </c>
      <c r="G83" s="5" t="s">
        <v>1040</v>
      </c>
      <c r="H83" s="252" t="s">
        <v>1131</v>
      </c>
      <c r="I83" s="197" t="s">
        <v>1132</v>
      </c>
      <c r="J83" s="4" t="s">
        <v>1133</v>
      </c>
      <c r="K83" s="22">
        <v>8</v>
      </c>
      <c r="L83" s="4" t="s">
        <v>17</v>
      </c>
      <c r="M83" s="26">
        <f>Table135[[#This Row],[QTY
RECIVED]]-Table135[[#This Row],[QTY 
ISSUED]]</f>
        <v>4</v>
      </c>
      <c r="N83" s="238">
        <f>Table135[[#This Row],[INVENTORY]]/1</f>
        <v>4</v>
      </c>
      <c r="O83" s="4" t="s">
        <v>1134</v>
      </c>
      <c r="P83" s="4">
        <f>4</f>
        <v>4</v>
      </c>
      <c r="Q83" s="4" t="s">
        <v>1173</v>
      </c>
      <c r="R83" s="4">
        <v>4532</v>
      </c>
      <c r="S83" s="4"/>
      <c r="T83" s="4"/>
      <c r="U83" s="5" t="s">
        <v>1144</v>
      </c>
      <c r="V83" s="4"/>
      <c r="W83" s="4"/>
      <c r="X83" s="4"/>
    </row>
    <row r="84" spans="1:30" ht="22.5" x14ac:dyDescent="0.25">
      <c r="A84" s="227">
        <v>91</v>
      </c>
      <c r="B84" s="4">
        <v>36823</v>
      </c>
      <c r="C84" s="4" t="s">
        <v>1127</v>
      </c>
      <c r="D84" s="4">
        <v>9990058022</v>
      </c>
      <c r="E84" s="4" t="s">
        <v>1128</v>
      </c>
      <c r="F84" s="4" t="s">
        <v>1129</v>
      </c>
      <c r="G84" s="5" t="s">
        <v>1130</v>
      </c>
      <c r="H84" s="67" t="s">
        <v>1135</v>
      </c>
      <c r="I84" s="197" t="s">
        <v>1132</v>
      </c>
      <c r="J84" s="4" t="s">
        <v>1136</v>
      </c>
      <c r="K84" s="22">
        <v>60</v>
      </c>
      <c r="L84" s="4" t="s">
        <v>1137</v>
      </c>
      <c r="M84" s="26">
        <f>Table135[[#This Row],[QTY
RECIVED]]-Table135[[#This Row],[QTY 
ISSUED]]</f>
        <v>56</v>
      </c>
      <c r="N84" s="238">
        <f>Table135[[#This Row],[INVENTORY]]/20</f>
        <v>2.8</v>
      </c>
      <c r="O84" s="4" t="s">
        <v>1134</v>
      </c>
      <c r="P84" s="4">
        <v>4</v>
      </c>
      <c r="Q84" s="4" t="s">
        <v>1173</v>
      </c>
      <c r="R84" s="4">
        <v>4531</v>
      </c>
      <c r="S84" s="4"/>
      <c r="T84" s="4"/>
      <c r="U84" s="5" t="s">
        <v>1144</v>
      </c>
      <c r="V84" s="4"/>
      <c r="W84" s="4"/>
      <c r="X84" s="4"/>
    </row>
    <row r="85" spans="1:30" ht="22.5" x14ac:dyDescent="0.25">
      <c r="A85" s="227">
        <v>92</v>
      </c>
      <c r="B85" s="4" t="s">
        <v>1150</v>
      </c>
      <c r="C85" s="4" t="s">
        <v>1151</v>
      </c>
      <c r="D85" s="4">
        <v>9983643111</v>
      </c>
      <c r="E85" s="4" t="s">
        <v>1152</v>
      </c>
      <c r="F85" s="4" t="s">
        <v>1153</v>
      </c>
      <c r="G85" s="5" t="s">
        <v>1040</v>
      </c>
      <c r="H85" s="67" t="s">
        <v>1154</v>
      </c>
      <c r="I85" s="197" t="s">
        <v>1155</v>
      </c>
      <c r="J85" s="4" t="s">
        <v>1156</v>
      </c>
      <c r="K85" s="22">
        <v>260</v>
      </c>
      <c r="L85" s="4" t="s">
        <v>17</v>
      </c>
      <c r="M85" s="26">
        <f>Table135[[#This Row],[QTY
RECIVED]]-Table135[[#This Row],[QTY 
ISSUED]]</f>
        <v>260</v>
      </c>
      <c r="N85" s="238">
        <v>14</v>
      </c>
      <c r="O85" s="4" t="s">
        <v>1157</v>
      </c>
      <c r="P85" s="4"/>
      <c r="Q85" s="4"/>
      <c r="R85" s="4"/>
      <c r="S85" s="4"/>
      <c r="T85" s="4"/>
      <c r="U85" s="5" t="s">
        <v>1144</v>
      </c>
      <c r="V85" s="4"/>
      <c r="W85" s="4"/>
      <c r="X85" s="4"/>
    </row>
    <row r="86" spans="1:30" ht="22.5" x14ac:dyDescent="0.25">
      <c r="A86" s="227">
        <v>93</v>
      </c>
      <c r="B86" s="4" t="s">
        <v>1040</v>
      </c>
      <c r="C86" s="4" t="s">
        <v>1160</v>
      </c>
      <c r="D86" s="4">
        <v>9983643122</v>
      </c>
      <c r="E86" s="4" t="s">
        <v>1161</v>
      </c>
      <c r="F86" s="4" t="s">
        <v>1129</v>
      </c>
      <c r="G86" s="5" t="s">
        <v>1162</v>
      </c>
      <c r="H86" s="67" t="s">
        <v>1163</v>
      </c>
      <c r="I86" s="197" t="s">
        <v>1155</v>
      </c>
      <c r="J86" s="4" t="s">
        <v>1164</v>
      </c>
      <c r="K86" s="22">
        <v>20</v>
      </c>
      <c r="L86" s="4" t="s">
        <v>1137</v>
      </c>
      <c r="M86" s="26">
        <f>Table135[[#This Row],[QTY
RECIVED]]-Table135[[#This Row],[QTY 
ISSUED]]</f>
        <v>20</v>
      </c>
      <c r="N86" s="238">
        <f>Table135[[#This Row],[INVENTORY]]/20</f>
        <v>1</v>
      </c>
      <c r="O86" s="4" t="s">
        <v>1165</v>
      </c>
      <c r="P86" s="4"/>
      <c r="Q86" s="4"/>
      <c r="R86" s="4"/>
      <c r="S86" s="4"/>
      <c r="T86" s="4"/>
      <c r="U86" s="5" t="s">
        <v>1144</v>
      </c>
      <c r="V86" s="4"/>
      <c r="W86" s="4"/>
      <c r="X86" s="4"/>
    </row>
    <row r="87" spans="1:30" ht="22.5" x14ac:dyDescent="0.25">
      <c r="A87" s="227">
        <v>94</v>
      </c>
      <c r="B87" s="4" t="s">
        <v>1040</v>
      </c>
      <c r="C87" s="4" t="s">
        <v>1040</v>
      </c>
      <c r="D87" s="4">
        <v>9983643132</v>
      </c>
      <c r="E87" s="4" t="s">
        <v>1175</v>
      </c>
      <c r="F87" s="4" t="s">
        <v>1040</v>
      </c>
      <c r="G87" s="5" t="s">
        <v>1177</v>
      </c>
      <c r="H87" s="67" t="s">
        <v>1176</v>
      </c>
      <c r="I87" s="197" t="s">
        <v>1155</v>
      </c>
      <c r="J87" s="4" t="s">
        <v>1178</v>
      </c>
      <c r="K87" s="22">
        <v>49</v>
      </c>
      <c r="L87" s="4" t="s">
        <v>1137</v>
      </c>
      <c r="M87" s="26">
        <f>Table135[[#This Row],[QTY
RECIVED]]-Table135[[#This Row],[QTY 
ISSUED]]</f>
        <v>49</v>
      </c>
      <c r="N87" s="238">
        <f>Table135[[#This Row],[INVENTORY]]/1</f>
        <v>49</v>
      </c>
      <c r="O87" s="4" t="s">
        <v>1134</v>
      </c>
      <c r="P87" s="4"/>
      <c r="Q87" s="4"/>
      <c r="R87" s="4"/>
      <c r="S87" s="4"/>
      <c r="T87" s="4"/>
      <c r="U87" s="5" t="s">
        <v>1144</v>
      </c>
      <c r="V87" s="4"/>
      <c r="W87" s="4"/>
      <c r="X87" s="4"/>
    </row>
    <row r="88" spans="1:30" ht="22.5" x14ac:dyDescent="0.25">
      <c r="A88" s="227">
        <v>95</v>
      </c>
      <c r="B88" s="4" t="s">
        <v>1040</v>
      </c>
      <c r="C88" s="4" t="s">
        <v>1040</v>
      </c>
      <c r="D88" s="4">
        <v>9983643142</v>
      </c>
      <c r="E88" s="4" t="s">
        <v>1175</v>
      </c>
      <c r="F88" s="4" t="s">
        <v>1040</v>
      </c>
      <c r="G88" s="5" t="s">
        <v>1177</v>
      </c>
      <c r="H88" s="67" t="s">
        <v>1179</v>
      </c>
      <c r="I88" s="197" t="s">
        <v>1155</v>
      </c>
      <c r="J88" s="4" t="s">
        <v>1180</v>
      </c>
      <c r="K88" s="22">
        <v>5</v>
      </c>
      <c r="L88" s="4" t="s">
        <v>1137</v>
      </c>
      <c r="M88" s="26">
        <f>Table135[[#This Row],[QTY
RECIVED]]-Table135[[#This Row],[QTY 
ISSUED]]</f>
        <v>5</v>
      </c>
      <c r="N88" s="238">
        <f>Table135[[#This Row],[INVENTORY]]/1</f>
        <v>5</v>
      </c>
      <c r="O88" s="4" t="s">
        <v>1134</v>
      </c>
      <c r="P88" s="4"/>
      <c r="Q88" s="4"/>
      <c r="R88" s="4"/>
      <c r="S88" s="4"/>
      <c r="T88" s="4"/>
      <c r="U88" s="5" t="s">
        <v>1144</v>
      </c>
      <c r="V88" s="4"/>
      <c r="W88" s="4"/>
      <c r="X88" s="4"/>
    </row>
    <row r="89" spans="1:30" ht="22.5" x14ac:dyDescent="0.25">
      <c r="A89" s="227">
        <v>96</v>
      </c>
      <c r="B89" s="4">
        <v>40029</v>
      </c>
      <c r="C89" s="4" t="s">
        <v>1040</v>
      </c>
      <c r="D89" s="4"/>
      <c r="E89" s="4"/>
      <c r="F89" s="4" t="s">
        <v>371</v>
      </c>
      <c r="G89" s="5" t="s">
        <v>223</v>
      </c>
      <c r="H89" s="67" t="s">
        <v>1243</v>
      </c>
      <c r="I89" s="197"/>
      <c r="J89" s="4" t="s">
        <v>836</v>
      </c>
      <c r="K89" s="22">
        <v>200</v>
      </c>
      <c r="L89" s="4" t="s">
        <v>30</v>
      </c>
      <c r="M89" s="26">
        <f>Table135[[#This Row],[QTY
RECIVED]]-Table135[[#This Row],[QTY 
ISSUED]]</f>
        <v>0</v>
      </c>
      <c r="N89" s="238">
        <v>1</v>
      </c>
      <c r="O89" s="4" t="s">
        <v>1244</v>
      </c>
      <c r="P89" s="4">
        <v>200</v>
      </c>
      <c r="Q89" s="4" t="s">
        <v>1245</v>
      </c>
      <c r="R89" s="4"/>
      <c r="S89" s="4"/>
      <c r="T89" s="4" t="s">
        <v>195</v>
      </c>
      <c r="U89" s="5"/>
      <c r="V89" s="4"/>
      <c r="W89" s="4"/>
      <c r="X89" s="4"/>
    </row>
    <row r="90" spans="1:30" x14ac:dyDescent="0.25">
      <c r="A90" s="227">
        <v>97</v>
      </c>
      <c r="B90" s="4"/>
      <c r="C90" s="4"/>
      <c r="D90" s="4"/>
      <c r="E90" s="4"/>
      <c r="F90" s="4"/>
      <c r="G90" s="5"/>
      <c r="H90" s="67"/>
      <c r="I90" s="197"/>
      <c r="J90" s="4"/>
      <c r="K90" s="22"/>
      <c r="L90" s="4"/>
      <c r="M90" s="26">
        <f>Table135[[#This Row],[QTY
RECIVED]]-Table135[[#This Row],[QTY 
ISSUED]]</f>
        <v>0</v>
      </c>
      <c r="N90" s="238"/>
      <c r="O90" s="4"/>
      <c r="P90" s="4"/>
      <c r="Q90" s="4"/>
      <c r="R90" s="4"/>
      <c r="S90" s="4"/>
      <c r="T90" s="4"/>
      <c r="U90" s="5"/>
      <c r="V90" s="4"/>
      <c r="W90" s="4"/>
      <c r="X90" s="4"/>
    </row>
    <row r="91" spans="1:30" x14ac:dyDescent="0.25">
      <c r="A91" s="227">
        <v>98</v>
      </c>
      <c r="B91" s="4"/>
      <c r="C91" s="4"/>
      <c r="D91" s="4"/>
      <c r="E91" s="4"/>
      <c r="F91" s="4"/>
      <c r="G91" s="5"/>
      <c r="H91" s="67"/>
      <c r="I91" s="197"/>
      <c r="J91" s="4"/>
      <c r="K91" s="22"/>
      <c r="L91" s="4"/>
      <c r="M91" s="26">
        <f>Table135[[#This Row],[QTY
RECIVED]]-Table135[[#This Row],[QTY 
ISSUED]]</f>
        <v>0</v>
      </c>
      <c r="N91" s="238"/>
      <c r="O91" s="4"/>
      <c r="P91" s="4"/>
      <c r="Q91" s="4"/>
      <c r="R91" s="4"/>
      <c r="S91" s="4"/>
      <c r="T91" s="4"/>
      <c r="U91" s="5"/>
      <c r="V91" s="4"/>
      <c r="W91" s="4"/>
      <c r="X91" s="4"/>
    </row>
    <row r="92" spans="1:30" x14ac:dyDescent="0.25">
      <c r="A92" s="227">
        <v>99</v>
      </c>
      <c r="B92" s="4"/>
      <c r="C92" s="4"/>
      <c r="D92" s="4"/>
      <c r="E92" s="4"/>
      <c r="F92" s="4"/>
      <c r="G92" s="5"/>
      <c r="H92" s="67"/>
      <c r="I92" s="197"/>
      <c r="J92" s="4"/>
      <c r="K92" s="22"/>
      <c r="L92" s="4"/>
      <c r="M92" s="26">
        <f>Table135[[#This Row],[QTY
RECIVED]]-Table135[[#This Row],[QTY 
ISSUED]]</f>
        <v>0</v>
      </c>
      <c r="N92" s="238"/>
      <c r="O92" s="4"/>
      <c r="P92" s="4"/>
      <c r="Q92" s="4"/>
      <c r="R92" s="4"/>
      <c r="S92" s="4"/>
      <c r="T92" s="4"/>
      <c r="U92" s="5"/>
      <c r="V92" s="4"/>
      <c r="W92" s="4"/>
      <c r="X92" s="4"/>
    </row>
    <row r="93" spans="1:30" x14ac:dyDescent="0.25">
      <c r="A93" s="227">
        <v>100</v>
      </c>
      <c r="B93" s="4"/>
      <c r="C93" s="4"/>
      <c r="D93" s="4"/>
      <c r="E93" s="4"/>
      <c r="F93" s="4"/>
      <c r="G93" s="5"/>
      <c r="H93" s="67"/>
      <c r="I93" s="197"/>
      <c r="J93" s="4"/>
      <c r="K93" s="22"/>
      <c r="L93" s="4"/>
      <c r="M93" s="26">
        <f>Table135[[#This Row],[QTY
RECIVED]]-Table135[[#This Row],[QTY 
ISSUED]]</f>
        <v>0</v>
      </c>
      <c r="N93" s="238"/>
      <c r="O93" s="4"/>
      <c r="P93" s="4"/>
      <c r="Q93" s="4"/>
      <c r="R93" s="4"/>
      <c r="S93" s="4"/>
      <c r="T93" s="4"/>
      <c r="U93" s="5"/>
      <c r="V93" s="4"/>
      <c r="W93" s="4"/>
      <c r="X93" s="4"/>
    </row>
    <row r="94" spans="1:30" x14ac:dyDescent="0.25">
      <c r="A94" s="227"/>
      <c r="B94" s="4"/>
      <c r="C94" s="4"/>
      <c r="D94" s="4"/>
      <c r="E94" s="4"/>
      <c r="F94" s="4"/>
      <c r="G94" s="5"/>
      <c r="H94" s="67"/>
      <c r="I94" s="197"/>
      <c r="J94" s="4"/>
      <c r="K94" s="22"/>
      <c r="L94" s="4"/>
      <c r="M94" s="26">
        <f>Table135[[#This Row],[QTY
RECIVED]]-Table135[[#This Row],[QTY 
ISSUED]]</f>
        <v>0</v>
      </c>
      <c r="N94" s="238"/>
      <c r="O94" s="4"/>
      <c r="P94" s="4"/>
      <c r="Q94" s="4"/>
      <c r="R94" s="4"/>
      <c r="S94" s="4"/>
      <c r="T94" s="4"/>
      <c r="U94" s="5"/>
      <c r="V94" s="4"/>
      <c r="W94" s="4"/>
      <c r="X94" s="4"/>
    </row>
    <row r="95" spans="1:30" x14ac:dyDescent="0.25">
      <c r="A95" s="227"/>
      <c r="B95" s="4"/>
      <c r="C95" s="4"/>
      <c r="D95" s="4"/>
      <c r="E95" s="4"/>
      <c r="F95" s="4"/>
      <c r="G95" s="5"/>
      <c r="H95" s="67"/>
      <c r="I95" s="197"/>
      <c r="J95" s="4"/>
      <c r="K95" s="22"/>
      <c r="L95" s="4"/>
      <c r="M95" s="26">
        <f>Table135[[#This Row],[QTY
RECIVED]]-Table135[[#This Row],[QTY 
ISSUED]]</f>
        <v>0</v>
      </c>
      <c r="N95" s="238"/>
      <c r="O95" s="4"/>
      <c r="P95" s="4"/>
      <c r="Q95" s="4"/>
      <c r="R95" s="4"/>
      <c r="S95" s="4"/>
      <c r="T95" s="4"/>
      <c r="U95" s="5"/>
      <c r="V95" s="4"/>
      <c r="W95" s="4"/>
      <c r="X95" s="4"/>
    </row>
    <row r="96" spans="1:30" x14ac:dyDescent="0.25">
      <c r="A96" s="227"/>
      <c r="B96" s="4"/>
      <c r="C96" s="4"/>
      <c r="D96" s="4"/>
      <c r="E96" s="4"/>
      <c r="F96" s="4"/>
      <c r="G96" s="5"/>
      <c r="H96" s="67"/>
      <c r="I96" s="197"/>
      <c r="J96" s="4"/>
      <c r="K96" s="22"/>
      <c r="L96" s="4"/>
      <c r="M96" s="26">
        <f>Table135[[#This Row],[QTY
RECIVED]]-Table135[[#This Row],[QTY 
ISSUED]]</f>
        <v>0</v>
      </c>
      <c r="N96" s="238"/>
      <c r="O96" s="4"/>
      <c r="P96" s="4"/>
      <c r="Q96" s="4"/>
      <c r="R96" s="4"/>
      <c r="S96" s="4"/>
      <c r="T96" s="4"/>
      <c r="U96" s="5"/>
      <c r="V96" s="4"/>
      <c r="W96" s="4"/>
      <c r="X96" s="4"/>
    </row>
    <row r="97" spans="1:24" x14ac:dyDescent="0.25">
      <c r="A97" s="227"/>
      <c r="B97" s="4"/>
      <c r="C97" s="4"/>
      <c r="D97" s="4"/>
      <c r="E97" s="4"/>
      <c r="F97" s="4"/>
      <c r="G97" s="5"/>
      <c r="H97" s="67"/>
      <c r="I97" s="197"/>
      <c r="J97" s="4"/>
      <c r="K97" s="22"/>
      <c r="L97" s="4"/>
      <c r="M97" s="26">
        <f>Table135[[#This Row],[QTY
RECIVED]]-Table135[[#This Row],[QTY 
ISSUED]]</f>
        <v>0</v>
      </c>
      <c r="N97" s="238"/>
      <c r="O97" s="4"/>
      <c r="P97" s="4"/>
      <c r="Q97" s="4"/>
      <c r="R97" s="4"/>
      <c r="S97" s="4"/>
      <c r="T97" s="4"/>
      <c r="U97" s="5"/>
      <c r="V97" s="4"/>
      <c r="W97" s="4"/>
      <c r="X97" s="4"/>
    </row>
    <row r="98" spans="1:24" x14ac:dyDescent="0.25">
      <c r="A98" s="227"/>
      <c r="B98" s="4"/>
      <c r="C98" s="4"/>
      <c r="D98" s="4"/>
      <c r="E98" s="4"/>
      <c r="F98" s="4"/>
      <c r="G98" s="5"/>
      <c r="H98" s="67"/>
      <c r="I98" s="197"/>
      <c r="J98" s="4"/>
      <c r="K98" s="22"/>
      <c r="L98" s="4"/>
      <c r="M98" s="26">
        <f>Table135[[#This Row],[QTY
RECIVED]]-Table135[[#This Row],[QTY 
ISSUED]]</f>
        <v>0</v>
      </c>
      <c r="N98" s="238"/>
      <c r="O98" s="4"/>
      <c r="P98" s="4"/>
      <c r="Q98" s="4"/>
      <c r="R98" s="4"/>
      <c r="S98" s="4"/>
      <c r="T98" s="4"/>
      <c r="U98" s="5"/>
      <c r="V98" s="4"/>
      <c r="W98" s="4"/>
      <c r="X98" s="4"/>
    </row>
    <row r="99" spans="1:24" x14ac:dyDescent="0.25">
      <c r="A99" s="227"/>
      <c r="B99" s="4"/>
      <c r="C99" s="4"/>
      <c r="D99" s="4"/>
      <c r="E99" s="4"/>
      <c r="F99" s="4"/>
      <c r="G99" s="5"/>
      <c r="H99" s="67"/>
      <c r="I99" s="197"/>
      <c r="J99" s="4"/>
      <c r="K99" s="22"/>
      <c r="L99" s="4"/>
      <c r="M99" s="26">
        <f>Table135[[#This Row],[QTY
RECIVED]]-Table135[[#This Row],[QTY 
ISSUED]]</f>
        <v>0</v>
      </c>
      <c r="N99" s="238"/>
      <c r="O99" s="4"/>
      <c r="P99" s="4"/>
      <c r="Q99" s="4"/>
      <c r="R99" s="4"/>
      <c r="S99" s="4"/>
      <c r="T99" s="4"/>
      <c r="U99" s="5"/>
      <c r="V99" s="4"/>
      <c r="W99" s="4"/>
      <c r="X99" s="4"/>
    </row>
    <row r="100" spans="1:24" x14ac:dyDescent="0.25">
      <c r="A100" s="227"/>
      <c r="B100" s="4"/>
      <c r="C100" s="4"/>
      <c r="D100" s="4"/>
      <c r="E100" s="4"/>
      <c r="F100" s="4"/>
      <c r="G100" s="5"/>
      <c r="H100" s="67"/>
      <c r="I100" s="197"/>
      <c r="J100" s="4"/>
      <c r="K100" s="22"/>
      <c r="L100" s="4"/>
      <c r="M100" s="26">
        <f>Table135[[#This Row],[QTY
RECIVED]]-Table135[[#This Row],[QTY 
ISSUED]]</f>
        <v>0</v>
      </c>
      <c r="N100" s="238"/>
      <c r="O100" s="4"/>
      <c r="P100" s="4"/>
      <c r="Q100" s="4"/>
      <c r="R100" s="4"/>
      <c r="S100" s="4"/>
      <c r="T100" s="4"/>
      <c r="U100" s="5"/>
      <c r="V100" s="4"/>
      <c r="W100" s="4"/>
      <c r="X100" s="4"/>
    </row>
    <row r="101" spans="1:24" x14ac:dyDescent="0.25">
      <c r="A101" s="228"/>
      <c r="B101" s="6"/>
      <c r="C101" s="6"/>
      <c r="D101" s="6"/>
      <c r="E101" s="6"/>
      <c r="F101" s="6"/>
      <c r="G101" s="45"/>
      <c r="H101" s="60"/>
      <c r="I101" s="17"/>
      <c r="J101" s="6"/>
      <c r="K101" s="24"/>
      <c r="L101" s="6"/>
      <c r="M101" s="27">
        <f>Table135[[#This Row],[QTY
RECIVED]]-Table135[[#This Row],[QTY 
ISSUED]]</f>
        <v>0</v>
      </c>
      <c r="N101" s="238"/>
      <c r="O101" s="6"/>
      <c r="P101" s="6"/>
      <c r="Q101" s="6"/>
      <c r="R101" s="6"/>
      <c r="S101" s="6"/>
      <c r="T101" s="6"/>
      <c r="U101" s="45"/>
      <c r="V101" s="6"/>
      <c r="W101" s="6"/>
      <c r="X101" s="6"/>
    </row>
    <row r="102" spans="1:24" x14ac:dyDescent="0.25">
      <c r="A102" s="227"/>
      <c r="B102" s="4"/>
      <c r="C102" s="4"/>
      <c r="D102" s="4"/>
      <c r="E102" s="4"/>
      <c r="F102" s="4"/>
      <c r="G102" s="5"/>
      <c r="H102" s="67"/>
      <c r="I102" s="197"/>
      <c r="J102" s="4"/>
      <c r="K102" s="22"/>
      <c r="L102" s="4"/>
      <c r="M102" s="26">
        <f>Table135[[#This Row],[QTY
RECIVED]]-Table135[[#This Row],[QTY 
ISSUED]]</f>
        <v>0</v>
      </c>
      <c r="N102" s="238"/>
      <c r="O102" s="4"/>
      <c r="P102" s="4"/>
      <c r="Q102" s="4"/>
      <c r="R102" s="4"/>
      <c r="S102" s="4"/>
      <c r="T102" s="4"/>
      <c r="U102" s="5"/>
      <c r="V102" s="4"/>
      <c r="W102" s="4"/>
      <c r="X102" s="4"/>
    </row>
    <row r="103" spans="1:24" x14ac:dyDescent="0.25">
      <c r="A103" s="227"/>
      <c r="B103" s="4"/>
      <c r="C103" s="4"/>
      <c r="D103" s="4"/>
      <c r="E103" s="4"/>
      <c r="F103" s="4"/>
      <c r="G103" s="5"/>
      <c r="H103" s="67"/>
      <c r="I103" s="197"/>
      <c r="J103" s="4"/>
      <c r="K103" s="22"/>
      <c r="L103" s="4"/>
      <c r="M103" s="26">
        <f>Table135[[#This Row],[QTY
RECIVED]]-Table135[[#This Row],[QTY 
ISSUED]]</f>
        <v>0</v>
      </c>
      <c r="N103" s="238"/>
      <c r="O103" s="4"/>
      <c r="P103" s="4"/>
      <c r="Q103" s="4"/>
      <c r="R103" s="4"/>
      <c r="S103" s="4"/>
      <c r="T103" s="4"/>
      <c r="U103" s="5"/>
      <c r="V103" s="4"/>
      <c r="W103" s="4"/>
      <c r="X103" s="4"/>
    </row>
    <row r="104" spans="1:24" x14ac:dyDescent="0.25">
      <c r="A104" s="227"/>
      <c r="B104" s="4"/>
      <c r="C104" s="4"/>
      <c r="D104" s="4"/>
      <c r="E104" s="4"/>
      <c r="F104" s="4"/>
      <c r="G104" s="5"/>
      <c r="H104" s="67"/>
      <c r="I104" s="197"/>
      <c r="J104" s="4"/>
      <c r="K104" s="22"/>
      <c r="L104" s="4"/>
      <c r="M104" s="26">
        <f>Table135[[#This Row],[QTY
RECIVED]]-Table135[[#This Row],[QTY 
ISSUED]]</f>
        <v>0</v>
      </c>
      <c r="N104" s="238"/>
      <c r="O104" s="4"/>
      <c r="P104" s="4"/>
      <c r="Q104" s="4"/>
      <c r="R104" s="4"/>
      <c r="S104" s="4"/>
      <c r="T104" s="4"/>
      <c r="U104" s="5"/>
      <c r="V104" s="4"/>
      <c r="W104" s="4"/>
      <c r="X104" s="4"/>
    </row>
    <row r="105" spans="1:24" x14ac:dyDescent="0.25">
      <c r="A105" s="227"/>
      <c r="B105" s="4"/>
      <c r="C105" s="4"/>
      <c r="D105" s="4"/>
      <c r="E105" s="4"/>
      <c r="F105" s="4"/>
      <c r="G105" s="5"/>
      <c r="H105" s="67"/>
      <c r="I105" s="197"/>
      <c r="J105" s="4"/>
      <c r="K105" s="22"/>
      <c r="L105" s="4"/>
      <c r="M105" s="26">
        <f>Table135[[#This Row],[QTY
RECIVED]]-Table135[[#This Row],[QTY 
ISSUED]]</f>
        <v>0</v>
      </c>
      <c r="N105" s="238"/>
      <c r="O105" s="4"/>
      <c r="P105" s="4"/>
      <c r="Q105" s="4"/>
      <c r="R105" s="4"/>
      <c r="S105" s="4"/>
      <c r="T105" s="4"/>
      <c r="U105" s="5"/>
      <c r="V105" s="4"/>
      <c r="W105" s="4"/>
      <c r="X105" s="4"/>
    </row>
    <row r="106" spans="1:24" x14ac:dyDescent="0.25">
      <c r="A106" s="227"/>
      <c r="B106" s="4"/>
      <c r="C106" s="4"/>
      <c r="D106" s="4"/>
      <c r="E106" s="4"/>
      <c r="F106" s="4"/>
      <c r="G106" s="5"/>
      <c r="H106" s="67"/>
      <c r="I106" s="197"/>
      <c r="J106" s="4"/>
      <c r="K106" s="22"/>
      <c r="L106" s="4"/>
      <c r="M106" s="26">
        <f>Table135[[#This Row],[QTY
RECIVED]]-Table135[[#This Row],[QTY 
ISSUED]]</f>
        <v>0</v>
      </c>
      <c r="N106" s="238"/>
      <c r="O106" s="4"/>
      <c r="P106" s="4"/>
      <c r="Q106" s="4"/>
      <c r="R106" s="4"/>
      <c r="S106" s="4"/>
      <c r="T106" s="4"/>
      <c r="U106" s="5"/>
      <c r="V106" s="4"/>
      <c r="W106" s="4"/>
      <c r="X106" s="4"/>
    </row>
    <row r="107" spans="1:24" x14ac:dyDescent="0.25">
      <c r="A107" s="227"/>
      <c r="B107" s="4"/>
      <c r="C107" s="4"/>
      <c r="D107" s="4"/>
      <c r="E107" s="4"/>
      <c r="F107" s="4"/>
      <c r="G107" s="5"/>
      <c r="H107" s="67"/>
      <c r="I107" s="197"/>
      <c r="J107" s="4"/>
      <c r="K107" s="22"/>
      <c r="L107" s="4"/>
      <c r="M107" s="26">
        <f>Table135[[#This Row],[QTY
RECIVED]]-Table135[[#This Row],[QTY 
ISSUED]]</f>
        <v>0</v>
      </c>
      <c r="N107" s="238"/>
      <c r="O107" s="4"/>
      <c r="P107" s="4"/>
      <c r="Q107" s="4"/>
      <c r="R107" s="4"/>
      <c r="S107" s="4"/>
      <c r="T107" s="4"/>
      <c r="U107" s="5"/>
      <c r="V107" s="4"/>
      <c r="W107" s="4"/>
      <c r="X107" s="4"/>
    </row>
    <row r="108" spans="1:24" x14ac:dyDescent="0.25">
      <c r="A108" s="227"/>
      <c r="B108" s="4"/>
      <c r="C108" s="4"/>
      <c r="D108" s="4"/>
      <c r="E108" s="4"/>
      <c r="F108" s="4"/>
      <c r="G108" s="5"/>
      <c r="H108" s="67"/>
      <c r="I108" s="197"/>
      <c r="J108" s="4"/>
      <c r="K108" s="22"/>
      <c r="L108" s="4"/>
      <c r="M108" s="26">
        <f>Table135[[#This Row],[QTY
RECIVED]]-Table135[[#This Row],[QTY 
ISSUED]]</f>
        <v>0</v>
      </c>
      <c r="N108" s="238"/>
      <c r="O108" s="4"/>
      <c r="P108" s="4"/>
      <c r="Q108" s="4"/>
      <c r="R108" s="4"/>
      <c r="S108" s="4"/>
      <c r="T108" s="4"/>
      <c r="U108" s="5"/>
      <c r="V108" s="4"/>
      <c r="W108" s="4"/>
      <c r="X108" s="4"/>
    </row>
    <row r="109" spans="1:24" x14ac:dyDescent="0.25">
      <c r="A109" s="227"/>
      <c r="B109" s="4"/>
      <c r="C109" s="4"/>
      <c r="D109" s="4"/>
      <c r="E109" s="4"/>
      <c r="F109" s="4"/>
      <c r="G109" s="5"/>
      <c r="H109" s="67"/>
      <c r="I109" s="197"/>
      <c r="J109" s="4"/>
      <c r="K109" s="22"/>
      <c r="L109" s="4"/>
      <c r="M109" s="26">
        <f>Table135[[#This Row],[QTY
RECIVED]]-Table135[[#This Row],[QTY 
ISSUED]]</f>
        <v>0</v>
      </c>
      <c r="N109" s="238"/>
      <c r="O109" s="4"/>
      <c r="P109" s="4"/>
      <c r="Q109" s="4"/>
      <c r="R109" s="4"/>
      <c r="S109" s="4"/>
      <c r="T109" s="4"/>
      <c r="U109" s="5"/>
      <c r="V109" s="4"/>
      <c r="W109" s="4"/>
      <c r="X109" s="4"/>
    </row>
    <row r="110" spans="1:24" x14ac:dyDescent="0.25">
      <c r="A110" s="227"/>
      <c r="B110" s="4"/>
      <c r="C110" s="4"/>
      <c r="D110" s="4"/>
      <c r="E110" s="4"/>
      <c r="F110" s="4"/>
      <c r="G110" s="5"/>
      <c r="H110" s="67"/>
      <c r="I110" s="197"/>
      <c r="J110" s="4"/>
      <c r="K110" s="22"/>
      <c r="L110" s="4"/>
      <c r="M110" s="26">
        <f>Table135[[#This Row],[QTY
RECIVED]]-Table135[[#This Row],[QTY 
ISSUED]]</f>
        <v>0</v>
      </c>
      <c r="N110" s="238"/>
      <c r="O110" s="4"/>
      <c r="P110" s="4"/>
      <c r="Q110" s="4"/>
      <c r="R110" s="4"/>
      <c r="S110" s="4"/>
      <c r="T110" s="4"/>
      <c r="U110" s="5"/>
      <c r="V110" s="4"/>
      <c r="W110" s="4"/>
      <c r="X110" s="4"/>
    </row>
    <row r="111" spans="1:24" x14ac:dyDescent="0.25">
      <c r="A111" s="228"/>
      <c r="B111" s="6"/>
      <c r="C111" s="6"/>
      <c r="D111" s="6"/>
      <c r="E111" s="6"/>
      <c r="F111" s="6"/>
      <c r="G111" s="45"/>
      <c r="H111" s="60"/>
      <c r="I111" s="17"/>
      <c r="J111" s="6"/>
      <c r="K111" s="24"/>
      <c r="L111" s="6"/>
      <c r="M111" s="27">
        <f>Table135[[#This Row],[QTY
RECIVED]]-Table135[[#This Row],[QTY 
ISSUED]]</f>
        <v>0</v>
      </c>
      <c r="N111" s="238"/>
      <c r="O111" s="6"/>
      <c r="P111" s="6"/>
      <c r="Q111" s="6"/>
      <c r="R111" s="6"/>
      <c r="S111" s="6"/>
      <c r="T111" s="6"/>
      <c r="U111" s="45"/>
      <c r="V111" s="6"/>
      <c r="W111" s="6"/>
      <c r="X111" s="6"/>
    </row>
  </sheetData>
  <mergeCells count="4">
    <mergeCell ref="A2:J2"/>
    <mergeCell ref="K2:N2"/>
    <mergeCell ref="A1:X1"/>
    <mergeCell ref="P2:R2"/>
  </mergeCells>
  <phoneticPr fontId="2" type="noConversion"/>
  <conditionalFormatting sqref="M68">
    <cfRule type="cellIs" dxfId="323" priority="17" operator="lessThan">
      <formula>208</formula>
    </cfRule>
  </conditionalFormatting>
  <printOptions horizontalCentered="1"/>
  <pageMargins left="0" right="0" top="0" bottom="0" header="0.3" footer="0.3"/>
  <pageSetup scale="41" fitToHeight="0" orientation="landscape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4240F-E525-4CAB-BF6B-155ECC4F2277}">
  <sheetPr>
    <tabColor theme="7" tint="0.39997558519241921"/>
    <pageSetUpPr fitToPage="1"/>
  </sheetPr>
  <dimension ref="A1:W65"/>
  <sheetViews>
    <sheetView zoomScaleNormal="100" workbookViewId="0">
      <pane ySplit="3" topLeftCell="A4" activePane="bottomLeft" state="frozen"/>
      <selection activeCell="G42" sqref="G42"/>
      <selection pane="bottomLeft" activeCell="H3" sqref="H3"/>
    </sheetView>
  </sheetViews>
  <sheetFormatPr defaultColWidth="9.140625" defaultRowHeight="11.25" x14ac:dyDescent="0.25"/>
  <cols>
    <col min="1" max="1" width="7.140625" style="1" customWidth="1"/>
    <col min="2" max="2" width="12.85546875" style="1" customWidth="1"/>
    <col min="3" max="3" width="11.7109375" style="1" customWidth="1"/>
    <col min="4" max="4" width="15.140625" style="1" customWidth="1"/>
    <col min="5" max="5" width="12.85546875" style="1" hidden="1" customWidth="1"/>
    <col min="6" max="6" width="21" style="1" hidden="1" customWidth="1"/>
    <col min="7" max="7" width="23.42578125" style="1" hidden="1" customWidth="1"/>
    <col min="8" max="8" width="43.42578125" style="1" customWidth="1"/>
    <col min="9" max="9" width="10.28515625" style="1" customWidth="1"/>
    <col min="10" max="10" width="18.85546875" style="1" customWidth="1"/>
    <col min="11" max="11" width="8.7109375" style="25" customWidth="1"/>
    <col min="12" max="12" width="8.85546875" style="1" customWidth="1"/>
    <col min="13" max="13" width="12.28515625" style="86" customWidth="1"/>
    <col min="14" max="14" width="18.42578125" style="1" customWidth="1"/>
    <col min="15" max="15" width="12" style="1" customWidth="1"/>
    <col min="16" max="17" width="18" style="1" customWidth="1"/>
    <col min="18" max="18" width="11.5703125" style="1" customWidth="1"/>
    <col min="19" max="19" width="14.28515625" style="1" customWidth="1"/>
    <col min="20" max="20" width="10.85546875" style="1" customWidth="1"/>
    <col min="21" max="21" width="9" style="1" customWidth="1"/>
    <col min="22" max="22" width="9.5703125" style="1" customWidth="1"/>
    <col min="23" max="23" width="26.28515625" style="1" bestFit="1" customWidth="1"/>
    <col min="24" max="16384" width="9.140625" style="1"/>
  </cols>
  <sheetData>
    <row r="1" spans="1:23" ht="25.5" customHeight="1" x14ac:dyDescent="0.25">
      <c r="A1" s="294" t="s">
        <v>865</v>
      </c>
      <c r="B1" s="295"/>
      <c r="C1" s="295"/>
      <c r="D1" s="295"/>
      <c r="E1" s="295"/>
      <c r="F1" s="295"/>
      <c r="G1" s="295"/>
      <c r="H1" s="295"/>
      <c r="I1" s="295"/>
      <c r="J1" s="295"/>
      <c r="K1" s="296"/>
      <c r="L1" s="295"/>
      <c r="M1" s="297"/>
      <c r="N1" s="295"/>
      <c r="O1" s="295"/>
      <c r="P1" s="295"/>
      <c r="Q1" s="295"/>
      <c r="R1" s="295"/>
      <c r="S1" s="295"/>
    </row>
    <row r="2" spans="1:23" ht="21" hidden="1" customHeight="1" x14ac:dyDescent="0.25">
      <c r="A2" s="298" t="s">
        <v>190</v>
      </c>
      <c r="B2" s="299"/>
      <c r="C2" s="299"/>
      <c r="D2" s="299"/>
      <c r="E2" s="299"/>
      <c r="F2" s="299"/>
      <c r="G2" s="299"/>
      <c r="H2" s="299"/>
      <c r="I2" s="299"/>
      <c r="J2" s="299"/>
      <c r="K2" s="283" t="s">
        <v>189</v>
      </c>
      <c r="L2" s="284"/>
      <c r="M2" s="300"/>
      <c r="N2" s="18" t="s">
        <v>191</v>
      </c>
      <c r="O2" s="301" t="s">
        <v>188</v>
      </c>
      <c r="P2" s="301"/>
      <c r="Q2" s="301"/>
      <c r="R2" s="301"/>
      <c r="S2" s="301"/>
      <c r="T2" s="302"/>
      <c r="U2" s="303"/>
      <c r="V2" s="303"/>
      <c r="W2" s="303"/>
    </row>
    <row r="3" spans="1:23" s="38" customFormat="1" ht="42.75" customHeight="1" thickBot="1" x14ac:dyDescent="0.3">
      <c r="A3" s="31" t="s">
        <v>0</v>
      </c>
      <c r="B3" s="32" t="s">
        <v>1</v>
      </c>
      <c r="C3" s="32" t="s">
        <v>2</v>
      </c>
      <c r="D3" s="32" t="s">
        <v>709</v>
      </c>
      <c r="E3" s="32" t="s">
        <v>3</v>
      </c>
      <c r="F3" s="32" t="s">
        <v>388</v>
      </c>
      <c r="G3" s="32" t="s">
        <v>389</v>
      </c>
      <c r="H3" s="32" t="s">
        <v>4</v>
      </c>
      <c r="I3" s="32" t="s">
        <v>638</v>
      </c>
      <c r="J3" s="32" t="s">
        <v>637</v>
      </c>
      <c r="K3" s="34" t="s">
        <v>5</v>
      </c>
      <c r="L3" s="35" t="s">
        <v>6</v>
      </c>
      <c r="M3" s="82" t="s">
        <v>7</v>
      </c>
      <c r="N3" s="36" t="s">
        <v>8</v>
      </c>
      <c r="O3" s="37" t="s">
        <v>9</v>
      </c>
      <c r="P3" s="37" t="s">
        <v>10</v>
      </c>
      <c r="Q3" s="37" t="s">
        <v>11</v>
      </c>
      <c r="R3" s="37" t="s">
        <v>449</v>
      </c>
      <c r="S3" s="37" t="s">
        <v>12</v>
      </c>
      <c r="T3" s="37" t="s">
        <v>587</v>
      </c>
      <c r="U3" s="37" t="s">
        <v>759</v>
      </c>
      <c r="V3" s="37" t="s">
        <v>760</v>
      </c>
      <c r="W3" s="78" t="s">
        <v>784</v>
      </c>
    </row>
    <row r="4" spans="1:23" x14ac:dyDescent="0.25">
      <c r="A4" s="3">
        <v>1</v>
      </c>
      <c r="B4" s="4" t="s">
        <v>896</v>
      </c>
      <c r="C4" s="4" t="s">
        <v>896</v>
      </c>
      <c r="D4" s="4">
        <v>9944537882</v>
      </c>
      <c r="E4" s="4" t="s">
        <v>896</v>
      </c>
      <c r="F4" s="4" t="s">
        <v>116</v>
      </c>
      <c r="G4" s="4" t="s">
        <v>116</v>
      </c>
      <c r="H4" s="67" t="s">
        <v>897</v>
      </c>
      <c r="I4" s="4"/>
      <c r="J4" s="4"/>
      <c r="K4" s="22">
        <v>100</v>
      </c>
      <c r="L4" s="4" t="s">
        <v>158</v>
      </c>
      <c r="M4" s="26">
        <f>Table1346[[#This Row],[QTY
RECIVED]]-Table1346[[#This Row],[QTY 
ISSUED]]</f>
        <v>0</v>
      </c>
      <c r="N4" s="4"/>
      <c r="O4" s="4">
        <v>100</v>
      </c>
      <c r="P4" s="4" t="s">
        <v>769</v>
      </c>
      <c r="Q4" s="4" t="s">
        <v>770</v>
      </c>
      <c r="R4" s="4"/>
      <c r="S4" s="4"/>
      <c r="T4" s="5"/>
      <c r="U4" s="4"/>
      <c r="V4" s="4"/>
      <c r="W4" s="4"/>
    </row>
    <row r="5" spans="1:23" x14ac:dyDescent="0.25">
      <c r="A5" s="3">
        <v>2</v>
      </c>
      <c r="B5" s="4" t="s">
        <v>615</v>
      </c>
      <c r="C5" s="4" t="s">
        <v>720</v>
      </c>
      <c r="D5" s="4">
        <v>9944537942</v>
      </c>
      <c r="E5" s="4" t="s">
        <v>197</v>
      </c>
      <c r="F5" s="4" t="s">
        <v>102</v>
      </c>
      <c r="G5" s="4" t="s">
        <v>102</v>
      </c>
      <c r="H5" s="67" t="s">
        <v>245</v>
      </c>
      <c r="I5" s="4"/>
      <c r="J5" s="26">
        <v>1274</v>
      </c>
      <c r="K5" s="22">
        <v>6</v>
      </c>
      <c r="L5" s="4" t="s">
        <v>103</v>
      </c>
      <c r="M5" s="26">
        <f>Table1346[[#This Row],[QTY
RECIVED]]-Table1346[[#This Row],[QTY 
ISSUED]]</f>
        <v>0</v>
      </c>
      <c r="N5" s="4" t="s">
        <v>198</v>
      </c>
      <c r="O5" s="4">
        <v>6</v>
      </c>
      <c r="P5" s="4" t="s">
        <v>259</v>
      </c>
      <c r="Q5" s="4" t="s">
        <v>211</v>
      </c>
      <c r="R5" s="4"/>
      <c r="S5" s="4" t="s">
        <v>269</v>
      </c>
      <c r="T5" s="5"/>
      <c r="U5" s="4"/>
      <c r="V5" s="4"/>
      <c r="W5" s="4"/>
    </row>
    <row r="6" spans="1:23" x14ac:dyDescent="0.25">
      <c r="A6" s="3">
        <v>3</v>
      </c>
      <c r="B6" s="4" t="s">
        <v>896</v>
      </c>
      <c r="C6" s="4" t="s">
        <v>896</v>
      </c>
      <c r="D6" s="4">
        <v>9944537882</v>
      </c>
      <c r="E6" s="4" t="s">
        <v>896</v>
      </c>
      <c r="F6" s="4" t="s">
        <v>116</v>
      </c>
      <c r="G6" s="4" t="s">
        <v>116</v>
      </c>
      <c r="H6" s="67" t="s">
        <v>897</v>
      </c>
      <c r="I6" s="4"/>
      <c r="J6" s="4"/>
      <c r="K6" s="22">
        <v>1000</v>
      </c>
      <c r="L6" s="4" t="s">
        <v>158</v>
      </c>
      <c r="M6" s="26">
        <f>Table1346[[#This Row],[QTY
RECIVED]]-Table1346[[#This Row],[QTY 
ISSUED]]</f>
        <v>0</v>
      </c>
      <c r="N6" s="4" t="s">
        <v>115</v>
      </c>
      <c r="O6" s="4">
        <v>1000</v>
      </c>
      <c r="P6" s="4" t="s">
        <v>157</v>
      </c>
      <c r="Q6" s="4" t="s">
        <v>96</v>
      </c>
      <c r="R6" s="4"/>
      <c r="S6" s="4" t="s">
        <v>52</v>
      </c>
      <c r="T6" s="2" t="s">
        <v>239</v>
      </c>
      <c r="U6" s="4"/>
      <c r="V6" s="4"/>
      <c r="W6" s="4"/>
    </row>
    <row r="7" spans="1:23" x14ac:dyDescent="0.25">
      <c r="A7" s="3">
        <v>4</v>
      </c>
      <c r="B7" s="4" t="s">
        <v>896</v>
      </c>
      <c r="C7" s="4" t="s">
        <v>896</v>
      </c>
      <c r="D7" s="4">
        <v>9944537842</v>
      </c>
      <c r="E7" s="4" t="s">
        <v>896</v>
      </c>
      <c r="F7" s="4" t="s">
        <v>116</v>
      </c>
      <c r="G7" s="4" t="s">
        <v>116</v>
      </c>
      <c r="H7" s="91" t="s">
        <v>159</v>
      </c>
      <c r="I7" s="12"/>
      <c r="J7" s="4"/>
      <c r="K7" s="22">
        <v>7</v>
      </c>
      <c r="L7" s="4" t="s">
        <v>103</v>
      </c>
      <c r="M7" s="26">
        <f>Table1346[[#This Row],[QTY
RECIVED]]-Table1346[[#This Row],[QTY 
ISSUED]]</f>
        <v>0</v>
      </c>
      <c r="N7" s="4" t="s">
        <v>115</v>
      </c>
      <c r="O7" s="4">
        <v>7</v>
      </c>
      <c r="P7" s="4" t="s">
        <v>157</v>
      </c>
      <c r="Q7" s="4" t="s">
        <v>96</v>
      </c>
      <c r="R7" s="4"/>
      <c r="S7" s="4" t="s">
        <v>269</v>
      </c>
      <c r="T7" s="2"/>
      <c r="U7" s="4"/>
      <c r="V7" s="4"/>
      <c r="W7" s="4"/>
    </row>
    <row r="8" spans="1:23" x14ac:dyDescent="0.25">
      <c r="A8" s="3">
        <v>5</v>
      </c>
      <c r="B8" s="4">
        <v>4030681</v>
      </c>
      <c r="C8" s="4"/>
      <c r="D8" s="4">
        <v>9944537942</v>
      </c>
      <c r="E8" s="4" t="s">
        <v>101</v>
      </c>
      <c r="F8" s="4" t="s">
        <v>102</v>
      </c>
      <c r="G8" s="4" t="s">
        <v>102</v>
      </c>
      <c r="H8" s="67" t="s">
        <v>245</v>
      </c>
      <c r="I8" s="4"/>
      <c r="J8" s="26">
        <v>643</v>
      </c>
      <c r="K8" s="22">
        <v>3</v>
      </c>
      <c r="L8" s="4" t="s">
        <v>103</v>
      </c>
      <c r="M8" s="26">
        <f>Table1346[[#This Row],[QTY
RECIVED]]-Table1346[[#This Row],[QTY 
ISSUED]]</f>
        <v>0</v>
      </c>
      <c r="N8" s="4" t="s">
        <v>105</v>
      </c>
      <c r="O8" s="4">
        <v>3</v>
      </c>
      <c r="P8" s="4" t="s">
        <v>157</v>
      </c>
      <c r="Q8" s="4" t="s">
        <v>96</v>
      </c>
      <c r="R8" s="4"/>
      <c r="S8" s="4" t="s">
        <v>269</v>
      </c>
      <c r="T8" s="2"/>
      <c r="U8" s="4"/>
      <c r="V8" s="4"/>
      <c r="W8" s="4"/>
    </row>
    <row r="9" spans="1:23" x14ac:dyDescent="0.25">
      <c r="A9" s="3">
        <v>6</v>
      </c>
      <c r="B9" s="4">
        <v>4030689</v>
      </c>
      <c r="C9" s="4"/>
      <c r="D9" s="4">
        <v>9944537942</v>
      </c>
      <c r="E9" s="4" t="s">
        <v>101</v>
      </c>
      <c r="F9" s="4" t="s">
        <v>102</v>
      </c>
      <c r="G9" s="4" t="s">
        <v>102</v>
      </c>
      <c r="H9" s="67" t="s">
        <v>245</v>
      </c>
      <c r="I9" s="4"/>
      <c r="J9" s="26">
        <v>12315</v>
      </c>
      <c r="K9" s="22">
        <v>57</v>
      </c>
      <c r="L9" s="4" t="s">
        <v>103</v>
      </c>
      <c r="M9" s="26">
        <f>Table1346[[#This Row],[QTY
RECIVED]]-Table1346[[#This Row],[QTY 
ISSUED]]</f>
        <v>0</v>
      </c>
      <c r="N9" s="4" t="s">
        <v>114</v>
      </c>
      <c r="O9" s="4">
        <v>57</v>
      </c>
      <c r="P9" s="4" t="s">
        <v>157</v>
      </c>
      <c r="Q9" s="4" t="s">
        <v>96</v>
      </c>
      <c r="R9" s="4"/>
      <c r="S9" s="4" t="s">
        <v>269</v>
      </c>
      <c r="T9" s="2"/>
      <c r="U9" s="4"/>
      <c r="V9" s="4"/>
      <c r="W9" s="4"/>
    </row>
    <row r="10" spans="1:23" x14ac:dyDescent="0.25">
      <c r="A10" s="3">
        <v>7</v>
      </c>
      <c r="B10" s="4">
        <v>4030699</v>
      </c>
      <c r="C10" s="4"/>
      <c r="D10" s="4">
        <v>9944537942</v>
      </c>
      <c r="E10" s="4" t="s">
        <v>101</v>
      </c>
      <c r="F10" s="4" t="s">
        <v>102</v>
      </c>
      <c r="G10" s="4" t="s">
        <v>102</v>
      </c>
      <c r="H10" s="67" t="s">
        <v>245</v>
      </c>
      <c r="I10" s="4"/>
      <c r="J10" s="26">
        <v>12969</v>
      </c>
      <c r="K10" s="22">
        <v>60</v>
      </c>
      <c r="L10" s="4" t="s">
        <v>103</v>
      </c>
      <c r="M10" s="26">
        <f>Table1346[[#This Row],[QTY
RECIVED]]-Table1346[[#This Row],[QTY 
ISSUED]]</f>
        <v>0</v>
      </c>
      <c r="N10" s="4" t="s">
        <v>485</v>
      </c>
      <c r="O10" s="4">
        <v>60</v>
      </c>
      <c r="P10" s="4" t="s">
        <v>157</v>
      </c>
      <c r="Q10" s="4" t="s">
        <v>96</v>
      </c>
      <c r="R10" s="4"/>
      <c r="S10" s="4" t="s">
        <v>269</v>
      </c>
      <c r="T10" s="2"/>
      <c r="U10" s="4"/>
      <c r="V10" s="4"/>
      <c r="W10" s="4"/>
    </row>
    <row r="11" spans="1:23" x14ac:dyDescent="0.25">
      <c r="A11" s="3">
        <v>8</v>
      </c>
      <c r="B11" s="4" t="s">
        <v>896</v>
      </c>
      <c r="C11" s="4" t="s">
        <v>896</v>
      </c>
      <c r="D11" s="4">
        <v>9944537902</v>
      </c>
      <c r="E11" s="4" t="s">
        <v>896</v>
      </c>
      <c r="F11" s="4" t="s">
        <v>116</v>
      </c>
      <c r="G11" s="4" t="s">
        <v>116</v>
      </c>
      <c r="H11" s="67" t="s">
        <v>217</v>
      </c>
      <c r="I11" s="4"/>
      <c r="J11" s="4"/>
      <c r="K11" s="22">
        <v>50</v>
      </c>
      <c r="L11" s="4" t="s">
        <v>158</v>
      </c>
      <c r="M11" s="26">
        <f>Table1346[[#This Row],[QTY
RECIVED]]-Table1346[[#This Row],[QTY 
ISSUED]]</f>
        <v>0</v>
      </c>
      <c r="N11" s="4" t="s">
        <v>160</v>
      </c>
      <c r="O11" s="4">
        <v>50</v>
      </c>
      <c r="P11" s="4" t="s">
        <v>157</v>
      </c>
      <c r="Q11" s="4" t="s">
        <v>96</v>
      </c>
      <c r="R11" s="4"/>
      <c r="S11" s="4" t="s">
        <v>52</v>
      </c>
      <c r="T11" s="2"/>
      <c r="U11" s="4"/>
      <c r="V11" s="4"/>
      <c r="W11" s="4"/>
    </row>
    <row r="12" spans="1:23" x14ac:dyDescent="0.25">
      <c r="A12" s="3">
        <v>9</v>
      </c>
      <c r="B12" s="4" t="s">
        <v>896</v>
      </c>
      <c r="C12" s="4" t="s">
        <v>896</v>
      </c>
      <c r="D12" s="4">
        <v>9944537902</v>
      </c>
      <c r="E12" s="4" t="s">
        <v>896</v>
      </c>
      <c r="F12" s="4" t="s">
        <v>116</v>
      </c>
      <c r="G12" s="4" t="s">
        <v>116</v>
      </c>
      <c r="H12" s="67" t="s">
        <v>217</v>
      </c>
      <c r="I12" s="4"/>
      <c r="J12" s="4"/>
      <c r="K12" s="22">
        <v>100</v>
      </c>
      <c r="L12" s="4" t="s">
        <v>158</v>
      </c>
      <c r="M12" s="26">
        <f>Table1346[[#This Row],[QTY
RECIVED]]-Table1346[[#This Row],[QTY 
ISSUED]]</f>
        <v>0</v>
      </c>
      <c r="N12" s="4" t="s">
        <v>161</v>
      </c>
      <c r="O12" s="4">
        <v>100</v>
      </c>
      <c r="P12" s="4" t="s">
        <v>157</v>
      </c>
      <c r="Q12" s="4" t="s">
        <v>96</v>
      </c>
      <c r="R12" s="4"/>
      <c r="S12" s="4" t="s">
        <v>52</v>
      </c>
      <c r="T12" s="2"/>
      <c r="U12" s="4"/>
      <c r="V12" s="4"/>
      <c r="W12" s="4"/>
    </row>
    <row r="13" spans="1:23" x14ac:dyDescent="0.25">
      <c r="A13" s="3">
        <v>10</v>
      </c>
      <c r="B13" s="4" t="s">
        <v>896</v>
      </c>
      <c r="C13" s="4" t="s">
        <v>896</v>
      </c>
      <c r="D13" s="4">
        <v>9944537902</v>
      </c>
      <c r="E13" s="4" t="s">
        <v>896</v>
      </c>
      <c r="F13" s="4" t="s">
        <v>116</v>
      </c>
      <c r="G13" s="4" t="s">
        <v>116</v>
      </c>
      <c r="H13" s="67" t="s">
        <v>217</v>
      </c>
      <c r="I13" s="4"/>
      <c r="J13" s="4" t="s">
        <v>597</v>
      </c>
      <c r="K13" s="22">
        <v>250</v>
      </c>
      <c r="L13" s="4" t="s">
        <v>158</v>
      </c>
      <c r="M13" s="26">
        <f>Table1346[[#This Row],[QTY
RECIVED]]-Table1346[[#This Row],[QTY 
ISSUED]]</f>
        <v>0</v>
      </c>
      <c r="N13" s="4" t="s">
        <v>596</v>
      </c>
      <c r="O13" s="4">
        <f>150+100</f>
        <v>250</v>
      </c>
      <c r="P13" s="4" t="s">
        <v>268</v>
      </c>
      <c r="Q13" s="4" t="s">
        <v>267</v>
      </c>
      <c r="R13" s="4"/>
      <c r="S13" s="4" t="s">
        <v>269</v>
      </c>
      <c r="T13" s="2"/>
      <c r="U13" s="4"/>
      <c r="V13" s="4"/>
      <c r="W13" s="4"/>
    </row>
    <row r="14" spans="1:23" x14ac:dyDescent="0.25">
      <c r="A14" s="3">
        <v>11</v>
      </c>
      <c r="B14" s="4" t="s">
        <v>896</v>
      </c>
      <c r="C14" s="4" t="s">
        <v>896</v>
      </c>
      <c r="D14" s="4">
        <v>9944537882</v>
      </c>
      <c r="E14" s="4" t="s">
        <v>896</v>
      </c>
      <c r="F14" s="4" t="s">
        <v>116</v>
      </c>
      <c r="G14" s="4" t="s">
        <v>116</v>
      </c>
      <c r="H14" s="67" t="s">
        <v>897</v>
      </c>
      <c r="I14" s="4"/>
      <c r="J14" s="4"/>
      <c r="K14" s="22">
        <v>1000</v>
      </c>
      <c r="L14" s="4" t="s">
        <v>158</v>
      </c>
      <c r="M14" s="26">
        <f>Table1346[[#This Row],[QTY
RECIVED]]-Table1346[[#This Row],[QTY 
ISSUED]]</f>
        <v>0</v>
      </c>
      <c r="N14" s="4" t="s">
        <v>185</v>
      </c>
      <c r="O14" s="4">
        <v>1000</v>
      </c>
      <c r="P14" s="4" t="s">
        <v>196</v>
      </c>
      <c r="Q14" s="4" t="s">
        <v>177</v>
      </c>
      <c r="R14" s="4"/>
      <c r="S14" s="4" t="s">
        <v>52</v>
      </c>
      <c r="T14" s="2"/>
      <c r="U14" s="4"/>
      <c r="V14" s="4"/>
      <c r="W14" s="4"/>
    </row>
    <row r="15" spans="1:23" x14ac:dyDescent="0.25">
      <c r="A15" s="3">
        <v>12</v>
      </c>
      <c r="B15" s="4" t="s">
        <v>896</v>
      </c>
      <c r="C15" s="4" t="s">
        <v>896</v>
      </c>
      <c r="D15" s="4">
        <v>9944537842</v>
      </c>
      <c r="E15" s="4" t="s">
        <v>896</v>
      </c>
      <c r="F15" s="4" t="s">
        <v>116</v>
      </c>
      <c r="G15" s="4" t="s">
        <v>116</v>
      </c>
      <c r="H15" s="91" t="s">
        <v>159</v>
      </c>
      <c r="I15" s="12"/>
      <c r="J15" s="4"/>
      <c r="K15" s="22">
        <v>10</v>
      </c>
      <c r="L15" s="4" t="s">
        <v>103</v>
      </c>
      <c r="M15" s="26">
        <f>Table1346[[#This Row],[QTY
RECIVED]]-Table1346[[#This Row],[QTY 
ISSUED]]</f>
        <v>0</v>
      </c>
      <c r="N15" s="4" t="s">
        <v>185</v>
      </c>
      <c r="O15" s="4">
        <v>10</v>
      </c>
      <c r="P15" s="4" t="s">
        <v>194</v>
      </c>
      <c r="Q15" s="4" t="s">
        <v>177</v>
      </c>
      <c r="R15" s="4"/>
      <c r="S15" s="4" t="s">
        <v>269</v>
      </c>
      <c r="T15" s="2"/>
      <c r="U15" s="4"/>
      <c r="V15" s="4"/>
      <c r="W15" s="4"/>
    </row>
    <row r="16" spans="1:23" x14ac:dyDescent="0.25">
      <c r="A16" s="3">
        <v>13</v>
      </c>
      <c r="B16" s="6"/>
      <c r="C16" s="6" t="s">
        <v>720</v>
      </c>
      <c r="D16" s="4">
        <v>9944537842</v>
      </c>
      <c r="E16" s="6" t="s">
        <v>244</v>
      </c>
      <c r="F16" s="6" t="s">
        <v>186</v>
      </c>
      <c r="G16" s="6" t="s">
        <v>186</v>
      </c>
      <c r="H16" s="92" t="s">
        <v>159</v>
      </c>
      <c r="I16" s="57"/>
      <c r="J16" s="17">
        <v>728</v>
      </c>
      <c r="K16" s="24">
        <v>2</v>
      </c>
      <c r="L16" s="6" t="s">
        <v>103</v>
      </c>
      <c r="M16" s="27">
        <f>Table1346[[#This Row],[QTY
RECIVED]]-Table1346[[#This Row],[QTY 
ISSUED]]</f>
        <v>0</v>
      </c>
      <c r="N16" s="6" t="s">
        <v>250</v>
      </c>
      <c r="O16" s="6">
        <v>2</v>
      </c>
      <c r="P16" s="6" t="s">
        <v>194</v>
      </c>
      <c r="Q16" s="6" t="s">
        <v>177</v>
      </c>
      <c r="R16" s="6"/>
      <c r="S16" s="6" t="s">
        <v>269</v>
      </c>
      <c r="T16" s="7"/>
      <c r="U16" s="4"/>
      <c r="V16" s="4"/>
      <c r="W16" s="4"/>
    </row>
    <row r="17" spans="1:23" x14ac:dyDescent="0.25">
      <c r="A17" s="3">
        <v>14</v>
      </c>
      <c r="B17" s="4"/>
      <c r="C17" s="4" t="s">
        <v>720</v>
      </c>
      <c r="D17" s="4">
        <v>9944537822</v>
      </c>
      <c r="E17" s="4" t="s">
        <v>244</v>
      </c>
      <c r="F17" s="4" t="s">
        <v>186</v>
      </c>
      <c r="G17" s="4" t="s">
        <v>186</v>
      </c>
      <c r="H17" s="67" t="s">
        <v>187</v>
      </c>
      <c r="I17" s="4"/>
      <c r="J17" s="4">
        <v>244</v>
      </c>
      <c r="K17" s="22">
        <v>2</v>
      </c>
      <c r="L17" s="4" t="s">
        <v>103</v>
      </c>
      <c r="M17" s="26">
        <f>Table1346[[#This Row],[QTY
RECIVED]]-Table1346[[#This Row],[QTY 
ISSUED]]</f>
        <v>0</v>
      </c>
      <c r="N17" s="4" t="s">
        <v>250</v>
      </c>
      <c r="O17" s="4">
        <v>2</v>
      </c>
      <c r="P17" s="4" t="s">
        <v>194</v>
      </c>
      <c r="Q17" s="4" t="s">
        <v>177</v>
      </c>
      <c r="R17" s="4"/>
      <c r="S17" s="4" t="s">
        <v>52</v>
      </c>
      <c r="T17" s="8"/>
      <c r="U17" s="4"/>
      <c r="V17" s="4"/>
      <c r="W17" s="4"/>
    </row>
    <row r="18" spans="1:23" x14ac:dyDescent="0.25">
      <c r="A18" s="3">
        <v>15</v>
      </c>
      <c r="B18" s="4"/>
      <c r="C18" s="4" t="s">
        <v>720</v>
      </c>
      <c r="D18" s="4">
        <v>9944537902</v>
      </c>
      <c r="E18" s="4" t="s">
        <v>199</v>
      </c>
      <c r="F18" s="4" t="s">
        <v>200</v>
      </c>
      <c r="G18" s="4" t="s">
        <v>200</v>
      </c>
      <c r="H18" s="67" t="s">
        <v>217</v>
      </c>
      <c r="I18" s="4"/>
      <c r="J18" s="4"/>
      <c r="K18" s="22">
        <v>10</v>
      </c>
      <c r="L18" s="4" t="s">
        <v>158</v>
      </c>
      <c r="M18" s="26">
        <f>Table1346[[#This Row],[QTY
RECIVED]]-Table1346[[#This Row],[QTY 
ISSUED]]</f>
        <v>0</v>
      </c>
      <c r="N18" s="4" t="s">
        <v>201</v>
      </c>
      <c r="O18" s="4">
        <v>10</v>
      </c>
      <c r="P18" s="4" t="s">
        <v>259</v>
      </c>
      <c r="Q18" s="4" t="s">
        <v>267</v>
      </c>
      <c r="R18" s="4"/>
      <c r="S18" s="4"/>
      <c r="T18" s="8"/>
      <c r="U18" s="4"/>
      <c r="V18" s="4"/>
      <c r="W18" s="4"/>
    </row>
    <row r="19" spans="1:23" x14ac:dyDescent="0.25">
      <c r="A19" s="3">
        <v>16</v>
      </c>
      <c r="B19" s="4" t="s">
        <v>896</v>
      </c>
      <c r="C19" s="4" t="s">
        <v>896</v>
      </c>
      <c r="D19" s="4">
        <v>9944537882</v>
      </c>
      <c r="E19" s="4" t="s">
        <v>896</v>
      </c>
      <c r="F19" s="4" t="s">
        <v>240</v>
      </c>
      <c r="G19" s="4" t="s">
        <v>240</v>
      </c>
      <c r="H19" s="67" t="s">
        <v>897</v>
      </c>
      <c r="I19" s="4"/>
      <c r="J19" s="4"/>
      <c r="K19" s="22">
        <v>360</v>
      </c>
      <c r="L19" s="4" t="s">
        <v>158</v>
      </c>
      <c r="M19" s="26">
        <f>Table1346[[#This Row],[QTY
RECIVED]]-Table1346[[#This Row],[QTY 
ISSUED]]</f>
        <v>0</v>
      </c>
      <c r="N19" s="4" t="s">
        <v>241</v>
      </c>
      <c r="O19" s="4">
        <v>360</v>
      </c>
      <c r="P19" s="4" t="s">
        <v>259</v>
      </c>
      <c r="Q19" s="4" t="s">
        <v>211</v>
      </c>
      <c r="R19" s="4"/>
      <c r="S19" s="4" t="s">
        <v>52</v>
      </c>
      <c r="T19" s="8" t="s">
        <v>239</v>
      </c>
      <c r="U19" s="4"/>
      <c r="V19" s="4"/>
      <c r="W19" s="4"/>
    </row>
    <row r="20" spans="1:23" x14ac:dyDescent="0.25">
      <c r="A20" s="3">
        <v>17</v>
      </c>
      <c r="B20" s="4" t="s">
        <v>896</v>
      </c>
      <c r="C20" s="4" t="s">
        <v>896</v>
      </c>
      <c r="D20" s="4">
        <v>9944537882</v>
      </c>
      <c r="E20" s="4" t="s">
        <v>896</v>
      </c>
      <c r="F20" s="4" t="s">
        <v>240</v>
      </c>
      <c r="G20" s="4" t="s">
        <v>240</v>
      </c>
      <c r="H20" s="67" t="s">
        <v>897</v>
      </c>
      <c r="I20" s="4"/>
      <c r="J20" s="4"/>
      <c r="K20" s="22">
        <v>360</v>
      </c>
      <c r="L20" s="4" t="s">
        <v>158</v>
      </c>
      <c r="M20" s="26">
        <f>Table1346[[#This Row],[QTY
RECIVED]]-Table1346[[#This Row],[QTY 
ISSUED]]</f>
        <v>0</v>
      </c>
      <c r="N20" s="4" t="s">
        <v>242</v>
      </c>
      <c r="O20" s="4">
        <v>360</v>
      </c>
      <c r="P20" s="4" t="s">
        <v>259</v>
      </c>
      <c r="Q20" s="4" t="s">
        <v>211</v>
      </c>
      <c r="R20" s="4"/>
      <c r="S20" s="4" t="s">
        <v>52</v>
      </c>
      <c r="T20" s="8" t="s">
        <v>239</v>
      </c>
      <c r="U20" s="4"/>
      <c r="V20" s="4"/>
      <c r="W20" s="4"/>
    </row>
    <row r="21" spans="1:23" x14ac:dyDescent="0.25">
      <c r="A21" s="3">
        <v>18</v>
      </c>
      <c r="B21" s="4">
        <v>4031261</v>
      </c>
      <c r="C21" s="4" t="s">
        <v>720</v>
      </c>
      <c r="D21" s="4">
        <v>9944537882</v>
      </c>
      <c r="E21" s="4" t="s">
        <v>203</v>
      </c>
      <c r="F21" s="4" t="s">
        <v>102</v>
      </c>
      <c r="G21" s="4" t="s">
        <v>102</v>
      </c>
      <c r="H21" s="67" t="s">
        <v>897</v>
      </c>
      <c r="I21" s="4"/>
      <c r="J21" s="4"/>
      <c r="K21" s="22">
        <v>480</v>
      </c>
      <c r="L21" s="4" t="s">
        <v>158</v>
      </c>
      <c r="M21" s="26">
        <f>Table1346[[#This Row],[QTY
RECIVED]]-Table1346[[#This Row],[QTY 
ISSUED]]</f>
        <v>0</v>
      </c>
      <c r="N21" s="4" t="s">
        <v>202</v>
      </c>
      <c r="O21" s="4">
        <v>480</v>
      </c>
      <c r="P21" s="4" t="s">
        <v>259</v>
      </c>
      <c r="Q21" s="4" t="s">
        <v>211</v>
      </c>
      <c r="R21" s="4"/>
      <c r="S21" s="4" t="s">
        <v>52</v>
      </c>
      <c r="T21" s="8"/>
      <c r="U21" s="4"/>
      <c r="V21" s="4"/>
      <c r="W21" s="4"/>
    </row>
    <row r="22" spans="1:23" x14ac:dyDescent="0.25">
      <c r="A22" s="3">
        <v>19</v>
      </c>
      <c r="B22" s="4" t="s">
        <v>896</v>
      </c>
      <c r="C22" s="4" t="s">
        <v>896</v>
      </c>
      <c r="D22" s="4">
        <v>9944537882</v>
      </c>
      <c r="E22" s="4" t="s">
        <v>896</v>
      </c>
      <c r="F22" s="4" t="s">
        <v>116</v>
      </c>
      <c r="G22" s="4" t="s">
        <v>116</v>
      </c>
      <c r="H22" s="67" t="s">
        <v>897</v>
      </c>
      <c r="I22" s="4"/>
      <c r="J22" s="4"/>
      <c r="K22" s="22">
        <v>280</v>
      </c>
      <c r="L22" s="4" t="s">
        <v>158</v>
      </c>
      <c r="M22" s="26">
        <f>Table1346[[#This Row],[QTY
RECIVED]]-Table1346[[#This Row],[QTY 
ISSUED]]</f>
        <v>0</v>
      </c>
      <c r="N22" s="4" t="s">
        <v>208</v>
      </c>
      <c r="O22" s="4">
        <v>280</v>
      </c>
      <c r="P22" s="4" t="s">
        <v>259</v>
      </c>
      <c r="Q22" s="4" t="s">
        <v>211</v>
      </c>
      <c r="R22" s="4"/>
      <c r="S22" s="4" t="s">
        <v>52</v>
      </c>
      <c r="T22" s="8" t="s">
        <v>239</v>
      </c>
      <c r="U22" s="4"/>
      <c r="V22" s="4"/>
      <c r="W22" s="4"/>
    </row>
    <row r="23" spans="1:23" x14ac:dyDescent="0.25">
      <c r="A23" s="3">
        <v>20</v>
      </c>
      <c r="B23" s="4">
        <v>4031313</v>
      </c>
      <c r="C23" s="4" t="s">
        <v>220</v>
      </c>
      <c r="D23" s="4">
        <v>9944537882</v>
      </c>
      <c r="E23" s="4" t="s">
        <v>206</v>
      </c>
      <c r="F23" s="4" t="s">
        <v>102</v>
      </c>
      <c r="G23" s="4" t="s">
        <v>102</v>
      </c>
      <c r="H23" s="67" t="s">
        <v>897</v>
      </c>
      <c r="I23" s="4"/>
      <c r="J23" s="4"/>
      <c r="K23" s="22">
        <v>480</v>
      </c>
      <c r="L23" s="4" t="s">
        <v>158</v>
      </c>
      <c r="M23" s="26">
        <f>Table1346[[#This Row],[QTY
RECIVED]]-Table1346[[#This Row],[QTY 
ISSUED]]</f>
        <v>0</v>
      </c>
      <c r="N23" s="4" t="s">
        <v>208</v>
      </c>
      <c r="O23" s="4">
        <v>480</v>
      </c>
      <c r="P23" s="4" t="s">
        <v>259</v>
      </c>
      <c r="Q23" s="4" t="s">
        <v>211</v>
      </c>
      <c r="R23" s="4"/>
      <c r="S23" s="4" t="s">
        <v>52</v>
      </c>
      <c r="T23" s="8"/>
      <c r="U23" s="4"/>
      <c r="V23" s="4"/>
      <c r="W23" s="4"/>
    </row>
    <row r="24" spans="1:23" x14ac:dyDescent="0.25">
      <c r="A24" s="3">
        <v>21</v>
      </c>
      <c r="B24" s="4">
        <v>4031355</v>
      </c>
      <c r="C24" s="4" t="s">
        <v>724</v>
      </c>
      <c r="D24" s="4">
        <v>9944537842</v>
      </c>
      <c r="E24" s="4" t="s">
        <v>207</v>
      </c>
      <c r="F24" s="4" t="s">
        <v>102</v>
      </c>
      <c r="G24" s="4" t="s">
        <v>102</v>
      </c>
      <c r="H24" s="91" t="s">
        <v>159</v>
      </c>
      <c r="I24" s="12"/>
      <c r="J24" s="4" t="s">
        <v>209</v>
      </c>
      <c r="K24" s="22">
        <v>32</v>
      </c>
      <c r="L24" s="4" t="s">
        <v>103</v>
      </c>
      <c r="M24" s="26">
        <f>Table1346[[#This Row],[QTY
RECIVED]]-Table1346[[#This Row],[QTY 
ISSUED]]</f>
        <v>0</v>
      </c>
      <c r="N24" s="4" t="s">
        <v>210</v>
      </c>
      <c r="O24" s="4">
        <f>6+26</f>
        <v>32</v>
      </c>
      <c r="P24" s="4" t="s">
        <v>270</v>
      </c>
      <c r="Q24" s="4" t="s">
        <v>267</v>
      </c>
      <c r="R24" s="4"/>
      <c r="S24" s="4" t="s">
        <v>269</v>
      </c>
      <c r="T24" s="8"/>
      <c r="U24" s="4"/>
      <c r="V24" s="4"/>
      <c r="W24" s="4"/>
    </row>
    <row r="25" spans="1:23" x14ac:dyDescent="0.25">
      <c r="A25" s="3">
        <v>22</v>
      </c>
      <c r="B25" s="4">
        <v>4031366</v>
      </c>
      <c r="C25" s="4" t="s">
        <v>723</v>
      </c>
      <c r="D25" s="4">
        <v>9944537942</v>
      </c>
      <c r="E25" s="4" t="s">
        <v>211</v>
      </c>
      <c r="F25" s="4" t="s">
        <v>102</v>
      </c>
      <c r="G25" s="4" t="s">
        <v>102</v>
      </c>
      <c r="H25" s="67" t="s">
        <v>245</v>
      </c>
      <c r="I25" s="4"/>
      <c r="J25" s="26">
        <v>13001</v>
      </c>
      <c r="K25" s="22">
        <v>60</v>
      </c>
      <c r="L25" s="4" t="s">
        <v>103</v>
      </c>
      <c r="M25" s="26">
        <f>Table1346[[#This Row],[QTY
RECIVED]]-Table1346[[#This Row],[QTY 
ISSUED]]</f>
        <v>0</v>
      </c>
      <c r="N25" s="4" t="s">
        <v>212</v>
      </c>
      <c r="O25" s="4">
        <v>60</v>
      </c>
      <c r="P25" s="4" t="s">
        <v>259</v>
      </c>
      <c r="Q25" s="4" t="s">
        <v>211</v>
      </c>
      <c r="R25" s="4"/>
      <c r="S25" s="4" t="s">
        <v>269</v>
      </c>
      <c r="T25" s="8"/>
      <c r="U25" s="4"/>
      <c r="V25" s="4"/>
      <c r="W25" s="4"/>
    </row>
    <row r="26" spans="1:23" x14ac:dyDescent="0.25">
      <c r="A26" s="3">
        <v>23</v>
      </c>
      <c r="B26" s="4">
        <v>4031376</v>
      </c>
      <c r="C26" s="4" t="s">
        <v>220</v>
      </c>
      <c r="D26" s="4">
        <v>9944537882</v>
      </c>
      <c r="E26" s="4" t="s">
        <v>219</v>
      </c>
      <c r="F26" s="4" t="s">
        <v>102</v>
      </c>
      <c r="G26" s="4" t="s">
        <v>102</v>
      </c>
      <c r="H26" s="67" t="s">
        <v>897</v>
      </c>
      <c r="I26" s="4"/>
      <c r="J26" s="4"/>
      <c r="K26" s="22">
        <v>480</v>
      </c>
      <c r="L26" s="4" t="s">
        <v>158</v>
      </c>
      <c r="M26" s="26">
        <f>Table1346[[#This Row],[QTY
RECIVED]]-Table1346[[#This Row],[QTY 
ISSUED]]</f>
        <v>0</v>
      </c>
      <c r="N26" s="4" t="s">
        <v>214</v>
      </c>
      <c r="O26" s="4">
        <v>480</v>
      </c>
      <c r="P26" s="4" t="s">
        <v>259</v>
      </c>
      <c r="Q26" s="4" t="s">
        <v>211</v>
      </c>
      <c r="R26" s="4"/>
      <c r="S26" s="4" t="s">
        <v>52</v>
      </c>
      <c r="T26" s="8"/>
      <c r="U26" s="4"/>
      <c r="V26" s="4"/>
      <c r="W26" s="4"/>
    </row>
    <row r="27" spans="1:23" x14ac:dyDescent="0.25">
      <c r="A27" s="3">
        <v>24</v>
      </c>
      <c r="B27" s="4">
        <v>4031389</v>
      </c>
      <c r="C27" s="4" t="s">
        <v>220</v>
      </c>
      <c r="D27" s="4">
        <v>9944537882</v>
      </c>
      <c r="E27" s="4" t="s">
        <v>215</v>
      </c>
      <c r="F27" s="4" t="s">
        <v>102</v>
      </c>
      <c r="G27" s="4" t="s">
        <v>102</v>
      </c>
      <c r="H27" s="67" t="s">
        <v>897</v>
      </c>
      <c r="I27" s="4"/>
      <c r="J27" s="4"/>
      <c r="K27" s="22">
        <v>480</v>
      </c>
      <c r="L27" s="4" t="s">
        <v>158</v>
      </c>
      <c r="M27" s="26">
        <f>Table1346[[#This Row],[QTY
RECIVED]]-Table1346[[#This Row],[QTY 
ISSUED]]</f>
        <v>0</v>
      </c>
      <c r="N27" s="4" t="s">
        <v>213</v>
      </c>
      <c r="O27" s="4">
        <v>480</v>
      </c>
      <c r="P27" s="4" t="s">
        <v>259</v>
      </c>
      <c r="Q27" s="4" t="s">
        <v>211</v>
      </c>
      <c r="R27" s="4"/>
      <c r="S27" s="4" t="s">
        <v>52</v>
      </c>
      <c r="T27" s="8"/>
      <c r="U27" s="4"/>
      <c r="V27" s="4"/>
      <c r="W27" s="4"/>
    </row>
    <row r="28" spans="1:23" x14ac:dyDescent="0.25">
      <c r="A28" s="3">
        <v>25</v>
      </c>
      <c r="B28" s="4" t="s">
        <v>896</v>
      </c>
      <c r="C28" s="4" t="s">
        <v>896</v>
      </c>
      <c r="D28" s="4">
        <v>9944537882</v>
      </c>
      <c r="E28" s="4" t="s">
        <v>896</v>
      </c>
      <c r="F28" s="4" t="s">
        <v>116</v>
      </c>
      <c r="G28" s="4" t="s">
        <v>116</v>
      </c>
      <c r="H28" s="67" t="s">
        <v>897</v>
      </c>
      <c r="I28" s="4"/>
      <c r="J28" s="4"/>
      <c r="K28" s="22">
        <v>360</v>
      </c>
      <c r="L28" s="4" t="s">
        <v>158</v>
      </c>
      <c r="M28" s="26">
        <f>Table1346[[#This Row],[QTY
RECIVED]]-Table1346[[#This Row],[QTY 
ISSUED]]</f>
        <v>0</v>
      </c>
      <c r="N28" s="4" t="s">
        <v>222</v>
      </c>
      <c r="O28" s="4">
        <v>360</v>
      </c>
      <c r="P28" s="4" t="s">
        <v>259</v>
      </c>
      <c r="Q28" s="4" t="s">
        <v>211</v>
      </c>
      <c r="R28" s="4"/>
      <c r="S28" s="4" t="s">
        <v>52</v>
      </c>
      <c r="T28" s="8"/>
      <c r="U28" s="4"/>
      <c r="V28" s="4"/>
      <c r="W28" s="4"/>
    </row>
    <row r="29" spans="1:23" x14ac:dyDescent="0.25">
      <c r="A29" s="3">
        <v>26</v>
      </c>
      <c r="B29" s="4" t="s">
        <v>896</v>
      </c>
      <c r="C29" s="4" t="s">
        <v>896</v>
      </c>
      <c r="D29" s="4">
        <v>9944537882</v>
      </c>
      <c r="E29" s="4" t="s">
        <v>896</v>
      </c>
      <c r="F29" s="4" t="s">
        <v>116</v>
      </c>
      <c r="G29" s="4" t="s">
        <v>116</v>
      </c>
      <c r="H29" s="67" t="s">
        <v>897</v>
      </c>
      <c r="I29" s="4"/>
      <c r="J29" s="4"/>
      <c r="K29" s="22">
        <v>360</v>
      </c>
      <c r="L29" s="4" t="s">
        <v>158</v>
      </c>
      <c r="M29" s="26">
        <f>Table1346[[#This Row],[QTY
RECIVED]]-Table1346[[#This Row],[QTY 
ISSUED]]</f>
        <v>0</v>
      </c>
      <c r="N29" s="4" t="s">
        <v>218</v>
      </c>
      <c r="O29" s="4">
        <v>360</v>
      </c>
      <c r="P29" s="4" t="s">
        <v>259</v>
      </c>
      <c r="Q29" s="4" t="s">
        <v>211</v>
      </c>
      <c r="R29" s="4"/>
      <c r="S29" s="4" t="s">
        <v>52</v>
      </c>
      <c r="T29" s="8"/>
      <c r="U29" s="4"/>
      <c r="V29" s="4"/>
      <c r="W29" s="4"/>
    </row>
    <row r="30" spans="1:23" ht="22.5" x14ac:dyDescent="0.25">
      <c r="A30" s="3">
        <v>27</v>
      </c>
      <c r="B30" s="4"/>
      <c r="C30" s="4" t="s">
        <v>720</v>
      </c>
      <c r="D30" s="4">
        <v>9944537902</v>
      </c>
      <c r="E30" s="4" t="s">
        <v>264</v>
      </c>
      <c r="F30" s="4" t="s">
        <v>216</v>
      </c>
      <c r="G30" s="4" t="s">
        <v>216</v>
      </c>
      <c r="H30" s="67" t="s">
        <v>217</v>
      </c>
      <c r="I30" s="4"/>
      <c r="J30" s="4"/>
      <c r="K30" s="22">
        <v>602</v>
      </c>
      <c r="L30" s="4" t="s">
        <v>158</v>
      </c>
      <c r="M30" s="26">
        <f>Table1346[[#This Row],[QTY
RECIVED]]-Table1346[[#This Row],[QTY 
ISSUED]]</f>
        <v>0</v>
      </c>
      <c r="N30" s="4" t="s">
        <v>218</v>
      </c>
      <c r="O30" s="4">
        <v>602</v>
      </c>
      <c r="P30" s="4" t="s">
        <v>259</v>
      </c>
      <c r="Q30" s="4" t="s">
        <v>267</v>
      </c>
      <c r="R30" s="4"/>
      <c r="S30" s="4"/>
      <c r="T30" s="8"/>
      <c r="U30" s="4"/>
      <c r="V30" s="4"/>
      <c r="W30" s="4"/>
    </row>
    <row r="31" spans="1:23" x14ac:dyDescent="0.25">
      <c r="A31" s="3">
        <v>28</v>
      </c>
      <c r="B31" s="4" t="s">
        <v>896</v>
      </c>
      <c r="C31" s="4" t="s">
        <v>896</v>
      </c>
      <c r="D31" s="4">
        <v>9944537882</v>
      </c>
      <c r="E31" s="4" t="s">
        <v>896</v>
      </c>
      <c r="F31" s="4" t="s">
        <v>116</v>
      </c>
      <c r="G31" s="4" t="s">
        <v>116</v>
      </c>
      <c r="H31" s="67" t="s">
        <v>897</v>
      </c>
      <c r="I31" s="4"/>
      <c r="J31" s="4"/>
      <c r="K31" s="22">
        <v>280</v>
      </c>
      <c r="L31" s="4" t="s">
        <v>158</v>
      </c>
      <c r="M31" s="26">
        <f>Table1346[[#This Row],[QTY
RECIVED]]-Table1346[[#This Row],[QTY 
ISSUED]]</f>
        <v>0</v>
      </c>
      <c r="N31" s="4" t="s">
        <v>243</v>
      </c>
      <c r="O31" s="4">
        <v>280</v>
      </c>
      <c r="P31" s="4" t="s">
        <v>259</v>
      </c>
      <c r="Q31" s="4" t="s">
        <v>211</v>
      </c>
      <c r="R31" s="4"/>
      <c r="S31" s="4" t="s">
        <v>52</v>
      </c>
      <c r="T31" s="8"/>
      <c r="U31" s="4"/>
      <c r="V31" s="4"/>
      <c r="W31" s="4"/>
    </row>
    <row r="32" spans="1:23" x14ac:dyDescent="0.25">
      <c r="A32" s="3">
        <v>29</v>
      </c>
      <c r="B32" s="4">
        <v>4031504</v>
      </c>
      <c r="C32" s="4" t="s">
        <v>722</v>
      </c>
      <c r="D32" s="4">
        <v>9944537882</v>
      </c>
      <c r="E32" s="4" t="s">
        <v>253</v>
      </c>
      <c r="F32" s="4" t="s">
        <v>102</v>
      </c>
      <c r="G32" s="4" t="s">
        <v>102</v>
      </c>
      <c r="H32" s="67" t="s">
        <v>897</v>
      </c>
      <c r="I32" s="4" t="s">
        <v>686</v>
      </c>
      <c r="J32" s="4" t="s">
        <v>531</v>
      </c>
      <c r="K32" s="22">
        <v>480</v>
      </c>
      <c r="L32" s="4" t="s">
        <v>158</v>
      </c>
      <c r="M32" s="26">
        <f>Table1346[[#This Row],[QTY
RECIVED]]-Table1346[[#This Row],[QTY 
ISSUED]]</f>
        <v>0</v>
      </c>
      <c r="N32" s="4" t="s">
        <v>254</v>
      </c>
      <c r="O32" s="4">
        <v>480</v>
      </c>
      <c r="P32" s="4" t="s">
        <v>259</v>
      </c>
      <c r="Q32" s="4" t="s">
        <v>211</v>
      </c>
      <c r="R32" s="4"/>
      <c r="S32" s="4" t="s">
        <v>52</v>
      </c>
      <c r="T32" s="8"/>
      <c r="U32" s="4"/>
      <c r="V32" s="4"/>
      <c r="W32" s="4"/>
    </row>
    <row r="33" spans="1:23" x14ac:dyDescent="0.25">
      <c r="A33" s="3">
        <v>30</v>
      </c>
      <c r="B33" s="4">
        <v>4031530</v>
      </c>
      <c r="C33" s="4" t="s">
        <v>256</v>
      </c>
      <c r="D33" s="4">
        <v>9944537942</v>
      </c>
      <c r="E33" s="4" t="s">
        <v>255</v>
      </c>
      <c r="F33" s="4" t="s">
        <v>251</v>
      </c>
      <c r="G33" s="4" t="s">
        <v>251</v>
      </c>
      <c r="H33" s="67" t="s">
        <v>245</v>
      </c>
      <c r="I33" s="4"/>
      <c r="J33" s="26">
        <v>12818</v>
      </c>
      <c r="K33" s="22">
        <v>60</v>
      </c>
      <c r="L33" s="4" t="s">
        <v>103</v>
      </c>
      <c r="M33" s="26">
        <f>Table1346[[#This Row],[QTY
RECIVED]]-Table1346[[#This Row],[QTY 
ISSUED]]</f>
        <v>0</v>
      </c>
      <c r="N33" s="4" t="s">
        <v>258</v>
      </c>
      <c r="O33" s="4">
        <v>60</v>
      </c>
      <c r="P33" s="4" t="s">
        <v>259</v>
      </c>
      <c r="Q33" s="4" t="s">
        <v>211</v>
      </c>
      <c r="R33" s="4"/>
      <c r="S33" s="4" t="s">
        <v>269</v>
      </c>
      <c r="T33" s="8"/>
      <c r="U33" s="4"/>
      <c r="V33" s="4"/>
      <c r="W33" s="4"/>
    </row>
    <row r="34" spans="1:23" x14ac:dyDescent="0.25">
      <c r="A34" s="3">
        <v>31</v>
      </c>
      <c r="B34" s="4">
        <v>4031538</v>
      </c>
      <c r="C34" s="4" t="s">
        <v>721</v>
      </c>
      <c r="D34" s="4">
        <v>9944537882</v>
      </c>
      <c r="E34" s="4" t="s">
        <v>252</v>
      </c>
      <c r="F34" s="4" t="s">
        <v>251</v>
      </c>
      <c r="G34" s="4" t="s">
        <v>251</v>
      </c>
      <c r="H34" s="67" t="s">
        <v>897</v>
      </c>
      <c r="I34" s="4" t="s">
        <v>687</v>
      </c>
      <c r="J34" s="4" t="s">
        <v>531</v>
      </c>
      <c r="K34" s="22">
        <v>480</v>
      </c>
      <c r="L34" s="4" t="s">
        <v>158</v>
      </c>
      <c r="M34" s="26">
        <f>Table1346[[#This Row],[QTY
RECIVED]]-Table1346[[#This Row],[QTY 
ISSUED]]</f>
        <v>0</v>
      </c>
      <c r="N34" s="4" t="s">
        <v>257</v>
      </c>
      <c r="O34" s="4">
        <v>480</v>
      </c>
      <c r="P34" s="4" t="s">
        <v>259</v>
      </c>
      <c r="Q34" s="4" t="s">
        <v>211</v>
      </c>
      <c r="R34" s="4"/>
      <c r="S34" s="4" t="s">
        <v>52</v>
      </c>
      <c r="T34" s="8"/>
      <c r="U34" s="4"/>
      <c r="V34" s="4"/>
      <c r="W34" s="4"/>
    </row>
    <row r="35" spans="1:23" x14ac:dyDescent="0.25">
      <c r="A35" s="3">
        <v>32</v>
      </c>
      <c r="B35" s="4">
        <v>4031574</v>
      </c>
      <c r="C35" s="4" t="s">
        <v>721</v>
      </c>
      <c r="D35" s="4">
        <v>9944537882</v>
      </c>
      <c r="E35" s="4" t="s">
        <v>262</v>
      </c>
      <c r="F35" s="4" t="s">
        <v>251</v>
      </c>
      <c r="G35" s="4" t="s">
        <v>251</v>
      </c>
      <c r="H35" s="67" t="s">
        <v>897</v>
      </c>
      <c r="I35" s="4" t="s">
        <v>688</v>
      </c>
      <c r="J35" s="4" t="s">
        <v>531</v>
      </c>
      <c r="K35" s="22">
        <v>480</v>
      </c>
      <c r="L35" s="4" t="s">
        <v>158</v>
      </c>
      <c r="M35" s="26">
        <f>Table1346[[#This Row],[QTY
RECIVED]]-Table1346[[#This Row],[QTY 
ISSUED]]</f>
        <v>0</v>
      </c>
      <c r="N35" s="4" t="s">
        <v>263</v>
      </c>
      <c r="O35" s="4">
        <v>480</v>
      </c>
      <c r="P35" s="4" t="s">
        <v>263</v>
      </c>
      <c r="Q35" s="4" t="s">
        <v>227</v>
      </c>
      <c r="R35" s="4"/>
      <c r="S35" s="4"/>
      <c r="T35" s="5"/>
      <c r="U35" s="4"/>
      <c r="V35" s="4"/>
      <c r="W35" s="4"/>
    </row>
    <row r="36" spans="1:23" x14ac:dyDescent="0.25">
      <c r="A36" s="3">
        <v>33</v>
      </c>
      <c r="B36" s="4">
        <v>4031610</v>
      </c>
      <c r="C36" s="4" t="s">
        <v>721</v>
      </c>
      <c r="D36" s="4">
        <v>9944537882</v>
      </c>
      <c r="E36" s="4" t="s">
        <v>266</v>
      </c>
      <c r="F36" s="4" t="s">
        <v>251</v>
      </c>
      <c r="G36" s="4" t="s">
        <v>251</v>
      </c>
      <c r="H36" s="67" t="s">
        <v>897</v>
      </c>
      <c r="I36" s="4" t="s">
        <v>689</v>
      </c>
      <c r="J36" s="4" t="s">
        <v>531</v>
      </c>
      <c r="K36" s="22">
        <v>480</v>
      </c>
      <c r="L36" s="4" t="s">
        <v>158</v>
      </c>
      <c r="M36" s="26">
        <f>Table1346[[#This Row],[QTY
RECIVED]]-Table1346[[#This Row],[QTY 
ISSUED]]</f>
        <v>0</v>
      </c>
      <c r="N36" s="4" t="s">
        <v>265</v>
      </c>
      <c r="O36" s="4">
        <v>480</v>
      </c>
      <c r="P36" s="4" t="s">
        <v>271</v>
      </c>
      <c r="Q36" s="4" t="s">
        <v>255</v>
      </c>
      <c r="R36" s="4"/>
      <c r="S36" s="4" t="s">
        <v>269</v>
      </c>
      <c r="T36" s="5"/>
      <c r="U36" s="4"/>
      <c r="V36" s="4"/>
      <c r="W36" s="4"/>
    </row>
    <row r="37" spans="1:23" x14ac:dyDescent="0.25">
      <c r="A37" s="3">
        <v>34</v>
      </c>
      <c r="B37" s="4">
        <v>4031616</v>
      </c>
      <c r="C37" s="4" t="s">
        <v>256</v>
      </c>
      <c r="D37" s="4">
        <v>9944537942</v>
      </c>
      <c r="E37" s="4" t="s">
        <v>274</v>
      </c>
      <c r="F37" s="4" t="s">
        <v>251</v>
      </c>
      <c r="G37" s="4" t="s">
        <v>251</v>
      </c>
      <c r="H37" s="67" t="s">
        <v>245</v>
      </c>
      <c r="I37" s="4"/>
      <c r="J37" s="26">
        <v>13042</v>
      </c>
      <c r="K37" s="22">
        <v>60</v>
      </c>
      <c r="L37" s="4" t="s">
        <v>103</v>
      </c>
      <c r="M37" s="26">
        <f>Table1346[[#This Row],[QTY
RECIVED]]-Table1346[[#This Row],[QTY 
ISSUED]]</f>
        <v>0</v>
      </c>
      <c r="N37" s="4" t="s">
        <v>271</v>
      </c>
      <c r="O37" s="4">
        <v>60</v>
      </c>
      <c r="P37" s="4" t="s">
        <v>275</v>
      </c>
      <c r="Q37" s="4" t="s">
        <v>253</v>
      </c>
      <c r="R37" s="4"/>
      <c r="S37" s="4" t="s">
        <v>269</v>
      </c>
      <c r="T37" s="5"/>
      <c r="U37" s="4"/>
      <c r="V37" s="4"/>
      <c r="W37" s="4"/>
    </row>
    <row r="38" spans="1:23" x14ac:dyDescent="0.25">
      <c r="A38" s="3">
        <v>35</v>
      </c>
      <c r="B38" s="4">
        <v>4031634</v>
      </c>
      <c r="C38" s="4" t="s">
        <v>256</v>
      </c>
      <c r="D38" s="4">
        <v>9944537942</v>
      </c>
      <c r="E38" s="4" t="s">
        <v>330</v>
      </c>
      <c r="F38" s="4" t="s">
        <v>251</v>
      </c>
      <c r="G38" s="4" t="s">
        <v>251</v>
      </c>
      <c r="H38" s="67" t="s">
        <v>245</v>
      </c>
      <c r="I38" s="4"/>
      <c r="J38" s="26">
        <v>11958</v>
      </c>
      <c r="K38" s="22">
        <v>56</v>
      </c>
      <c r="L38" s="4" t="s">
        <v>103</v>
      </c>
      <c r="M38" s="26">
        <f>Table1346[[#This Row],[QTY
RECIVED]]-Table1346[[#This Row],[QTY 
ISSUED]]</f>
        <v>0</v>
      </c>
      <c r="N38" s="4" t="s">
        <v>704</v>
      </c>
      <c r="O38" s="4">
        <v>56</v>
      </c>
      <c r="P38" s="4" t="s">
        <v>328</v>
      </c>
      <c r="Q38" s="4" t="s">
        <v>329</v>
      </c>
      <c r="R38" s="4"/>
      <c r="S38" s="4" t="s">
        <v>269</v>
      </c>
      <c r="T38" s="5"/>
      <c r="U38" s="4"/>
      <c r="V38" s="4"/>
      <c r="W38" s="4"/>
    </row>
    <row r="39" spans="1:23" x14ac:dyDescent="0.25">
      <c r="A39" s="3">
        <v>36</v>
      </c>
      <c r="B39" s="4">
        <v>4031708</v>
      </c>
      <c r="C39" s="4" t="s">
        <v>721</v>
      </c>
      <c r="D39" s="4">
        <v>9944537882</v>
      </c>
      <c r="E39" s="4" t="s">
        <v>338</v>
      </c>
      <c r="F39" s="4" t="s">
        <v>251</v>
      </c>
      <c r="G39" s="4" t="s">
        <v>251</v>
      </c>
      <c r="H39" s="67" t="s">
        <v>897</v>
      </c>
      <c r="I39" s="4" t="s">
        <v>690</v>
      </c>
      <c r="J39" s="4" t="s">
        <v>531</v>
      </c>
      <c r="K39" s="22">
        <v>480</v>
      </c>
      <c r="L39" s="4" t="s">
        <v>158</v>
      </c>
      <c r="M39" s="26">
        <f>Table1346[[#This Row],[QTY
RECIVED]]-Table1346[[#This Row],[QTY 
ISSUED]]</f>
        <v>0</v>
      </c>
      <c r="N39" s="4" t="s">
        <v>337</v>
      </c>
      <c r="O39" s="4">
        <v>480</v>
      </c>
      <c r="P39" s="4" t="s">
        <v>377</v>
      </c>
      <c r="Q39" s="4" t="s">
        <v>378</v>
      </c>
      <c r="R39" s="4"/>
      <c r="S39" s="4" t="s">
        <v>269</v>
      </c>
      <c r="T39" s="5"/>
      <c r="U39" s="4"/>
      <c r="V39" s="4"/>
      <c r="W39" s="4"/>
    </row>
    <row r="40" spans="1:23" x14ac:dyDescent="0.25">
      <c r="A40" s="3">
        <v>37</v>
      </c>
      <c r="B40" s="4">
        <v>4031717</v>
      </c>
      <c r="C40" s="4" t="s">
        <v>256</v>
      </c>
      <c r="D40" s="4">
        <v>9944537942</v>
      </c>
      <c r="E40" s="4" t="s">
        <v>340</v>
      </c>
      <c r="F40" s="4" t="s">
        <v>251</v>
      </c>
      <c r="G40" s="4" t="s">
        <v>251</v>
      </c>
      <c r="H40" s="67" t="s">
        <v>245</v>
      </c>
      <c r="I40" s="4"/>
      <c r="J40" s="26">
        <v>12998</v>
      </c>
      <c r="K40" s="22">
        <v>60</v>
      </c>
      <c r="L40" s="4" t="s">
        <v>103</v>
      </c>
      <c r="M40" s="26">
        <f>Table1346[[#This Row],[QTY
RECIVED]]-Table1346[[#This Row],[QTY 
ISSUED]]</f>
        <v>0</v>
      </c>
      <c r="N40" s="4" t="s">
        <v>339</v>
      </c>
      <c r="O40" s="4">
        <v>60</v>
      </c>
      <c r="P40" s="4" t="s">
        <v>377</v>
      </c>
      <c r="Q40" s="4" t="s">
        <v>380</v>
      </c>
      <c r="R40" s="4"/>
      <c r="S40" s="4" t="s">
        <v>269</v>
      </c>
      <c r="T40" s="5"/>
      <c r="U40" s="4"/>
      <c r="V40" s="4"/>
      <c r="W40" s="4"/>
    </row>
    <row r="41" spans="1:23" x14ac:dyDescent="0.25">
      <c r="A41" s="3">
        <v>38</v>
      </c>
      <c r="B41" s="4">
        <v>4031715</v>
      </c>
      <c r="C41" s="4" t="s">
        <v>721</v>
      </c>
      <c r="D41" s="4">
        <v>9944537882</v>
      </c>
      <c r="E41" s="4" t="s">
        <v>343</v>
      </c>
      <c r="F41" s="4" t="s">
        <v>251</v>
      </c>
      <c r="G41" s="4" t="s">
        <v>251</v>
      </c>
      <c r="H41" s="67" t="s">
        <v>897</v>
      </c>
      <c r="I41" s="4" t="s">
        <v>691</v>
      </c>
      <c r="J41" s="4" t="s">
        <v>531</v>
      </c>
      <c r="K41" s="22">
        <v>480</v>
      </c>
      <c r="L41" s="4" t="s">
        <v>158</v>
      </c>
      <c r="M41" s="26">
        <f>Table1346[[#This Row],[QTY
RECIVED]]-Table1346[[#This Row],[QTY 
ISSUED]]</f>
        <v>0</v>
      </c>
      <c r="N41" s="4" t="s">
        <v>339</v>
      </c>
      <c r="O41" s="4">
        <v>480</v>
      </c>
      <c r="P41" s="4" t="s">
        <v>377</v>
      </c>
      <c r="Q41" s="4" t="s">
        <v>381</v>
      </c>
      <c r="R41" s="4"/>
      <c r="S41" s="4" t="s">
        <v>269</v>
      </c>
      <c r="T41" s="5"/>
      <c r="U41" s="4"/>
      <c r="V41" s="4"/>
      <c r="W41" s="4"/>
    </row>
    <row r="42" spans="1:23" x14ac:dyDescent="0.25">
      <c r="A42" s="3">
        <v>39</v>
      </c>
      <c r="B42" s="4">
        <v>4031720</v>
      </c>
      <c r="C42" s="4" t="s">
        <v>256</v>
      </c>
      <c r="D42" s="4">
        <v>9944537942</v>
      </c>
      <c r="E42" s="4" t="s">
        <v>341</v>
      </c>
      <c r="F42" s="4" t="s">
        <v>251</v>
      </c>
      <c r="G42" s="4" t="s">
        <v>251</v>
      </c>
      <c r="H42" s="67" t="s">
        <v>245</v>
      </c>
      <c r="I42" s="4"/>
      <c r="J42" s="26">
        <v>12947</v>
      </c>
      <c r="K42" s="22">
        <v>60</v>
      </c>
      <c r="L42" s="4" t="s">
        <v>103</v>
      </c>
      <c r="M42" s="26">
        <f>Table1346[[#This Row],[QTY
RECIVED]]-Table1346[[#This Row],[QTY 
ISSUED]]</f>
        <v>0</v>
      </c>
      <c r="N42" s="4" t="s">
        <v>342</v>
      </c>
      <c r="O42" s="4">
        <v>60</v>
      </c>
      <c r="P42" s="4" t="s">
        <v>377</v>
      </c>
      <c r="Q42" s="4" t="s">
        <v>379</v>
      </c>
      <c r="R42" s="4"/>
      <c r="S42" s="4" t="s">
        <v>269</v>
      </c>
      <c r="T42" s="5"/>
      <c r="U42" s="4"/>
      <c r="V42" s="4"/>
      <c r="W42" s="4"/>
    </row>
    <row r="43" spans="1:23" x14ac:dyDescent="0.25">
      <c r="A43" s="3">
        <v>40</v>
      </c>
      <c r="B43" s="4">
        <v>4031731</v>
      </c>
      <c r="C43" s="4" t="s">
        <v>724</v>
      </c>
      <c r="D43" s="4">
        <v>9944537842</v>
      </c>
      <c r="E43" s="4" t="s">
        <v>673</v>
      </c>
      <c r="F43" s="4" t="s">
        <v>102</v>
      </c>
      <c r="G43" s="4" t="s">
        <v>102</v>
      </c>
      <c r="H43" s="91" t="s">
        <v>159</v>
      </c>
      <c r="I43" s="12"/>
      <c r="J43" s="4" t="s">
        <v>674</v>
      </c>
      <c r="K43" s="22">
        <v>32</v>
      </c>
      <c r="L43" s="4" t="s">
        <v>103</v>
      </c>
      <c r="M43" s="26">
        <f>Table1346[[#This Row],[QTY
RECIVED]]-Table1346[[#This Row],[QTY 
ISSUED]]</f>
        <v>0</v>
      </c>
      <c r="N43" s="4" t="s">
        <v>675</v>
      </c>
      <c r="O43" s="4">
        <v>32</v>
      </c>
      <c r="P43" s="4" t="s">
        <v>769</v>
      </c>
      <c r="Q43" s="6" t="s">
        <v>773</v>
      </c>
      <c r="R43" s="4"/>
      <c r="S43" s="4"/>
      <c r="T43" s="8"/>
      <c r="U43" s="4"/>
      <c r="V43" s="4"/>
      <c r="W43" s="4"/>
    </row>
    <row r="44" spans="1:23" x14ac:dyDescent="0.25">
      <c r="A44" s="3">
        <v>41</v>
      </c>
      <c r="B44" s="4"/>
      <c r="C44" s="4" t="s">
        <v>720</v>
      </c>
      <c r="D44" s="4">
        <v>9944537902</v>
      </c>
      <c r="E44" s="4" t="s">
        <v>439</v>
      </c>
      <c r="F44" s="4" t="s">
        <v>200</v>
      </c>
      <c r="G44" s="4" t="s">
        <v>200</v>
      </c>
      <c r="H44" s="67" t="s">
        <v>217</v>
      </c>
      <c r="I44" s="4"/>
      <c r="J44" s="4" t="s">
        <v>441</v>
      </c>
      <c r="K44" s="22">
        <v>20</v>
      </c>
      <c r="L44" s="4" t="s">
        <v>158</v>
      </c>
      <c r="M44" s="26">
        <f>Table1346[[#This Row],[QTY
RECIVED]]-Table1346[[#This Row],[QTY 
ISSUED]]</f>
        <v>0</v>
      </c>
      <c r="N44" s="4" t="s">
        <v>440</v>
      </c>
      <c r="O44" s="4">
        <v>20</v>
      </c>
      <c r="P44" s="4" t="s">
        <v>484</v>
      </c>
      <c r="Q44" s="4" t="s">
        <v>475</v>
      </c>
      <c r="R44" s="4"/>
      <c r="S44" s="4"/>
      <c r="T44" s="5"/>
      <c r="U44" s="4"/>
      <c r="V44" s="4"/>
      <c r="W44" s="4"/>
    </row>
    <row r="45" spans="1:23" x14ac:dyDescent="0.25">
      <c r="A45" s="3">
        <v>42</v>
      </c>
      <c r="B45" s="4">
        <v>4031819</v>
      </c>
      <c r="C45" s="4" t="s">
        <v>680</v>
      </c>
      <c r="D45" s="4">
        <v>9944537882</v>
      </c>
      <c r="E45" s="4" t="s">
        <v>476</v>
      </c>
      <c r="F45" s="4" t="s">
        <v>251</v>
      </c>
      <c r="G45" s="4" t="s">
        <v>251</v>
      </c>
      <c r="H45" s="67" t="s">
        <v>897</v>
      </c>
      <c r="I45" s="4" t="s">
        <v>692</v>
      </c>
      <c r="J45" s="4" t="s">
        <v>531</v>
      </c>
      <c r="K45" s="22">
        <v>480</v>
      </c>
      <c r="L45" s="4" t="s">
        <v>158</v>
      </c>
      <c r="M45" s="26">
        <f>Table1346[[#This Row],[QTY
RECIVED]]-Table1346[[#This Row],[QTY 
ISSUED]]</f>
        <v>0</v>
      </c>
      <c r="N45" s="4" t="s">
        <v>480</v>
      </c>
      <c r="O45" s="4">
        <v>480</v>
      </c>
      <c r="P45" s="4" t="s">
        <v>484</v>
      </c>
      <c r="Q45" s="4" t="s">
        <v>475</v>
      </c>
      <c r="R45" s="4"/>
      <c r="S45" s="4"/>
      <c r="T45" s="5"/>
      <c r="U45" s="4"/>
      <c r="V45" s="4"/>
      <c r="W45" s="4"/>
    </row>
    <row r="46" spans="1:23" x14ac:dyDescent="0.25">
      <c r="A46" s="3">
        <v>43</v>
      </c>
      <c r="B46" s="4">
        <v>4031828</v>
      </c>
      <c r="C46" s="4" t="s">
        <v>680</v>
      </c>
      <c r="D46" s="4">
        <v>9944537882</v>
      </c>
      <c r="E46" s="4" t="s">
        <v>477</v>
      </c>
      <c r="F46" s="4" t="s">
        <v>251</v>
      </c>
      <c r="G46" s="4" t="s">
        <v>251</v>
      </c>
      <c r="H46" s="67" t="s">
        <v>897</v>
      </c>
      <c r="I46" s="4" t="s">
        <v>693</v>
      </c>
      <c r="J46" s="4" t="s">
        <v>531</v>
      </c>
      <c r="K46" s="22">
        <v>480</v>
      </c>
      <c r="L46" s="4" t="s">
        <v>158</v>
      </c>
      <c r="M46" s="26">
        <f>Table1346[[#This Row],[QTY
RECIVED]]-Table1346[[#This Row],[QTY 
ISSUED]]</f>
        <v>0</v>
      </c>
      <c r="N46" s="4" t="s">
        <v>481</v>
      </c>
      <c r="O46" s="4">
        <v>480</v>
      </c>
      <c r="P46" s="4" t="s">
        <v>484</v>
      </c>
      <c r="Q46" s="4" t="s">
        <v>475</v>
      </c>
      <c r="R46" s="4"/>
      <c r="S46" s="4"/>
      <c r="T46" s="5"/>
      <c r="U46" s="4"/>
      <c r="V46" s="4"/>
      <c r="W46" s="4"/>
    </row>
    <row r="47" spans="1:23" x14ac:dyDescent="0.25">
      <c r="A47" s="3">
        <v>44</v>
      </c>
      <c r="B47" s="4">
        <v>4031909</v>
      </c>
      <c r="C47" s="4" t="s">
        <v>680</v>
      </c>
      <c r="D47" s="4">
        <v>9944537882</v>
      </c>
      <c r="E47" s="4" t="s">
        <v>478</v>
      </c>
      <c r="F47" s="4" t="s">
        <v>251</v>
      </c>
      <c r="G47" s="4" t="s">
        <v>251</v>
      </c>
      <c r="H47" s="67" t="s">
        <v>897</v>
      </c>
      <c r="I47" s="4" t="s">
        <v>694</v>
      </c>
      <c r="J47" s="4" t="s">
        <v>531</v>
      </c>
      <c r="K47" s="22">
        <v>480</v>
      </c>
      <c r="L47" s="4" t="s">
        <v>158</v>
      </c>
      <c r="M47" s="26">
        <f>Table1346[[#This Row],[QTY
RECIVED]]-Table1346[[#This Row],[QTY 
ISSUED]]</f>
        <v>0</v>
      </c>
      <c r="N47" s="4" t="s">
        <v>482</v>
      </c>
      <c r="O47" s="4">
        <v>480</v>
      </c>
      <c r="P47" s="4" t="s">
        <v>484</v>
      </c>
      <c r="Q47" s="4" t="s">
        <v>475</v>
      </c>
      <c r="R47" s="4"/>
      <c r="S47" s="4"/>
      <c r="T47" s="5"/>
      <c r="U47" s="4"/>
      <c r="V47" s="4"/>
      <c r="W47" s="4"/>
    </row>
    <row r="48" spans="1:23" x14ac:dyDescent="0.25">
      <c r="A48" s="3">
        <v>45</v>
      </c>
      <c r="B48" s="4">
        <v>4031929</v>
      </c>
      <c r="C48" s="4" t="s">
        <v>680</v>
      </c>
      <c r="D48" s="4">
        <v>9944537882</v>
      </c>
      <c r="E48" s="4" t="s">
        <v>479</v>
      </c>
      <c r="F48" s="4" t="s">
        <v>251</v>
      </c>
      <c r="G48" s="4" t="s">
        <v>251</v>
      </c>
      <c r="H48" s="67" t="s">
        <v>897</v>
      </c>
      <c r="I48" s="4" t="s">
        <v>695</v>
      </c>
      <c r="J48" s="4" t="s">
        <v>531</v>
      </c>
      <c r="K48" s="22">
        <v>480</v>
      </c>
      <c r="L48" s="4" t="s">
        <v>158</v>
      </c>
      <c r="M48" s="26">
        <f>Table1346[[#This Row],[QTY
RECIVED]]-Table1346[[#This Row],[QTY 
ISSUED]]</f>
        <v>0</v>
      </c>
      <c r="N48" s="4" t="s">
        <v>483</v>
      </c>
      <c r="O48" s="4">
        <v>480</v>
      </c>
      <c r="P48" s="4" t="s">
        <v>484</v>
      </c>
      <c r="Q48" s="4" t="s">
        <v>475</v>
      </c>
      <c r="R48" s="4"/>
      <c r="S48" s="4"/>
      <c r="T48" s="5"/>
      <c r="U48" s="4"/>
      <c r="V48" s="4"/>
      <c r="W48" s="4"/>
    </row>
    <row r="49" spans="1:23" ht="10.5" customHeight="1" x14ac:dyDescent="0.25">
      <c r="A49" s="3">
        <v>46</v>
      </c>
      <c r="B49" s="70" t="s">
        <v>718</v>
      </c>
      <c r="C49" s="4" t="s">
        <v>680</v>
      </c>
      <c r="D49" s="4">
        <v>9944537882</v>
      </c>
      <c r="E49" s="30" t="s">
        <v>529</v>
      </c>
      <c r="F49" s="4" t="s">
        <v>251</v>
      </c>
      <c r="G49" s="4" t="s">
        <v>251</v>
      </c>
      <c r="H49" s="67" t="s">
        <v>897</v>
      </c>
      <c r="I49" s="4" t="s">
        <v>696</v>
      </c>
      <c r="J49" s="4" t="s">
        <v>530</v>
      </c>
      <c r="K49" s="22">
        <v>960</v>
      </c>
      <c r="L49" s="4" t="s">
        <v>158</v>
      </c>
      <c r="M49" s="26">
        <f>Table1346[[#This Row],[QTY
RECIVED]]-Table1346[[#This Row],[QTY 
ISSUED]]</f>
        <v>0</v>
      </c>
      <c r="N49" s="4" t="s">
        <v>483</v>
      </c>
      <c r="O49" s="4">
        <v>960</v>
      </c>
      <c r="P49" s="4" t="s">
        <v>545</v>
      </c>
      <c r="Q49" s="4" t="s">
        <v>546</v>
      </c>
      <c r="R49" s="4"/>
      <c r="S49" s="4"/>
      <c r="T49" s="5"/>
      <c r="U49" s="4"/>
      <c r="V49" s="4"/>
      <c r="W49" s="4"/>
    </row>
    <row r="50" spans="1:23" ht="22.5" x14ac:dyDescent="0.25">
      <c r="A50" s="3">
        <v>47</v>
      </c>
      <c r="B50" s="4"/>
      <c r="C50" s="4" t="s">
        <v>719</v>
      </c>
      <c r="D50" s="4">
        <v>9944537902</v>
      </c>
      <c r="E50" s="4" t="s">
        <v>329</v>
      </c>
      <c r="F50" s="4" t="s">
        <v>200</v>
      </c>
      <c r="G50" s="4" t="s">
        <v>200</v>
      </c>
      <c r="H50" s="67" t="s">
        <v>217</v>
      </c>
      <c r="I50" s="4"/>
      <c r="J50" s="4" t="s">
        <v>442</v>
      </c>
      <c r="K50" s="22">
        <v>400</v>
      </c>
      <c r="L50" s="4" t="s">
        <v>158</v>
      </c>
      <c r="M50" s="26">
        <f>Table1346[[#This Row],[QTY
RECIVED]]-Table1346[[#This Row],[QTY 
ISSUED]]</f>
        <v>0</v>
      </c>
      <c r="N50" s="4" t="s">
        <v>474</v>
      </c>
      <c r="O50" s="4">
        <f>200+100+100</f>
        <v>400</v>
      </c>
      <c r="P50" s="4" t="s">
        <v>1094</v>
      </c>
      <c r="Q50" s="4" t="s">
        <v>1093</v>
      </c>
      <c r="R50" s="4"/>
      <c r="S50" s="4"/>
      <c r="T50" s="5"/>
      <c r="U50" s="4"/>
      <c r="V50" s="4"/>
      <c r="W50" s="4"/>
    </row>
    <row r="51" spans="1:23" x14ac:dyDescent="0.25">
      <c r="A51" s="3">
        <v>48</v>
      </c>
      <c r="B51" s="4" t="s">
        <v>896</v>
      </c>
      <c r="C51" s="4" t="s">
        <v>896</v>
      </c>
      <c r="D51" s="4">
        <v>9944537882</v>
      </c>
      <c r="E51" s="4" t="s">
        <v>896</v>
      </c>
      <c r="F51" s="4" t="s">
        <v>116</v>
      </c>
      <c r="G51" s="4" t="s">
        <v>116</v>
      </c>
      <c r="H51" s="67" t="s">
        <v>897</v>
      </c>
      <c r="I51" s="4" t="s">
        <v>701</v>
      </c>
      <c r="J51" s="12" t="s">
        <v>543</v>
      </c>
      <c r="K51" s="22">
        <v>1000</v>
      </c>
      <c r="L51" s="4" t="s">
        <v>158</v>
      </c>
      <c r="M51" s="26">
        <f>Table1346[[#This Row],[QTY
RECIVED]]-Table1346[[#This Row],[QTY 
ISSUED]]</f>
        <v>0</v>
      </c>
      <c r="N51" s="4" t="s">
        <v>700</v>
      </c>
      <c r="O51" s="4">
        <v>1000</v>
      </c>
      <c r="P51" s="4" t="s">
        <v>545</v>
      </c>
      <c r="Q51" s="4" t="s">
        <v>546</v>
      </c>
      <c r="R51" s="4"/>
      <c r="S51" s="4"/>
      <c r="T51" s="5"/>
      <c r="U51" s="4"/>
      <c r="V51" s="4"/>
      <c r="W51" s="4"/>
    </row>
    <row r="52" spans="1:23" ht="22.5" x14ac:dyDescent="0.25">
      <c r="A52" s="3">
        <v>49</v>
      </c>
      <c r="B52" s="6" t="s">
        <v>717</v>
      </c>
      <c r="C52" s="4" t="s">
        <v>680</v>
      </c>
      <c r="D52" s="4">
        <v>9944537882</v>
      </c>
      <c r="E52" s="4" t="s">
        <v>612</v>
      </c>
      <c r="F52" s="4" t="s">
        <v>251</v>
      </c>
      <c r="G52" s="4" t="s">
        <v>251</v>
      </c>
      <c r="H52" s="67" t="s">
        <v>897</v>
      </c>
      <c r="I52" s="4" t="s">
        <v>697</v>
      </c>
      <c r="J52" s="12" t="s">
        <v>613</v>
      </c>
      <c r="K52" s="24">
        <v>960</v>
      </c>
      <c r="L52" s="6" t="s">
        <v>158</v>
      </c>
      <c r="M52" s="27">
        <f>Table1346[[#This Row],[QTY
RECIVED]]-Table1346[[#This Row],[QTY 
ISSUED]]</f>
        <v>0</v>
      </c>
      <c r="N52" s="4" t="s">
        <v>614</v>
      </c>
      <c r="O52" s="4">
        <v>960</v>
      </c>
      <c r="P52" s="4" t="s">
        <v>769</v>
      </c>
      <c r="Q52" s="4" t="s">
        <v>770</v>
      </c>
      <c r="R52" s="6"/>
      <c r="S52" s="6"/>
      <c r="T52" s="45"/>
      <c r="U52" s="4"/>
      <c r="V52" s="4"/>
      <c r="W52" s="4"/>
    </row>
    <row r="53" spans="1:23" ht="33.75" x14ac:dyDescent="0.25">
      <c r="A53" s="3">
        <v>50</v>
      </c>
      <c r="B53" s="6" t="s">
        <v>716</v>
      </c>
      <c r="C53" s="4" t="s">
        <v>680</v>
      </c>
      <c r="D53" s="4">
        <v>9944537882</v>
      </c>
      <c r="E53" s="4" t="s">
        <v>619</v>
      </c>
      <c r="F53" s="4" t="s">
        <v>251</v>
      </c>
      <c r="G53" s="4" t="s">
        <v>251</v>
      </c>
      <c r="H53" s="67" t="s">
        <v>897</v>
      </c>
      <c r="I53" s="4" t="s">
        <v>669</v>
      </c>
      <c r="J53" s="12" t="s">
        <v>672</v>
      </c>
      <c r="K53" s="24">
        <v>1200</v>
      </c>
      <c r="L53" s="6" t="s">
        <v>158</v>
      </c>
      <c r="M53" s="27">
        <f>Table1346[[#This Row],[QTY
RECIVED]]-Table1346[[#This Row],[QTY 
ISSUED]]</f>
        <v>0</v>
      </c>
      <c r="N53" s="4" t="s">
        <v>699</v>
      </c>
      <c r="O53" s="4">
        <v>1200</v>
      </c>
      <c r="P53" s="4" t="s">
        <v>769</v>
      </c>
      <c r="Q53" s="4" t="s">
        <v>770</v>
      </c>
      <c r="R53" s="6"/>
      <c r="S53" s="6"/>
      <c r="T53" s="45"/>
      <c r="U53" s="4"/>
      <c r="V53" s="4"/>
      <c r="W53" s="4"/>
    </row>
    <row r="54" spans="1:23" ht="22.5" x14ac:dyDescent="0.25">
      <c r="A54" s="3">
        <v>51</v>
      </c>
      <c r="B54" s="6" t="s">
        <v>715</v>
      </c>
      <c r="C54" s="4" t="s">
        <v>680</v>
      </c>
      <c r="D54" s="4">
        <v>9944537882</v>
      </c>
      <c r="E54" s="4" t="s">
        <v>668</v>
      </c>
      <c r="F54" s="4" t="s">
        <v>251</v>
      </c>
      <c r="G54" s="4" t="s">
        <v>251</v>
      </c>
      <c r="H54" s="67" t="s">
        <v>897</v>
      </c>
      <c r="I54" s="4" t="s">
        <v>670</v>
      </c>
      <c r="J54" s="12" t="s">
        <v>671</v>
      </c>
      <c r="K54" s="24">
        <v>1200</v>
      </c>
      <c r="L54" s="6" t="s">
        <v>158</v>
      </c>
      <c r="M54" s="27">
        <f>Table1346[[#This Row],[QTY
RECIVED]]-Table1346[[#This Row],[QTY 
ISSUED]]</f>
        <v>0</v>
      </c>
      <c r="N54" s="4" t="s">
        <v>698</v>
      </c>
      <c r="O54" s="4">
        <v>1200</v>
      </c>
      <c r="P54" s="4" t="s">
        <v>769</v>
      </c>
      <c r="Q54" s="4" t="s">
        <v>770</v>
      </c>
      <c r="R54" s="6"/>
      <c r="S54" s="6"/>
      <c r="T54" s="45"/>
      <c r="U54" s="4"/>
      <c r="V54" s="4"/>
      <c r="W54" s="4"/>
    </row>
    <row r="55" spans="1:23" ht="22.5" x14ac:dyDescent="0.25">
      <c r="A55" s="3">
        <v>52</v>
      </c>
      <c r="B55" s="4" t="s">
        <v>804</v>
      </c>
      <c r="C55" s="4" t="s">
        <v>791</v>
      </c>
      <c r="D55" s="4">
        <v>9944537942</v>
      </c>
      <c r="E55" s="4" t="s">
        <v>676</v>
      </c>
      <c r="F55" s="6" t="s">
        <v>677</v>
      </c>
      <c r="G55" s="6" t="s">
        <v>677</v>
      </c>
      <c r="H55" s="67" t="s">
        <v>245</v>
      </c>
      <c r="I55" s="6"/>
      <c r="J55" s="6">
        <v>425</v>
      </c>
      <c r="K55" s="24">
        <v>2</v>
      </c>
      <c r="L55" s="4" t="s">
        <v>103</v>
      </c>
      <c r="M55" s="27">
        <f>Table1346[[#This Row],[QTY
RECIVED]]-Table1346[[#This Row],[QTY 
ISSUED]]</f>
        <v>0</v>
      </c>
      <c r="N55" s="6" t="s">
        <v>678</v>
      </c>
      <c r="O55" s="4">
        <v>2</v>
      </c>
      <c r="P55" s="6" t="s">
        <v>769</v>
      </c>
      <c r="Q55" s="4" t="s">
        <v>770</v>
      </c>
      <c r="R55" s="6"/>
      <c r="S55" s="6"/>
      <c r="T55" s="45"/>
      <c r="U55" s="4"/>
      <c r="V55" s="4"/>
      <c r="W55" s="4"/>
    </row>
    <row r="56" spans="1:23" x14ac:dyDescent="0.25">
      <c r="A56" s="3">
        <v>53</v>
      </c>
      <c r="B56" s="6">
        <v>4040021</v>
      </c>
      <c r="C56" s="6" t="s">
        <v>758</v>
      </c>
      <c r="D56" s="4">
        <v>9944537842</v>
      </c>
      <c r="E56" s="4" t="s">
        <v>679</v>
      </c>
      <c r="F56" s="4" t="s">
        <v>251</v>
      </c>
      <c r="G56" s="4" t="s">
        <v>251</v>
      </c>
      <c r="H56" s="91" t="s">
        <v>159</v>
      </c>
      <c r="I56" s="6"/>
      <c r="J56" s="6" t="s">
        <v>683</v>
      </c>
      <c r="K56" s="24">
        <v>32</v>
      </c>
      <c r="L56" s="6" t="s">
        <v>103</v>
      </c>
      <c r="M56" s="27">
        <f>Table1346[[#This Row],[QTY
RECIVED]]-Table1346[[#This Row],[QTY 
ISSUED]]</f>
        <v>0</v>
      </c>
      <c r="N56" s="6" t="s">
        <v>653</v>
      </c>
      <c r="O56" s="4">
        <v>32</v>
      </c>
      <c r="P56" s="4" t="s">
        <v>769</v>
      </c>
      <c r="Q56" s="6" t="s">
        <v>773</v>
      </c>
      <c r="R56" s="6"/>
      <c r="S56" s="6"/>
      <c r="T56" s="45"/>
      <c r="U56" s="4"/>
      <c r="V56" s="4"/>
      <c r="W56" s="4"/>
    </row>
    <row r="57" spans="1:23" ht="22.5" x14ac:dyDescent="0.25">
      <c r="A57" s="3">
        <v>54</v>
      </c>
      <c r="B57" s="4" t="s">
        <v>805</v>
      </c>
      <c r="C57" s="4" t="s">
        <v>791</v>
      </c>
      <c r="D57" s="4">
        <v>9944537942</v>
      </c>
      <c r="E57" s="4" t="s">
        <v>790</v>
      </c>
      <c r="F57" s="6" t="s">
        <v>677</v>
      </c>
      <c r="G57" s="6" t="s">
        <v>677</v>
      </c>
      <c r="H57" s="67" t="s">
        <v>245</v>
      </c>
      <c r="I57" s="4" t="s">
        <v>808</v>
      </c>
      <c r="J57" s="26" t="s">
        <v>707</v>
      </c>
      <c r="K57" s="22">
        <v>108</v>
      </c>
      <c r="L57" s="6" t="s">
        <v>103</v>
      </c>
      <c r="M57" s="26">
        <f>Table1346[[#This Row],[QTY
RECIVED]]-Table1346[[#This Row],[QTY 
ISSUED]]</f>
        <v>0</v>
      </c>
      <c r="N57" s="6" t="s">
        <v>708</v>
      </c>
      <c r="O57" s="4">
        <v>108</v>
      </c>
      <c r="P57" s="6" t="s">
        <v>769</v>
      </c>
      <c r="Q57" s="4" t="s">
        <v>770</v>
      </c>
      <c r="R57" s="4"/>
      <c r="S57" s="4"/>
      <c r="T57" s="5"/>
      <c r="U57" s="4"/>
      <c r="V57" s="4"/>
      <c r="W57" s="4"/>
    </row>
    <row r="58" spans="1:23" ht="22.5" x14ac:dyDescent="0.25">
      <c r="A58" s="3">
        <v>55</v>
      </c>
      <c r="B58" s="4" t="s">
        <v>806</v>
      </c>
      <c r="C58" s="4" t="s">
        <v>791</v>
      </c>
      <c r="D58" s="4">
        <v>9944537942</v>
      </c>
      <c r="E58" s="4" t="s">
        <v>790</v>
      </c>
      <c r="F58" s="6" t="s">
        <v>677</v>
      </c>
      <c r="G58" s="6" t="s">
        <v>677</v>
      </c>
      <c r="H58" s="67" t="s">
        <v>245</v>
      </c>
      <c r="I58" s="6">
        <v>3.4</v>
      </c>
      <c r="J58" s="4" t="s">
        <v>682</v>
      </c>
      <c r="K58" s="22">
        <v>108</v>
      </c>
      <c r="L58" s="4" t="s">
        <v>103</v>
      </c>
      <c r="M58" s="26">
        <f>Table1346[[#This Row],[QTY
RECIVED]]-Table1346[[#This Row],[QTY 
ISSUED]]</f>
        <v>0</v>
      </c>
      <c r="N58" s="4" t="s">
        <v>684</v>
      </c>
      <c r="O58" s="4">
        <v>108</v>
      </c>
      <c r="P58" s="6" t="s">
        <v>769</v>
      </c>
      <c r="Q58" s="4" t="s">
        <v>770</v>
      </c>
      <c r="R58" s="4"/>
      <c r="S58" s="4"/>
      <c r="T58" s="5"/>
      <c r="U58" s="4"/>
      <c r="V58" s="4"/>
      <c r="W58" s="4"/>
    </row>
    <row r="59" spans="1:23" ht="33.75" x14ac:dyDescent="0.25">
      <c r="A59" s="3">
        <v>56</v>
      </c>
      <c r="B59" s="4" t="s">
        <v>712</v>
      </c>
      <c r="C59" s="4" t="s">
        <v>680</v>
      </c>
      <c r="D59" s="4">
        <v>9944537882</v>
      </c>
      <c r="E59" s="4" t="s">
        <v>685</v>
      </c>
      <c r="F59" s="4" t="s">
        <v>251</v>
      </c>
      <c r="G59" s="4" t="s">
        <v>251</v>
      </c>
      <c r="H59" s="67" t="s">
        <v>897</v>
      </c>
      <c r="I59" s="4" t="s">
        <v>711</v>
      </c>
      <c r="J59" s="12" t="s">
        <v>705</v>
      </c>
      <c r="K59" s="24">
        <v>1200</v>
      </c>
      <c r="L59" s="6" t="s">
        <v>158</v>
      </c>
      <c r="M59" s="27">
        <f>Table1346[[#This Row],[QTY
RECIVED]]-Table1346[[#This Row],[QTY 
ISSUED]]</f>
        <v>0</v>
      </c>
      <c r="N59" s="4" t="s">
        <v>706</v>
      </c>
      <c r="O59" s="4">
        <v>1200</v>
      </c>
      <c r="P59" s="4" t="s">
        <v>769</v>
      </c>
      <c r="Q59" s="4" t="s">
        <v>770</v>
      </c>
      <c r="R59" s="4"/>
      <c r="S59" s="4"/>
      <c r="T59" s="5"/>
      <c r="U59" s="4"/>
      <c r="V59" s="4"/>
      <c r="W59" s="4"/>
    </row>
    <row r="60" spans="1:23" ht="22.5" x14ac:dyDescent="0.25">
      <c r="A60" s="3">
        <v>57</v>
      </c>
      <c r="B60" s="4" t="s">
        <v>807</v>
      </c>
      <c r="C60" s="4" t="s">
        <v>791</v>
      </c>
      <c r="D60" s="4">
        <v>9944537942</v>
      </c>
      <c r="E60" s="4" t="s">
        <v>789</v>
      </c>
      <c r="F60" s="6" t="s">
        <v>677</v>
      </c>
      <c r="G60" s="6" t="s">
        <v>677</v>
      </c>
      <c r="H60" s="67" t="s">
        <v>245</v>
      </c>
      <c r="I60" s="6">
        <v>5</v>
      </c>
      <c r="J60" s="4" t="s">
        <v>682</v>
      </c>
      <c r="K60" s="22">
        <v>54</v>
      </c>
      <c r="L60" s="4" t="s">
        <v>103</v>
      </c>
      <c r="M60" s="26">
        <f>Table1346[[#This Row],[QTY
RECIVED]]-Table1346[[#This Row],[QTY 
ISSUED]]</f>
        <v>0</v>
      </c>
      <c r="N60" s="4" t="s">
        <v>763</v>
      </c>
      <c r="O60" s="4">
        <v>54</v>
      </c>
      <c r="P60" s="6" t="s">
        <v>769</v>
      </c>
      <c r="Q60" s="4" t="s">
        <v>770</v>
      </c>
      <c r="R60" s="4"/>
      <c r="S60" s="4"/>
      <c r="T60" s="5"/>
      <c r="U60" s="4"/>
      <c r="V60" s="4"/>
      <c r="W60" s="4"/>
    </row>
    <row r="61" spans="1:23" ht="33.75" x14ac:dyDescent="0.25">
      <c r="A61" s="3">
        <v>58</v>
      </c>
      <c r="B61" s="4" t="s">
        <v>827</v>
      </c>
      <c r="C61" s="4" t="s">
        <v>680</v>
      </c>
      <c r="D61" s="4">
        <v>9944537882</v>
      </c>
      <c r="E61" s="4" t="s">
        <v>824</v>
      </c>
      <c r="F61" s="4" t="s">
        <v>251</v>
      </c>
      <c r="G61" s="4" t="s">
        <v>251</v>
      </c>
      <c r="H61" s="67" t="s">
        <v>897</v>
      </c>
      <c r="I61" s="4" t="s">
        <v>825</v>
      </c>
      <c r="J61" s="12" t="s">
        <v>671</v>
      </c>
      <c r="K61" s="24">
        <v>1440</v>
      </c>
      <c r="L61" s="6" t="s">
        <v>158</v>
      </c>
      <c r="M61" s="27">
        <f>Table1346[[#This Row],[QTY
RECIVED]]-Table1346[[#This Row],[QTY 
ISSUED]]</f>
        <v>0</v>
      </c>
      <c r="N61" s="4" t="s">
        <v>826</v>
      </c>
      <c r="O61" s="4">
        <v>1440</v>
      </c>
      <c r="P61" s="4" t="s">
        <v>968</v>
      </c>
      <c r="Q61" s="4" t="s">
        <v>816</v>
      </c>
      <c r="R61" s="4"/>
      <c r="S61" s="4"/>
      <c r="T61" s="5"/>
      <c r="U61" s="4"/>
      <c r="V61" s="4"/>
      <c r="W61" s="4"/>
    </row>
    <row r="62" spans="1:23" ht="22.5" x14ac:dyDescent="0.25">
      <c r="A62" s="3">
        <v>59</v>
      </c>
      <c r="B62" s="4" t="s">
        <v>896</v>
      </c>
      <c r="C62" s="4" t="s">
        <v>896</v>
      </c>
      <c r="D62" s="4">
        <v>9944537842</v>
      </c>
      <c r="E62" s="4" t="s">
        <v>896</v>
      </c>
      <c r="F62" s="4" t="s">
        <v>116</v>
      </c>
      <c r="G62" s="4" t="s">
        <v>116</v>
      </c>
      <c r="H62" s="67" t="s">
        <v>810</v>
      </c>
      <c r="I62" s="4" t="s">
        <v>811</v>
      </c>
      <c r="J62" s="4"/>
      <c r="K62" s="22">
        <v>600</v>
      </c>
      <c r="L62" s="4" t="s">
        <v>30</v>
      </c>
      <c r="M62" s="81">
        <f>Table1346[[#This Row],[QTY
RECIVED]]-Table1346[[#This Row],[QTY 
ISSUED]]</f>
        <v>0</v>
      </c>
      <c r="N62" s="4" t="s">
        <v>812</v>
      </c>
      <c r="O62" s="4">
        <v>600</v>
      </c>
      <c r="P62" s="4" t="s">
        <v>812</v>
      </c>
      <c r="Q62" s="4" t="s">
        <v>1013</v>
      </c>
      <c r="R62" s="4"/>
      <c r="S62" s="4"/>
      <c r="T62" s="5"/>
      <c r="U62" s="4"/>
      <c r="V62" s="4"/>
      <c r="W62" s="6"/>
    </row>
    <row r="63" spans="1:23" x14ac:dyDescent="0.25">
      <c r="F63" s="1" t="s">
        <v>528</v>
      </c>
    </row>
    <row r="65" spans="6:6" x14ac:dyDescent="0.25">
      <c r="F65" s="1" t="s">
        <v>528</v>
      </c>
    </row>
  </sheetData>
  <mergeCells count="5">
    <mergeCell ref="A1:S1"/>
    <mergeCell ref="A2:J2"/>
    <mergeCell ref="K2:M2"/>
    <mergeCell ref="O2:S2"/>
    <mergeCell ref="T2:W2"/>
  </mergeCells>
  <printOptions horizontalCentered="1"/>
  <pageMargins left="0" right="0" top="0" bottom="0" header="0.3" footer="0.3"/>
  <pageSetup scale="41"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E9B9F-C7E0-4AFE-B557-E8506F80779C}">
  <sheetPr>
    <tabColor rgb="FF00B050"/>
  </sheetPr>
  <dimension ref="A1:AF22"/>
  <sheetViews>
    <sheetView workbookViewId="0">
      <selection activeCell="H2" sqref="H2"/>
    </sheetView>
  </sheetViews>
  <sheetFormatPr defaultRowHeight="27" customHeight="1" x14ac:dyDescent="0.25"/>
  <cols>
    <col min="1" max="1" width="6.5703125" style="59" customWidth="1"/>
    <col min="2" max="2" width="14" style="59" customWidth="1"/>
    <col min="3" max="3" width="14.42578125" style="59" customWidth="1"/>
    <col min="4" max="4" width="12.85546875" style="59" customWidth="1"/>
    <col min="5" max="5" width="18.140625" style="59" customWidth="1"/>
    <col min="6" max="7" width="24.140625" style="59" customWidth="1"/>
    <col min="8" max="8" width="70.28515625" style="59" bestFit="1" customWidth="1"/>
    <col min="9" max="9" width="13.5703125" style="59" customWidth="1"/>
    <col min="10" max="10" width="12" style="59" customWidth="1"/>
    <col min="11" max="11" width="10.42578125" style="59" customWidth="1"/>
    <col min="12" max="12" width="6.140625" style="58" customWidth="1"/>
    <col min="13" max="13" width="7.42578125" style="58" customWidth="1"/>
    <col min="14" max="14" width="7.28515625" style="59" customWidth="1"/>
    <col min="15" max="15" width="26.42578125" style="59" customWidth="1"/>
    <col min="16" max="16" width="23.85546875" style="59" customWidth="1"/>
    <col min="17" max="17" width="10.85546875" style="59" customWidth="1"/>
    <col min="18" max="21" width="12" style="59" customWidth="1"/>
    <col min="22" max="22" width="28" style="59" customWidth="1"/>
    <col min="23" max="23" width="12" style="59" customWidth="1"/>
    <col min="24" max="24" width="30.140625" style="59" customWidth="1"/>
    <col min="25" max="25" width="9.140625" style="59" customWidth="1"/>
    <col min="26" max="26" width="26.28515625" style="59" customWidth="1"/>
    <col min="27" max="28" width="9.140625" style="59" customWidth="1"/>
    <col min="29" max="29" width="3" style="59" customWidth="1"/>
    <col min="30" max="30" width="8.85546875" style="59" customWidth="1"/>
    <col min="31" max="33" width="9.140625" style="59" customWidth="1"/>
    <col min="34" max="16384" width="9.140625" style="59"/>
  </cols>
  <sheetData>
    <row r="1" spans="1:25" ht="27" customHeight="1" x14ac:dyDescent="0.45">
      <c r="A1" s="304" t="s">
        <v>866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304"/>
      <c r="R1" s="304"/>
      <c r="S1" s="304"/>
      <c r="T1" s="304"/>
      <c r="U1" s="304"/>
      <c r="V1" s="304"/>
      <c r="W1" s="304"/>
    </row>
    <row r="2" spans="1:25" s="14" customFormat="1" ht="33.75" x14ac:dyDescent="0.15">
      <c r="A2" s="130" t="s">
        <v>0</v>
      </c>
      <c r="B2" s="130" t="s">
        <v>1</v>
      </c>
      <c r="C2" s="130" t="s">
        <v>2</v>
      </c>
      <c r="D2" s="130" t="s">
        <v>709</v>
      </c>
      <c r="E2" s="130" t="s">
        <v>3</v>
      </c>
      <c r="F2" s="131" t="s">
        <v>388</v>
      </c>
      <c r="G2" s="131" t="s">
        <v>907</v>
      </c>
      <c r="H2" s="130" t="s">
        <v>4</v>
      </c>
      <c r="I2" s="132" t="s">
        <v>8</v>
      </c>
      <c r="J2" s="129" t="s">
        <v>637</v>
      </c>
      <c r="K2" s="133" t="s">
        <v>5</v>
      </c>
      <c r="L2" s="134" t="s">
        <v>6</v>
      </c>
      <c r="M2" s="148" t="s">
        <v>7</v>
      </c>
      <c r="N2" s="147" t="s">
        <v>9</v>
      </c>
      <c r="O2" s="135" t="s">
        <v>10</v>
      </c>
      <c r="P2" s="135" t="s">
        <v>11</v>
      </c>
      <c r="Q2" s="147" t="s">
        <v>449</v>
      </c>
      <c r="R2" s="135" t="s">
        <v>12</v>
      </c>
      <c r="S2" s="135" t="s">
        <v>587</v>
      </c>
      <c r="T2" s="136" t="s">
        <v>759</v>
      </c>
      <c r="U2" s="136" t="s">
        <v>760</v>
      </c>
      <c r="V2" s="137" t="s">
        <v>784</v>
      </c>
      <c r="W2" s="137" t="s">
        <v>953</v>
      </c>
      <c r="X2" s="137" t="s">
        <v>774</v>
      </c>
      <c r="Y2" s="76"/>
    </row>
    <row r="3" spans="1:25" s="14" customFormat="1" ht="15" x14ac:dyDescent="0.25">
      <c r="A3" s="138">
        <v>1</v>
      </c>
      <c r="B3" s="142" t="s">
        <v>1224</v>
      </c>
      <c r="C3" s="142" t="s">
        <v>1223</v>
      </c>
      <c r="D3" s="142">
        <v>9987118942</v>
      </c>
      <c r="E3" s="142" t="s">
        <v>621</v>
      </c>
      <c r="F3" s="142" t="s">
        <v>622</v>
      </c>
      <c r="G3" s="142" t="s">
        <v>622</v>
      </c>
      <c r="H3" s="143" t="s">
        <v>858</v>
      </c>
      <c r="I3" s="139" t="s">
        <v>620</v>
      </c>
      <c r="J3" s="144" t="s">
        <v>1225</v>
      </c>
      <c r="K3" s="142">
        <v>1</v>
      </c>
      <c r="L3" s="145" t="s">
        <v>158</v>
      </c>
      <c r="M3" s="140">
        <f>Table7[[#This Row],[QTY
RECIVED]]-Table7[[#This Row],[QTY 
ISSUED]]</f>
        <v>1</v>
      </c>
      <c r="N3" s="144"/>
      <c r="O3" s="142"/>
      <c r="P3" s="144"/>
      <c r="Q3" s="142"/>
      <c r="R3" s="142"/>
      <c r="S3" s="144"/>
      <c r="T3" s="142"/>
      <c r="U3" s="142"/>
      <c r="V3" s="142"/>
      <c r="W3" s="144"/>
      <c r="X3" s="146"/>
      <c r="Y3" s="76"/>
    </row>
    <row r="4" spans="1:25" s="14" customFormat="1" ht="15" x14ac:dyDescent="0.25">
      <c r="A4" s="138">
        <v>2</v>
      </c>
      <c r="B4" s="139"/>
      <c r="C4" s="139"/>
      <c r="D4" s="139"/>
      <c r="E4" s="139"/>
      <c r="F4" s="139"/>
      <c r="G4" s="139"/>
      <c r="H4" s="143" t="s">
        <v>955</v>
      </c>
      <c r="I4" s="139"/>
      <c r="J4" s="139"/>
      <c r="K4" s="140"/>
      <c r="L4" s="140"/>
      <c r="M4" s="140">
        <f>Table7[[#This Row],[QTY
RECIVED]]-Table7[[#This Row],[QTY 
ISSUED]]</f>
        <v>0</v>
      </c>
      <c r="N4" s="140"/>
      <c r="O4" s="139"/>
      <c r="P4" s="149"/>
      <c r="Q4" s="139"/>
      <c r="R4" s="139"/>
      <c r="S4" s="139"/>
      <c r="T4" s="160">
        <v>10</v>
      </c>
      <c r="U4" s="161">
        <v>30</v>
      </c>
      <c r="V4" s="139"/>
      <c r="W4" s="139"/>
      <c r="X4" s="141"/>
      <c r="Y4" s="76"/>
    </row>
    <row r="5" spans="1:25" s="14" customFormat="1" ht="15" x14ac:dyDescent="0.25">
      <c r="A5" s="138">
        <v>3</v>
      </c>
      <c r="B5" s="139"/>
      <c r="C5" s="139"/>
      <c r="D5" s="139"/>
      <c r="E5" s="139"/>
      <c r="F5" s="139"/>
      <c r="G5" s="139"/>
      <c r="H5" s="143" t="s">
        <v>956</v>
      </c>
      <c r="I5" s="139"/>
      <c r="J5" s="139"/>
      <c r="K5" s="140"/>
      <c r="L5" s="140"/>
      <c r="M5" s="140">
        <f>Table7[[#This Row],[QTY
RECIVED]]-Table7[[#This Row],[QTY 
ISSUED]]</f>
        <v>0</v>
      </c>
      <c r="N5" s="140"/>
      <c r="O5" s="139"/>
      <c r="P5" s="149"/>
      <c r="Q5" s="139"/>
      <c r="R5" s="139"/>
      <c r="S5" s="139"/>
      <c r="T5" s="89">
        <v>10</v>
      </c>
      <c r="U5" s="167">
        <v>30</v>
      </c>
      <c r="V5" s="139"/>
      <c r="W5" s="139"/>
      <c r="X5" s="141"/>
      <c r="Y5" s="76"/>
    </row>
    <row r="6" spans="1:25" s="14" customFormat="1" ht="15" x14ac:dyDescent="0.25">
      <c r="A6" s="138">
        <v>4</v>
      </c>
      <c r="B6" s="139"/>
      <c r="C6" s="139"/>
      <c r="D6" s="139"/>
      <c r="E6" s="139"/>
      <c r="F6" s="139"/>
      <c r="G6" s="139"/>
      <c r="H6" s="143" t="s">
        <v>958</v>
      </c>
      <c r="I6" s="139"/>
      <c r="J6" s="139"/>
      <c r="K6" s="140"/>
      <c r="L6" s="140"/>
      <c r="M6" s="140">
        <f>Table7[[#This Row],[QTY
RECIVED]]-Table7[[#This Row],[QTY 
ISSUED]]</f>
        <v>0</v>
      </c>
      <c r="N6" s="140"/>
      <c r="O6" s="139"/>
      <c r="P6" s="149"/>
      <c r="Q6" s="139"/>
      <c r="R6" s="139"/>
      <c r="S6" s="139"/>
      <c r="T6" s="160">
        <v>4</v>
      </c>
      <c r="U6" s="161">
        <v>12</v>
      </c>
      <c r="V6" s="139"/>
      <c r="W6" s="139"/>
      <c r="X6" s="141"/>
      <c r="Y6" s="76"/>
    </row>
    <row r="7" spans="1:25" s="14" customFormat="1" ht="25.5" x14ac:dyDescent="0.25">
      <c r="A7" s="138">
        <v>5</v>
      </c>
      <c r="B7" s="234" t="s">
        <v>1062</v>
      </c>
      <c r="C7" s="234" t="s">
        <v>1061</v>
      </c>
      <c r="D7" s="139">
        <v>9987119162</v>
      </c>
      <c r="E7" s="139" t="s">
        <v>1073</v>
      </c>
      <c r="F7" s="139" t="s">
        <v>1063</v>
      </c>
      <c r="G7" s="139" t="s">
        <v>1063</v>
      </c>
      <c r="H7" s="233" t="s">
        <v>1052</v>
      </c>
      <c r="I7" s="139" t="s">
        <v>1077</v>
      </c>
      <c r="J7" s="139" t="s">
        <v>1064</v>
      </c>
      <c r="K7" s="140">
        <v>50</v>
      </c>
      <c r="L7" s="140" t="s">
        <v>30</v>
      </c>
      <c r="M7" s="140">
        <f>Table7[[#This Row],[QTY
RECIVED]]-Table7[[#This Row],[QTY 
ISSUED]]</f>
        <v>50</v>
      </c>
      <c r="N7" s="140"/>
      <c r="O7" s="139"/>
      <c r="P7" s="149"/>
      <c r="Q7" s="139"/>
      <c r="R7" s="139"/>
      <c r="S7" s="139" t="s">
        <v>1068</v>
      </c>
      <c r="T7" s="139"/>
      <c r="U7" s="139"/>
      <c r="V7" s="139"/>
      <c r="W7" s="139"/>
      <c r="X7" s="141"/>
      <c r="Y7" s="76"/>
    </row>
    <row r="8" spans="1:25" s="14" customFormat="1" ht="25.5" x14ac:dyDescent="0.25">
      <c r="A8" s="138">
        <v>6</v>
      </c>
      <c r="B8" s="234" t="s">
        <v>1062</v>
      </c>
      <c r="C8" s="234" t="s">
        <v>1061</v>
      </c>
      <c r="D8" s="139">
        <v>9987118582</v>
      </c>
      <c r="E8" s="139" t="s">
        <v>1073</v>
      </c>
      <c r="F8" s="139" t="s">
        <v>1063</v>
      </c>
      <c r="G8" s="139" t="s">
        <v>1063</v>
      </c>
      <c r="H8" s="140" t="s">
        <v>1074</v>
      </c>
      <c r="I8" s="139" t="s">
        <v>1077</v>
      </c>
      <c r="J8" s="139" t="s">
        <v>1065</v>
      </c>
      <c r="K8" s="140">
        <v>10</v>
      </c>
      <c r="L8" s="140" t="s">
        <v>30</v>
      </c>
      <c r="M8" s="140">
        <f>Table7[[#This Row],[QTY
RECIVED]]-Table7[[#This Row],[QTY 
ISSUED]]</f>
        <v>10</v>
      </c>
      <c r="N8" s="140"/>
      <c r="O8" s="139"/>
      <c r="P8" s="149"/>
      <c r="Q8" s="139"/>
      <c r="R8" s="139"/>
      <c r="S8" s="139" t="s">
        <v>1068</v>
      </c>
      <c r="T8" s="139"/>
      <c r="U8" s="139"/>
      <c r="V8" s="139"/>
      <c r="W8" s="139"/>
      <c r="X8" s="141"/>
      <c r="Y8" s="76"/>
    </row>
    <row r="9" spans="1:25" s="14" customFormat="1" ht="25.5" x14ac:dyDescent="0.25">
      <c r="A9" s="138">
        <v>7</v>
      </c>
      <c r="B9" s="234" t="s">
        <v>1062</v>
      </c>
      <c r="C9" s="234" t="s">
        <v>1061</v>
      </c>
      <c r="D9" s="139">
        <v>9987118602</v>
      </c>
      <c r="E9" s="139" t="s">
        <v>1073</v>
      </c>
      <c r="F9" s="139" t="s">
        <v>1063</v>
      </c>
      <c r="G9" s="139" t="s">
        <v>1063</v>
      </c>
      <c r="H9" s="140" t="s">
        <v>1075</v>
      </c>
      <c r="I9" s="139" t="s">
        <v>1077</v>
      </c>
      <c r="J9" s="139" t="s">
        <v>1066</v>
      </c>
      <c r="K9" s="140">
        <v>12</v>
      </c>
      <c r="L9" s="140" t="s">
        <v>158</v>
      </c>
      <c r="M9" s="140">
        <f>Table7[[#This Row],[QTY
RECIVED]]-Table7[[#This Row],[QTY 
ISSUED]]</f>
        <v>12</v>
      </c>
      <c r="N9" s="140"/>
      <c r="O9" s="139"/>
      <c r="P9" s="149"/>
      <c r="Q9" s="139"/>
      <c r="R9" s="139"/>
      <c r="S9" s="139" t="s">
        <v>1068</v>
      </c>
      <c r="T9" s="139"/>
      <c r="U9" s="139"/>
      <c r="V9" s="139"/>
      <c r="W9" s="139"/>
      <c r="X9" s="141"/>
      <c r="Y9" s="76"/>
    </row>
    <row r="10" spans="1:25" s="14" customFormat="1" ht="25.5" x14ac:dyDescent="0.25">
      <c r="A10" s="138">
        <v>8</v>
      </c>
      <c r="B10" s="234" t="s">
        <v>1062</v>
      </c>
      <c r="C10" s="234" t="s">
        <v>1061</v>
      </c>
      <c r="D10" s="142">
        <v>9987119172</v>
      </c>
      <c r="E10" s="139" t="s">
        <v>1073</v>
      </c>
      <c r="F10" s="139" t="s">
        <v>1063</v>
      </c>
      <c r="G10" s="139" t="s">
        <v>1063</v>
      </c>
      <c r="H10" s="140" t="s">
        <v>1055</v>
      </c>
      <c r="I10" s="139" t="s">
        <v>1077</v>
      </c>
      <c r="J10" s="142" t="s">
        <v>1067</v>
      </c>
      <c r="K10" s="143">
        <v>25</v>
      </c>
      <c r="L10" s="143" t="s">
        <v>30</v>
      </c>
      <c r="M10" s="140">
        <f>Table7[[#This Row],[QTY
RECIVED]]-Table7[[#This Row],[QTY 
ISSUED]]</f>
        <v>25</v>
      </c>
      <c r="N10" s="143"/>
      <c r="O10" s="142"/>
      <c r="P10" s="144"/>
      <c r="Q10" s="142"/>
      <c r="R10" s="142"/>
      <c r="S10" s="139" t="s">
        <v>1068</v>
      </c>
      <c r="T10" s="142"/>
      <c r="U10" s="142"/>
      <c r="V10" s="142"/>
      <c r="W10" s="142"/>
      <c r="X10" s="146"/>
      <c r="Y10" s="76"/>
    </row>
    <row r="11" spans="1:25" s="14" customFormat="1" ht="25.5" x14ac:dyDescent="0.25">
      <c r="A11" s="138">
        <v>9</v>
      </c>
      <c r="B11" s="234" t="s">
        <v>1062</v>
      </c>
      <c r="C11" s="234" t="s">
        <v>1061</v>
      </c>
      <c r="D11" s="139">
        <v>9987119182</v>
      </c>
      <c r="E11" s="139" t="s">
        <v>1073</v>
      </c>
      <c r="F11" s="139" t="s">
        <v>1063</v>
      </c>
      <c r="G11" s="139" t="s">
        <v>1063</v>
      </c>
      <c r="H11" s="233" t="s">
        <v>1056</v>
      </c>
      <c r="I11" s="139" t="s">
        <v>1077</v>
      </c>
      <c r="J11" s="139" t="s">
        <v>1066</v>
      </c>
      <c r="K11" s="140">
        <v>24</v>
      </c>
      <c r="L11" s="140" t="s">
        <v>158</v>
      </c>
      <c r="M11" s="140">
        <f>Table7[[#This Row],[QTY
RECIVED]]-Table7[[#This Row],[QTY 
ISSUED]]</f>
        <v>24</v>
      </c>
      <c r="N11" s="140"/>
      <c r="O11" s="139"/>
      <c r="P11" s="149"/>
      <c r="Q11" s="139"/>
      <c r="R11" s="139"/>
      <c r="S11" s="139" t="s">
        <v>1068</v>
      </c>
      <c r="T11" s="139"/>
      <c r="U11" s="139"/>
      <c r="V11" s="139"/>
      <c r="W11" s="139"/>
      <c r="X11" s="141"/>
      <c r="Y11" s="76"/>
    </row>
    <row r="12" spans="1:25" s="14" customFormat="1" ht="25.5" x14ac:dyDescent="0.25">
      <c r="A12" s="138">
        <v>10</v>
      </c>
      <c r="B12" s="234" t="s">
        <v>1062</v>
      </c>
      <c r="C12" s="234" t="s">
        <v>1061</v>
      </c>
      <c r="D12" s="139">
        <v>9987119192</v>
      </c>
      <c r="E12" s="139" t="s">
        <v>1073</v>
      </c>
      <c r="F12" s="139" t="s">
        <v>1063</v>
      </c>
      <c r="G12" s="139" t="s">
        <v>1063</v>
      </c>
      <c r="H12" s="140" t="s">
        <v>1057</v>
      </c>
      <c r="I12" s="139" t="s">
        <v>1077</v>
      </c>
      <c r="J12" s="139" t="s">
        <v>1065</v>
      </c>
      <c r="K12" s="140">
        <v>20</v>
      </c>
      <c r="L12" s="140" t="s">
        <v>30</v>
      </c>
      <c r="M12" s="140">
        <f>Table7[[#This Row],[QTY
RECIVED]]-Table7[[#This Row],[QTY 
ISSUED]]</f>
        <v>20</v>
      </c>
      <c r="N12" s="140"/>
      <c r="O12" s="139"/>
      <c r="P12" s="149"/>
      <c r="Q12" s="139"/>
      <c r="R12" s="139"/>
      <c r="S12" s="139" t="s">
        <v>1068</v>
      </c>
      <c r="T12" s="139"/>
      <c r="U12" s="139"/>
      <c r="V12" s="139"/>
      <c r="W12" s="139"/>
      <c r="X12" s="141"/>
      <c r="Y12" s="76"/>
    </row>
    <row r="13" spans="1:25" s="14" customFormat="1" ht="25.5" x14ac:dyDescent="0.25">
      <c r="A13" s="138">
        <v>11</v>
      </c>
      <c r="B13" s="234" t="s">
        <v>1062</v>
      </c>
      <c r="C13" s="234" t="s">
        <v>1061</v>
      </c>
      <c r="D13" s="142">
        <v>9987119202</v>
      </c>
      <c r="E13" s="139" t="s">
        <v>1073</v>
      </c>
      <c r="F13" s="139" t="s">
        <v>1063</v>
      </c>
      <c r="G13" s="139" t="s">
        <v>1063</v>
      </c>
      <c r="H13" s="140" t="s">
        <v>1058</v>
      </c>
      <c r="I13" s="139" t="s">
        <v>1077</v>
      </c>
      <c r="J13" s="142" t="s">
        <v>1066</v>
      </c>
      <c r="K13" s="143">
        <v>12</v>
      </c>
      <c r="L13" s="143" t="s">
        <v>158</v>
      </c>
      <c r="M13" s="140">
        <f>Table7[[#This Row],[QTY
RECIVED]]-Table7[[#This Row],[QTY 
ISSUED]]</f>
        <v>12</v>
      </c>
      <c r="N13" s="143"/>
      <c r="O13" s="142"/>
      <c r="P13" s="144"/>
      <c r="Q13" s="142"/>
      <c r="R13" s="142"/>
      <c r="S13" s="139" t="s">
        <v>1068</v>
      </c>
      <c r="T13" s="142"/>
      <c r="U13" s="142"/>
      <c r="V13" s="142"/>
      <c r="W13" s="142"/>
      <c r="X13" s="146"/>
      <c r="Y13" s="76"/>
    </row>
    <row r="14" spans="1:25" s="14" customFormat="1" ht="25.5" x14ac:dyDescent="0.25">
      <c r="A14" s="138">
        <v>12</v>
      </c>
      <c r="B14" s="234" t="s">
        <v>1062</v>
      </c>
      <c r="C14" s="234" t="s">
        <v>1061</v>
      </c>
      <c r="D14" s="139">
        <v>9987119212</v>
      </c>
      <c r="E14" s="139" t="s">
        <v>1073</v>
      </c>
      <c r="F14" s="139" t="s">
        <v>1063</v>
      </c>
      <c r="G14" s="139" t="s">
        <v>1063</v>
      </c>
      <c r="H14" s="140" t="s">
        <v>1059</v>
      </c>
      <c r="I14" s="139" t="s">
        <v>1077</v>
      </c>
      <c r="J14" s="139" t="s">
        <v>1065</v>
      </c>
      <c r="K14" s="140">
        <v>20</v>
      </c>
      <c r="L14" s="140" t="s">
        <v>30</v>
      </c>
      <c r="M14" s="140">
        <f>Table7[[#This Row],[QTY
RECIVED]]-Table7[[#This Row],[QTY 
ISSUED]]</f>
        <v>20</v>
      </c>
      <c r="N14" s="140"/>
      <c r="O14" s="139"/>
      <c r="P14" s="149"/>
      <c r="Q14" s="139"/>
      <c r="R14" s="139"/>
      <c r="S14" s="139" t="s">
        <v>1068</v>
      </c>
      <c r="T14" s="139"/>
      <c r="U14" s="139"/>
      <c r="V14" s="139"/>
      <c r="W14" s="139"/>
      <c r="X14" s="141"/>
      <c r="Y14" s="76"/>
    </row>
    <row r="15" spans="1:25" s="14" customFormat="1" ht="15" x14ac:dyDescent="0.25">
      <c r="A15" s="138">
        <v>13</v>
      </c>
      <c r="B15" s="234"/>
      <c r="C15" s="234"/>
      <c r="D15" s="142"/>
      <c r="E15" s="139"/>
      <c r="F15" s="139"/>
      <c r="G15" s="142"/>
      <c r="H15" s="143"/>
      <c r="I15" s="139"/>
      <c r="J15" s="142"/>
      <c r="K15" s="143"/>
      <c r="L15" s="143"/>
      <c r="M15" s="140">
        <f>Table7[[#This Row],[QTY
RECIVED]]-Table7[[#This Row],[QTY 
ISSUED]]</f>
        <v>0</v>
      </c>
      <c r="N15" s="143"/>
      <c r="O15" s="142"/>
      <c r="P15" s="144"/>
      <c r="Q15" s="142"/>
      <c r="R15" s="142"/>
      <c r="S15" s="139"/>
      <c r="T15" s="142"/>
      <c r="U15" s="142"/>
      <c r="V15" s="142"/>
      <c r="W15" s="142"/>
      <c r="X15" s="146"/>
      <c r="Y15" s="76"/>
    </row>
    <row r="16" spans="1:25" s="14" customFormat="1" ht="15" x14ac:dyDescent="0.25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8"/>
      <c r="M16" s="58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76"/>
    </row>
    <row r="17" spans="1:32" s="1" customFormat="1" ht="15" x14ac:dyDescent="0.25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8"/>
      <c r="M17" s="58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</row>
    <row r="18" spans="1:32" ht="15" x14ac:dyDescent="0.25"/>
    <row r="19" spans="1:32" ht="27" customHeight="1" x14ac:dyDescent="0.25">
      <c r="Z19" s="158" t="s">
        <v>955</v>
      </c>
      <c r="AA19" s="159" t="s">
        <v>658</v>
      </c>
      <c r="AB19" s="160">
        <v>10</v>
      </c>
      <c r="AC19" s="161">
        <v>30</v>
      </c>
      <c r="AD19" s="162"/>
      <c r="AE19" s="163">
        <v>0</v>
      </c>
      <c r="AF19" s="164">
        <v>30</v>
      </c>
    </row>
    <row r="20" spans="1:32" ht="27" customHeight="1" x14ac:dyDescent="0.25">
      <c r="Z20" s="165" t="s">
        <v>956</v>
      </c>
      <c r="AA20" s="166" t="s">
        <v>658</v>
      </c>
      <c r="AB20" s="89">
        <v>10</v>
      </c>
      <c r="AC20" s="167">
        <v>30</v>
      </c>
      <c r="AD20" s="168" t="s">
        <v>957</v>
      </c>
      <c r="AE20" s="169">
        <v>0</v>
      </c>
      <c r="AF20" s="170">
        <v>20</v>
      </c>
    </row>
    <row r="21" spans="1:32" ht="27" customHeight="1" x14ac:dyDescent="0.25">
      <c r="Z21" s="171" t="s">
        <v>958</v>
      </c>
      <c r="AA21" s="159" t="s">
        <v>658</v>
      </c>
      <c r="AB21" s="160">
        <v>4</v>
      </c>
      <c r="AC21" s="161">
        <v>12</v>
      </c>
      <c r="AD21" s="172" t="s">
        <v>959</v>
      </c>
      <c r="AE21" s="173">
        <v>0</v>
      </c>
      <c r="AF21" s="174">
        <v>20</v>
      </c>
    </row>
    <row r="22" spans="1:32" ht="27" customHeight="1" x14ac:dyDescent="0.25">
      <c r="Z22" s="165" t="s">
        <v>960</v>
      </c>
      <c r="AA22" s="166" t="s">
        <v>658</v>
      </c>
      <c r="AB22" s="89">
        <v>30</v>
      </c>
      <c r="AC22" s="167">
        <v>90</v>
      </c>
      <c r="AD22" s="175"/>
      <c r="AE22" s="176">
        <v>5</v>
      </c>
      <c r="AF22" s="177">
        <v>60</v>
      </c>
    </row>
  </sheetData>
  <mergeCells count="1">
    <mergeCell ref="A1:W1"/>
  </mergeCells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B5773-9483-4694-84B6-ADC78BFCF28D}">
  <sheetPr codeName="Sheet2">
    <tabColor rgb="FF7030A0"/>
  </sheetPr>
  <dimension ref="A1:T18"/>
  <sheetViews>
    <sheetView topLeftCell="D1" workbookViewId="0">
      <selection activeCell="I2" sqref="I2"/>
    </sheetView>
  </sheetViews>
  <sheetFormatPr defaultRowHeight="15" x14ac:dyDescent="0.25"/>
  <cols>
    <col min="1" max="1" width="5.42578125" customWidth="1"/>
    <col min="2" max="2" width="11" bestFit="1" customWidth="1"/>
    <col min="3" max="3" width="11.85546875" bestFit="1" customWidth="1"/>
    <col min="4" max="4" width="10.42578125" bestFit="1" customWidth="1"/>
    <col min="5" max="5" width="10.85546875" bestFit="1" customWidth="1"/>
    <col min="6" max="6" width="18" bestFit="1" customWidth="1"/>
    <col min="7" max="7" width="13" bestFit="1" customWidth="1"/>
    <col min="8" max="8" width="16.28515625" hidden="1" customWidth="1"/>
    <col min="9" max="9" width="52" customWidth="1"/>
    <col min="10" max="10" width="11.140625" bestFit="1" customWidth="1"/>
    <col min="11" max="11" width="8.28515625" bestFit="1" customWidth="1"/>
    <col min="12" max="12" width="13.140625" bestFit="1" customWidth="1"/>
    <col min="13" max="13" width="13.140625" customWidth="1"/>
    <col min="14" max="14" width="22.140625" customWidth="1"/>
    <col min="15" max="15" width="14.85546875" bestFit="1" customWidth="1"/>
    <col min="16" max="16" width="5" bestFit="1" customWidth="1"/>
    <col min="17" max="17" width="12.5703125" bestFit="1" customWidth="1"/>
    <col min="18" max="18" width="13.140625" bestFit="1" customWidth="1"/>
    <col min="19" max="19" width="13.140625" customWidth="1"/>
    <col min="20" max="20" width="8" customWidth="1"/>
  </cols>
  <sheetData>
    <row r="1" spans="1:20" ht="45" customHeight="1" x14ac:dyDescent="0.25">
      <c r="A1" s="305" t="s">
        <v>954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</row>
    <row r="2" spans="1:20" ht="30.75" customHeight="1" x14ac:dyDescent="0.25">
      <c r="A2" s="49" t="s">
        <v>0</v>
      </c>
      <c r="B2" s="50" t="s">
        <v>413</v>
      </c>
      <c r="C2" s="50" t="s">
        <v>1</v>
      </c>
      <c r="D2" s="51" t="s">
        <v>2</v>
      </c>
      <c r="E2" s="50" t="s">
        <v>3</v>
      </c>
      <c r="F2" s="50" t="s">
        <v>414</v>
      </c>
      <c r="G2" s="50" t="s">
        <v>415</v>
      </c>
      <c r="H2" s="50" t="s">
        <v>416</v>
      </c>
      <c r="I2" s="50" t="s">
        <v>4</v>
      </c>
      <c r="J2" s="52" t="s">
        <v>5</v>
      </c>
      <c r="K2" s="53" t="s">
        <v>417</v>
      </c>
      <c r="L2" s="54" t="s">
        <v>7</v>
      </c>
      <c r="M2" s="54"/>
      <c r="N2" s="53" t="s">
        <v>418</v>
      </c>
      <c r="O2" s="55" t="s">
        <v>8</v>
      </c>
      <c r="P2" s="47" t="s">
        <v>634</v>
      </c>
      <c r="Q2" s="47" t="s">
        <v>10</v>
      </c>
      <c r="R2" s="47" t="s">
        <v>11</v>
      </c>
      <c r="S2" s="49" t="s">
        <v>632</v>
      </c>
      <c r="T2" s="48" t="s">
        <v>635</v>
      </c>
    </row>
    <row r="3" spans="1:20" ht="22.5" x14ac:dyDescent="0.25">
      <c r="A3" s="150">
        <v>1</v>
      </c>
      <c r="B3" s="151" t="s">
        <v>419</v>
      </c>
      <c r="C3" s="151">
        <v>32793</v>
      </c>
      <c r="D3" s="151" t="s">
        <v>420</v>
      </c>
      <c r="E3" s="151" t="s">
        <v>419</v>
      </c>
      <c r="F3" s="151" t="s">
        <v>421</v>
      </c>
      <c r="G3" s="152">
        <v>9989403031</v>
      </c>
      <c r="H3" s="150" t="s">
        <v>422</v>
      </c>
      <c r="I3" s="151" t="s">
        <v>423</v>
      </c>
      <c r="J3" s="151">
        <v>7000</v>
      </c>
      <c r="K3" s="151" t="s">
        <v>30</v>
      </c>
      <c r="L3" s="151">
        <f>J3-P3</f>
        <v>1095</v>
      </c>
      <c r="M3" s="151">
        <f>L3/219</f>
        <v>5</v>
      </c>
      <c r="N3" s="153"/>
      <c r="O3" s="150" t="s">
        <v>425</v>
      </c>
      <c r="P3" s="151">
        <f>1760+5240-1095</f>
        <v>5905</v>
      </c>
      <c r="Q3" s="151" t="s">
        <v>437</v>
      </c>
      <c r="R3" s="151" t="s">
        <v>438</v>
      </c>
      <c r="S3" s="151" t="s">
        <v>1181</v>
      </c>
      <c r="T3" s="151" t="s">
        <v>22</v>
      </c>
    </row>
    <row r="4" spans="1:20" ht="22.5" x14ac:dyDescent="0.25">
      <c r="A4" s="154">
        <v>2</v>
      </c>
      <c r="B4" s="155" t="s">
        <v>426</v>
      </c>
      <c r="C4" s="155" t="s">
        <v>427</v>
      </c>
      <c r="D4" s="155" t="s">
        <v>428</v>
      </c>
      <c r="E4" s="155" t="s">
        <v>426</v>
      </c>
      <c r="F4" s="155" t="s">
        <v>429</v>
      </c>
      <c r="G4" s="156">
        <v>1096614681</v>
      </c>
      <c r="H4" s="154" t="s">
        <v>430</v>
      </c>
      <c r="I4" s="155" t="s">
        <v>431</v>
      </c>
      <c r="J4" s="155">
        <v>840</v>
      </c>
      <c r="K4" s="155" t="s">
        <v>432</v>
      </c>
      <c r="L4" s="151">
        <f t="shared" ref="L4:L6" si="0">J4-P4</f>
        <v>840</v>
      </c>
      <c r="M4" s="155" t="s">
        <v>1185</v>
      </c>
      <c r="N4" s="157" t="s">
        <v>424</v>
      </c>
      <c r="O4" s="154" t="s">
        <v>433</v>
      </c>
      <c r="P4" s="155"/>
      <c r="Q4" s="155"/>
      <c r="R4" s="155"/>
      <c r="S4" s="155"/>
      <c r="T4" s="155" t="s">
        <v>1182</v>
      </c>
    </row>
    <row r="5" spans="1:20" ht="22.5" x14ac:dyDescent="0.25">
      <c r="A5" s="150">
        <v>3</v>
      </c>
      <c r="B5" s="151" t="s">
        <v>426</v>
      </c>
      <c r="C5" s="151" t="s">
        <v>427</v>
      </c>
      <c r="D5" s="151" t="s">
        <v>428</v>
      </c>
      <c r="E5" s="151" t="s">
        <v>426</v>
      </c>
      <c r="F5" s="151" t="s">
        <v>429</v>
      </c>
      <c r="G5" s="156">
        <v>1096614681</v>
      </c>
      <c r="H5" s="150" t="s">
        <v>430</v>
      </c>
      <c r="I5" s="151" t="s">
        <v>431</v>
      </c>
      <c r="J5" s="151">
        <v>500</v>
      </c>
      <c r="K5" s="151" t="s">
        <v>432</v>
      </c>
      <c r="L5" s="151">
        <f t="shared" si="0"/>
        <v>500</v>
      </c>
      <c r="M5" s="151" t="s">
        <v>1183</v>
      </c>
      <c r="N5" s="153" t="s">
        <v>434</v>
      </c>
      <c r="O5" s="150" t="s">
        <v>433</v>
      </c>
      <c r="P5" s="151"/>
      <c r="Q5" s="151"/>
      <c r="R5" s="151"/>
      <c r="S5" s="151"/>
      <c r="T5" s="151" t="s">
        <v>1182</v>
      </c>
    </row>
    <row r="6" spans="1:20" ht="22.5" x14ac:dyDescent="0.25">
      <c r="A6" s="154">
        <v>4</v>
      </c>
      <c r="B6" s="155" t="s">
        <v>426</v>
      </c>
      <c r="C6" s="155" t="s">
        <v>427</v>
      </c>
      <c r="D6" s="155" t="s">
        <v>428</v>
      </c>
      <c r="E6" s="155" t="s">
        <v>426</v>
      </c>
      <c r="F6" s="155" t="s">
        <v>429</v>
      </c>
      <c r="G6" s="156">
        <v>1096614681</v>
      </c>
      <c r="H6" s="154" t="s">
        <v>430</v>
      </c>
      <c r="I6" s="155" t="s">
        <v>431</v>
      </c>
      <c r="J6" s="155">
        <v>1300</v>
      </c>
      <c r="K6" s="155" t="s">
        <v>432</v>
      </c>
      <c r="L6" s="151">
        <f t="shared" si="0"/>
        <v>1300</v>
      </c>
      <c r="M6" s="155" t="s">
        <v>1184</v>
      </c>
      <c r="N6" s="157" t="s">
        <v>435</v>
      </c>
      <c r="O6" s="154" t="s">
        <v>433</v>
      </c>
      <c r="P6" s="155"/>
      <c r="Q6" s="155"/>
      <c r="R6" s="155"/>
      <c r="S6" s="155"/>
      <c r="T6" s="155" t="s">
        <v>1182</v>
      </c>
    </row>
    <row r="7" spans="1:20" ht="39.75" customHeight="1" x14ac:dyDescent="0.25"/>
    <row r="18" spans="8:8" x14ac:dyDescent="0.25">
      <c r="H18" t="s">
        <v>633</v>
      </c>
    </row>
  </sheetData>
  <autoFilter ref="A2:T6" xr:uid="{E61B5773-9483-4694-84B6-ADC78BFCF28D}"/>
  <mergeCells count="1">
    <mergeCell ref="A1:T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C7D3F-0640-426B-BDAE-280CDD6B99CE}">
  <sheetPr>
    <tabColor rgb="FFFFC000"/>
  </sheetPr>
  <dimension ref="A1:H110"/>
  <sheetViews>
    <sheetView topLeftCell="A7" zoomScaleNormal="100" zoomScaleSheetLayoutView="112" workbookViewId="0">
      <selection activeCell="J79" sqref="J79"/>
    </sheetView>
  </sheetViews>
  <sheetFormatPr defaultRowHeight="15" x14ac:dyDescent="0.25"/>
  <cols>
    <col min="1" max="1" width="9.140625" style="58"/>
    <col min="2" max="2" width="36.42578125" style="178" customWidth="1"/>
    <col min="3" max="3" width="9.42578125" style="192" bestFit="1" customWidth="1"/>
    <col min="4" max="4" width="17" bestFit="1" customWidth="1"/>
    <col min="5" max="5" width="16.42578125" bestFit="1" customWidth="1"/>
    <col min="6" max="6" width="9.85546875" hidden="1" customWidth="1"/>
    <col min="7" max="7" width="10.28515625" hidden="1" customWidth="1"/>
    <col min="8" max="8" width="11.140625" hidden="1" customWidth="1"/>
  </cols>
  <sheetData>
    <row r="1" spans="1:8" s="14" customFormat="1" ht="28.5" customHeight="1" x14ac:dyDescent="0.25">
      <c r="A1" s="89" t="s">
        <v>970</v>
      </c>
      <c r="B1" s="180" t="s">
        <v>4</v>
      </c>
      <c r="C1" s="180" t="s">
        <v>6</v>
      </c>
      <c r="D1" s="89" t="s">
        <v>964</v>
      </c>
      <c r="E1" s="89" t="s">
        <v>963</v>
      </c>
      <c r="F1" s="185" t="s">
        <v>961</v>
      </c>
      <c r="G1" s="185" t="s">
        <v>962</v>
      </c>
      <c r="H1" s="89" t="s">
        <v>969</v>
      </c>
    </row>
    <row r="2" spans="1:8" x14ac:dyDescent="0.25">
      <c r="A2" s="58">
        <v>1</v>
      </c>
      <c r="B2" t="s">
        <v>923</v>
      </c>
      <c r="C2" s="58" t="s">
        <v>30</v>
      </c>
      <c r="D2" s="179">
        <v>500332</v>
      </c>
      <c r="E2" s="179">
        <v>500332</v>
      </c>
      <c r="F2" s="179"/>
      <c r="G2" s="179"/>
      <c r="H2" s="179"/>
    </row>
    <row r="3" spans="1:8" x14ac:dyDescent="0.25">
      <c r="A3" s="58">
        <v>2</v>
      </c>
      <c r="B3" t="s">
        <v>944</v>
      </c>
      <c r="C3" s="58" t="s">
        <v>68</v>
      </c>
      <c r="D3" s="194">
        <v>16929</v>
      </c>
      <c r="E3" s="182">
        <v>1248</v>
      </c>
      <c r="F3" s="182">
        <v>2080</v>
      </c>
      <c r="G3" s="182">
        <v>6240</v>
      </c>
      <c r="H3" s="193">
        <v>4992</v>
      </c>
    </row>
    <row r="4" spans="1:8" x14ac:dyDescent="0.25">
      <c r="A4" s="58">
        <v>3</v>
      </c>
      <c r="B4" t="s">
        <v>925</v>
      </c>
      <c r="C4" s="58" t="s">
        <v>68</v>
      </c>
      <c r="D4" s="179">
        <v>6322</v>
      </c>
      <c r="E4" s="179">
        <v>208</v>
      </c>
      <c r="F4" s="179"/>
      <c r="G4" s="179"/>
      <c r="H4" s="179"/>
    </row>
    <row r="5" spans="1:8" x14ac:dyDescent="0.25">
      <c r="A5" s="58">
        <v>4</v>
      </c>
      <c r="B5" s="183" t="s">
        <v>854</v>
      </c>
      <c r="C5" s="189" t="s">
        <v>68</v>
      </c>
      <c r="D5" s="186">
        <v>1248</v>
      </c>
      <c r="E5" s="182">
        <v>208</v>
      </c>
      <c r="F5" s="182">
        <v>624</v>
      </c>
      <c r="G5" s="182">
        <v>1248</v>
      </c>
      <c r="H5" s="182">
        <v>832</v>
      </c>
    </row>
    <row r="6" spans="1:8" ht="30" x14ac:dyDescent="0.25">
      <c r="A6" s="58">
        <v>5</v>
      </c>
      <c r="B6" s="195" t="s">
        <v>846</v>
      </c>
      <c r="C6" s="58" t="s">
        <v>68</v>
      </c>
      <c r="D6" s="179">
        <v>2090</v>
      </c>
      <c r="E6" s="179">
        <v>0</v>
      </c>
      <c r="F6" s="179"/>
      <c r="G6" s="179"/>
      <c r="H6" s="179"/>
    </row>
    <row r="7" spans="1:8" x14ac:dyDescent="0.25">
      <c r="A7" s="58">
        <v>6</v>
      </c>
      <c r="B7" t="s">
        <v>357</v>
      </c>
      <c r="C7" s="58" t="s">
        <v>68</v>
      </c>
      <c r="D7" s="179">
        <v>20</v>
      </c>
      <c r="E7" s="179">
        <v>0</v>
      </c>
      <c r="F7" s="179"/>
      <c r="G7" s="179"/>
      <c r="H7" s="179"/>
    </row>
    <row r="8" spans="1:8" x14ac:dyDescent="0.25">
      <c r="A8" s="58">
        <v>7</v>
      </c>
      <c r="B8" t="s">
        <v>938</v>
      </c>
      <c r="C8" s="58" t="s">
        <v>68</v>
      </c>
      <c r="D8" s="194">
        <v>208</v>
      </c>
      <c r="E8" s="179">
        <v>0</v>
      </c>
      <c r="F8" s="179">
        <v>110</v>
      </c>
      <c r="G8" s="179">
        <v>416</v>
      </c>
      <c r="H8" s="179"/>
    </row>
    <row r="9" spans="1:8" x14ac:dyDescent="0.25">
      <c r="A9" s="58">
        <v>8</v>
      </c>
      <c r="B9" t="s">
        <v>945</v>
      </c>
      <c r="C9" s="58" t="s">
        <v>68</v>
      </c>
      <c r="D9" s="179">
        <v>208</v>
      </c>
      <c r="E9" s="179">
        <v>0</v>
      </c>
      <c r="F9" s="179"/>
      <c r="G9" s="179"/>
      <c r="H9" s="179"/>
    </row>
    <row r="10" spans="1:8" x14ac:dyDescent="0.25">
      <c r="A10" s="58">
        <v>9</v>
      </c>
      <c r="B10" t="s">
        <v>946</v>
      </c>
      <c r="C10" s="58" t="s">
        <v>68</v>
      </c>
      <c r="D10" s="179">
        <v>208</v>
      </c>
      <c r="E10" s="179">
        <v>0</v>
      </c>
      <c r="F10" s="179"/>
      <c r="G10" s="179"/>
      <c r="H10" s="179"/>
    </row>
    <row r="11" spans="1:8" x14ac:dyDescent="0.25">
      <c r="A11" s="58">
        <v>10</v>
      </c>
      <c r="B11" s="184" t="s">
        <v>841</v>
      </c>
      <c r="C11" s="188" t="s">
        <v>68</v>
      </c>
      <c r="D11" s="186">
        <v>208</v>
      </c>
      <c r="E11" s="182">
        <v>196</v>
      </c>
      <c r="F11" s="182">
        <v>28</v>
      </c>
      <c r="G11" s="182">
        <v>208</v>
      </c>
      <c r="H11" s="182"/>
    </row>
    <row r="12" spans="1:8" x14ac:dyDescent="0.25">
      <c r="A12" s="58">
        <v>11</v>
      </c>
      <c r="B12" s="184" t="s">
        <v>851</v>
      </c>
      <c r="C12" s="58" t="s">
        <v>68</v>
      </c>
      <c r="D12" s="186">
        <v>1456</v>
      </c>
      <c r="E12" s="182">
        <v>624</v>
      </c>
      <c r="F12" s="182">
        <v>416</v>
      </c>
      <c r="G12" s="182">
        <v>832</v>
      </c>
      <c r="H12" s="182">
        <v>624</v>
      </c>
    </row>
    <row r="13" spans="1:8" x14ac:dyDescent="0.25">
      <c r="A13" s="58">
        <v>12</v>
      </c>
      <c r="B13" s="184" t="s">
        <v>842</v>
      </c>
      <c r="C13" s="58" t="s">
        <v>68</v>
      </c>
      <c r="D13" s="186">
        <v>1456</v>
      </c>
      <c r="E13" s="182">
        <v>0</v>
      </c>
      <c r="F13" s="182">
        <v>624</v>
      </c>
      <c r="G13" s="182">
        <v>3120</v>
      </c>
      <c r="H13" s="182">
        <v>3120</v>
      </c>
    </row>
    <row r="14" spans="1:8" x14ac:dyDescent="0.25">
      <c r="A14" s="58">
        <v>13</v>
      </c>
      <c r="B14" s="184" t="s">
        <v>850</v>
      </c>
      <c r="C14" s="188" t="s">
        <v>68</v>
      </c>
      <c r="D14" s="186">
        <v>208</v>
      </c>
      <c r="E14" s="182">
        <v>208</v>
      </c>
      <c r="F14" s="182">
        <v>110</v>
      </c>
      <c r="G14" s="182">
        <v>208</v>
      </c>
      <c r="H14" s="182"/>
    </row>
    <row r="15" spans="1:8" x14ac:dyDescent="0.25">
      <c r="A15" s="58">
        <v>14</v>
      </c>
      <c r="B15" s="184" t="s">
        <v>843</v>
      </c>
      <c r="C15" s="188" t="s">
        <v>68</v>
      </c>
      <c r="D15" s="186">
        <v>208</v>
      </c>
      <c r="E15" s="182">
        <v>181</v>
      </c>
      <c r="F15" s="182">
        <v>45</v>
      </c>
      <c r="G15" s="182">
        <v>208</v>
      </c>
      <c r="H15" s="182"/>
    </row>
    <row r="16" spans="1:8" x14ac:dyDescent="0.25">
      <c r="A16" s="58">
        <v>15</v>
      </c>
      <c r="B16" s="184" t="s">
        <v>867</v>
      </c>
      <c r="C16" s="188" t="s">
        <v>68</v>
      </c>
      <c r="D16" s="186">
        <v>208</v>
      </c>
      <c r="E16" s="182">
        <v>158</v>
      </c>
      <c r="F16" s="182">
        <v>110</v>
      </c>
      <c r="G16" s="182">
        <v>416</v>
      </c>
      <c r="H16" s="182">
        <v>208</v>
      </c>
    </row>
    <row r="17" spans="1:8" x14ac:dyDescent="0.25">
      <c r="A17" s="58">
        <v>16</v>
      </c>
      <c r="B17" s="184" t="s">
        <v>847</v>
      </c>
      <c r="C17" s="188" t="s">
        <v>68</v>
      </c>
      <c r="D17" s="186">
        <v>208</v>
      </c>
      <c r="E17" s="182">
        <v>0</v>
      </c>
      <c r="F17" s="182">
        <v>208</v>
      </c>
      <c r="G17" s="182">
        <v>624</v>
      </c>
      <c r="H17" s="182">
        <v>208</v>
      </c>
    </row>
    <row r="18" spans="1:8" x14ac:dyDescent="0.25">
      <c r="A18" s="58">
        <v>17</v>
      </c>
      <c r="B18" s="184" t="s">
        <v>844</v>
      </c>
      <c r="C18" s="188" t="s">
        <v>68</v>
      </c>
      <c r="D18" s="186">
        <v>832</v>
      </c>
      <c r="E18" s="182">
        <v>0</v>
      </c>
      <c r="F18" s="182">
        <v>416</v>
      </c>
      <c r="G18" s="182">
        <v>832</v>
      </c>
      <c r="H18" s="182">
        <v>832</v>
      </c>
    </row>
    <row r="19" spans="1:8" x14ac:dyDescent="0.25">
      <c r="A19" s="58">
        <v>18</v>
      </c>
      <c r="B19" s="184" t="s">
        <v>845</v>
      </c>
      <c r="C19" s="188" t="s">
        <v>68</v>
      </c>
      <c r="D19" s="186">
        <v>1248</v>
      </c>
      <c r="E19" s="182">
        <v>396</v>
      </c>
      <c r="F19" s="182">
        <v>832</v>
      </c>
      <c r="G19" s="182">
        <v>1664</v>
      </c>
      <c r="H19" s="182">
        <v>832</v>
      </c>
    </row>
    <row r="20" spans="1:8" x14ac:dyDescent="0.25">
      <c r="A20" s="58">
        <v>19</v>
      </c>
      <c r="B20" s="184" t="s">
        <v>914</v>
      </c>
      <c r="C20" s="188" t="s">
        <v>68</v>
      </c>
      <c r="D20" s="186">
        <v>208</v>
      </c>
      <c r="E20" s="182">
        <v>128</v>
      </c>
      <c r="F20" s="182">
        <v>45</v>
      </c>
      <c r="G20" s="182">
        <v>208</v>
      </c>
      <c r="H20" s="182"/>
    </row>
    <row r="21" spans="1:8" x14ac:dyDescent="0.25">
      <c r="A21" s="58">
        <v>20</v>
      </c>
      <c r="B21" s="184" t="s">
        <v>971</v>
      </c>
      <c r="C21" s="188" t="s">
        <v>68</v>
      </c>
      <c r="D21" s="186">
        <v>416</v>
      </c>
      <c r="E21" s="182">
        <v>208</v>
      </c>
      <c r="F21" s="182">
        <v>416</v>
      </c>
      <c r="G21" s="182">
        <v>832</v>
      </c>
      <c r="H21" s="182"/>
    </row>
    <row r="22" spans="1:8" x14ac:dyDescent="0.25">
      <c r="A22" s="58">
        <v>21</v>
      </c>
      <c r="B22" t="s">
        <v>930</v>
      </c>
      <c r="C22" s="58" t="s">
        <v>68</v>
      </c>
      <c r="D22" s="179">
        <v>624</v>
      </c>
      <c r="E22" s="179">
        <v>0</v>
      </c>
      <c r="F22" s="179"/>
      <c r="G22" s="179"/>
      <c r="H22" s="179"/>
    </row>
    <row r="23" spans="1:8" x14ac:dyDescent="0.25">
      <c r="A23" s="58">
        <v>22</v>
      </c>
      <c r="B23" s="184" t="s">
        <v>931</v>
      </c>
      <c r="C23" s="188" t="s">
        <v>68</v>
      </c>
      <c r="D23" s="186">
        <v>416</v>
      </c>
      <c r="E23" s="182">
        <v>98</v>
      </c>
      <c r="F23" s="182">
        <v>208</v>
      </c>
      <c r="G23" s="182">
        <v>416</v>
      </c>
      <c r="H23" s="182">
        <v>208</v>
      </c>
    </row>
    <row r="24" spans="1:8" x14ac:dyDescent="0.25">
      <c r="A24" s="58">
        <v>23</v>
      </c>
      <c r="B24" t="s">
        <v>932</v>
      </c>
      <c r="C24" s="58" t="s">
        <v>68</v>
      </c>
      <c r="D24" s="179">
        <v>208</v>
      </c>
      <c r="E24" s="179">
        <v>0</v>
      </c>
      <c r="F24" s="179"/>
      <c r="G24" s="179"/>
      <c r="H24" s="179"/>
    </row>
    <row r="25" spans="1:8" x14ac:dyDescent="0.25">
      <c r="A25" s="58">
        <v>24</v>
      </c>
      <c r="B25" t="s">
        <v>849</v>
      </c>
      <c r="C25" s="58" t="s">
        <v>68</v>
      </c>
      <c r="D25" s="179">
        <v>416</v>
      </c>
      <c r="E25" s="179">
        <v>416</v>
      </c>
      <c r="F25" s="179"/>
      <c r="G25" s="179"/>
      <c r="H25" s="179"/>
    </row>
    <row r="26" spans="1:8" x14ac:dyDescent="0.25">
      <c r="A26" s="58">
        <v>25</v>
      </c>
      <c r="B26" t="s">
        <v>926</v>
      </c>
      <c r="C26" s="58" t="s">
        <v>68</v>
      </c>
      <c r="D26" s="179">
        <v>474240</v>
      </c>
      <c r="E26" s="179">
        <v>33980</v>
      </c>
      <c r="F26" s="179"/>
      <c r="G26" s="179"/>
      <c r="H26" s="179"/>
    </row>
    <row r="27" spans="1:8" x14ac:dyDescent="0.25">
      <c r="A27" s="58">
        <v>26</v>
      </c>
      <c r="B27" t="s">
        <v>939</v>
      </c>
      <c r="C27" s="58" t="s">
        <v>68</v>
      </c>
      <c r="D27" s="179">
        <v>169</v>
      </c>
      <c r="E27" s="179">
        <v>0</v>
      </c>
      <c r="F27" s="179"/>
      <c r="G27" s="179"/>
      <c r="H27" s="179"/>
    </row>
    <row r="28" spans="1:8" x14ac:dyDescent="0.25">
      <c r="A28" s="58">
        <v>27</v>
      </c>
      <c r="B28" s="184" t="s">
        <v>940</v>
      </c>
      <c r="C28" s="188" t="s">
        <v>68</v>
      </c>
      <c r="D28" s="186">
        <v>208</v>
      </c>
      <c r="E28" s="182">
        <v>0</v>
      </c>
      <c r="F28" s="182">
        <v>110</v>
      </c>
      <c r="G28" s="182">
        <v>416</v>
      </c>
      <c r="H28" s="182">
        <v>416</v>
      </c>
    </row>
    <row r="29" spans="1:8" x14ac:dyDescent="0.25">
      <c r="A29" s="58">
        <v>28</v>
      </c>
      <c r="B29" s="184" t="s">
        <v>941</v>
      </c>
      <c r="C29" s="188" t="s">
        <v>68</v>
      </c>
      <c r="D29" s="186">
        <v>416</v>
      </c>
      <c r="E29" s="182">
        <v>416</v>
      </c>
      <c r="F29" s="182">
        <v>110</v>
      </c>
      <c r="G29" s="182">
        <v>208</v>
      </c>
      <c r="H29" s="182"/>
    </row>
    <row r="30" spans="1:8" x14ac:dyDescent="0.25">
      <c r="A30" s="58">
        <v>29</v>
      </c>
      <c r="B30" s="184" t="s">
        <v>868</v>
      </c>
      <c r="C30" s="188" t="s">
        <v>68</v>
      </c>
      <c r="D30" s="186">
        <v>1664</v>
      </c>
      <c r="E30" s="182">
        <v>206</v>
      </c>
      <c r="F30" s="182">
        <v>832</v>
      </c>
      <c r="G30" s="182">
        <v>1664</v>
      </c>
      <c r="H30" s="182">
        <v>1248</v>
      </c>
    </row>
    <row r="31" spans="1:8" x14ac:dyDescent="0.25">
      <c r="A31" s="58">
        <v>30</v>
      </c>
      <c r="B31" s="184" t="s">
        <v>942</v>
      </c>
      <c r="C31" s="188" t="s">
        <v>68</v>
      </c>
      <c r="D31" s="186">
        <v>208</v>
      </c>
      <c r="E31" s="182">
        <v>0</v>
      </c>
      <c r="F31" s="182">
        <v>45</v>
      </c>
      <c r="G31" s="182">
        <v>208</v>
      </c>
      <c r="H31" s="182">
        <v>208</v>
      </c>
    </row>
    <row r="32" spans="1:8" x14ac:dyDescent="0.25">
      <c r="A32" s="58">
        <v>31</v>
      </c>
      <c r="B32" s="184" t="s">
        <v>640</v>
      </c>
      <c r="C32" s="188" t="s">
        <v>68</v>
      </c>
      <c r="D32" s="186">
        <v>832</v>
      </c>
      <c r="E32" s="182">
        <v>677.5</v>
      </c>
      <c r="F32" s="182">
        <v>110</v>
      </c>
      <c r="G32" s="182">
        <v>416</v>
      </c>
      <c r="H32" s="182"/>
    </row>
    <row r="33" spans="1:8" x14ac:dyDescent="0.25">
      <c r="A33" s="58">
        <v>32</v>
      </c>
      <c r="B33" s="184" t="s">
        <v>908</v>
      </c>
      <c r="C33" s="188" t="s">
        <v>68</v>
      </c>
      <c r="D33" s="186">
        <v>220</v>
      </c>
      <c r="E33" s="182">
        <v>11</v>
      </c>
      <c r="F33" s="182">
        <v>12</v>
      </c>
      <c r="G33" s="182">
        <v>25</v>
      </c>
      <c r="H33" s="182">
        <v>25</v>
      </c>
    </row>
    <row r="34" spans="1:8" x14ac:dyDescent="0.25">
      <c r="A34" s="58">
        <v>33</v>
      </c>
      <c r="B34" t="s">
        <v>920</v>
      </c>
      <c r="C34" s="58" t="s">
        <v>68</v>
      </c>
      <c r="D34" s="179">
        <v>20</v>
      </c>
      <c r="E34" s="179">
        <v>20</v>
      </c>
      <c r="F34" s="179"/>
      <c r="G34" s="179"/>
      <c r="H34" s="179"/>
    </row>
    <row r="35" spans="1:8" x14ac:dyDescent="0.25">
      <c r="A35" s="58">
        <v>34</v>
      </c>
      <c r="B35" t="s">
        <v>860</v>
      </c>
      <c r="C35" s="58" t="s">
        <v>68</v>
      </c>
      <c r="D35" s="194">
        <v>2080</v>
      </c>
      <c r="E35" s="179">
        <v>1198</v>
      </c>
      <c r="F35" s="179">
        <v>1040</v>
      </c>
      <c r="G35" s="179">
        <v>3120</v>
      </c>
      <c r="H35" s="179"/>
    </row>
    <row r="36" spans="1:8" x14ac:dyDescent="0.25">
      <c r="A36" s="58">
        <v>35</v>
      </c>
      <c r="B36" t="s">
        <v>399</v>
      </c>
      <c r="C36" s="58" t="s">
        <v>68</v>
      </c>
      <c r="D36" s="179">
        <v>416</v>
      </c>
      <c r="E36" s="179">
        <v>208</v>
      </c>
      <c r="F36" s="179"/>
      <c r="G36" s="179"/>
      <c r="H36" s="179"/>
    </row>
    <row r="37" spans="1:8" x14ac:dyDescent="0.25">
      <c r="A37" s="58">
        <v>36</v>
      </c>
      <c r="B37" s="184" t="s">
        <v>919</v>
      </c>
      <c r="C37" s="58" t="s">
        <v>68</v>
      </c>
      <c r="D37" s="186">
        <v>9776</v>
      </c>
      <c r="E37" s="182">
        <v>5824</v>
      </c>
      <c r="F37" s="182">
        <v>2080</v>
      </c>
      <c r="G37" s="182">
        <v>9360</v>
      </c>
      <c r="H37" s="182"/>
    </row>
    <row r="38" spans="1:8" x14ac:dyDescent="0.25">
      <c r="A38" s="58">
        <v>37</v>
      </c>
      <c r="B38" t="s">
        <v>306</v>
      </c>
      <c r="C38" s="58" t="s">
        <v>68</v>
      </c>
      <c r="D38" s="179">
        <v>20</v>
      </c>
      <c r="E38" s="179">
        <v>20</v>
      </c>
      <c r="F38" s="179"/>
      <c r="G38" s="179"/>
      <c r="H38" s="179"/>
    </row>
    <row r="39" spans="1:8" x14ac:dyDescent="0.25">
      <c r="A39" s="58">
        <v>38</v>
      </c>
      <c r="B39" t="s">
        <v>304</v>
      </c>
      <c r="C39" s="58" t="s">
        <v>68</v>
      </c>
      <c r="D39" s="179">
        <v>20</v>
      </c>
      <c r="E39" s="179">
        <v>20</v>
      </c>
      <c r="F39" s="179"/>
      <c r="G39" s="179"/>
      <c r="H39" s="179"/>
    </row>
    <row r="40" spans="1:8" x14ac:dyDescent="0.25">
      <c r="A40" s="58">
        <v>39</v>
      </c>
      <c r="B40" t="s">
        <v>937</v>
      </c>
      <c r="C40" s="58" t="s">
        <v>68</v>
      </c>
      <c r="D40" s="179">
        <v>416</v>
      </c>
      <c r="E40" s="179">
        <v>416</v>
      </c>
      <c r="F40" s="179"/>
      <c r="G40" s="179"/>
      <c r="H40" s="179"/>
    </row>
    <row r="41" spans="1:8" x14ac:dyDescent="0.25">
      <c r="A41" s="58">
        <v>40</v>
      </c>
      <c r="B41" s="184" t="s">
        <v>921</v>
      </c>
      <c r="C41" s="58" t="s">
        <v>68</v>
      </c>
      <c r="D41" s="186">
        <v>1080</v>
      </c>
      <c r="E41" s="182">
        <v>180</v>
      </c>
      <c r="F41" s="182">
        <v>416</v>
      </c>
      <c r="G41" s="182">
        <v>832</v>
      </c>
      <c r="H41" s="182">
        <v>832</v>
      </c>
    </row>
    <row r="42" spans="1:8" x14ac:dyDescent="0.25">
      <c r="A42" s="58">
        <v>41</v>
      </c>
      <c r="B42" t="s">
        <v>859</v>
      </c>
      <c r="C42" s="58" t="s">
        <v>68</v>
      </c>
      <c r="D42" s="179">
        <v>416</v>
      </c>
      <c r="E42" s="179">
        <v>0</v>
      </c>
      <c r="F42" s="179"/>
      <c r="G42" s="179"/>
      <c r="H42" s="179"/>
    </row>
    <row r="43" spans="1:8" x14ac:dyDescent="0.25">
      <c r="A43" s="58">
        <v>42</v>
      </c>
      <c r="B43" t="s">
        <v>852</v>
      </c>
      <c r="C43" s="58" t="s">
        <v>68</v>
      </c>
      <c r="D43" s="179">
        <v>209</v>
      </c>
      <c r="E43" s="179">
        <v>114</v>
      </c>
      <c r="F43" s="179"/>
      <c r="G43" s="179"/>
      <c r="H43" s="179"/>
    </row>
    <row r="44" spans="1:8" x14ac:dyDescent="0.25">
      <c r="A44" s="58">
        <v>43</v>
      </c>
      <c r="B44" t="s">
        <v>853</v>
      </c>
      <c r="C44" s="58" t="s">
        <v>68</v>
      </c>
      <c r="D44" s="179">
        <v>20</v>
      </c>
      <c r="E44" s="179">
        <v>10</v>
      </c>
      <c r="F44" s="179"/>
      <c r="G44" s="179"/>
      <c r="H44" s="179"/>
    </row>
    <row r="45" spans="1:8" x14ac:dyDescent="0.25">
      <c r="A45" s="58">
        <v>44</v>
      </c>
      <c r="B45" t="s">
        <v>855</v>
      </c>
      <c r="C45" s="58" t="s">
        <v>68</v>
      </c>
      <c r="D45" s="179">
        <v>40</v>
      </c>
      <c r="E45" s="179">
        <v>20</v>
      </c>
      <c r="F45" s="179"/>
      <c r="G45" s="179"/>
      <c r="H45" s="179"/>
    </row>
    <row r="46" spans="1:8" x14ac:dyDescent="0.25">
      <c r="A46" s="58">
        <v>45</v>
      </c>
      <c r="B46" t="s">
        <v>856</v>
      </c>
      <c r="C46" s="58" t="s">
        <v>68</v>
      </c>
      <c r="D46" s="179">
        <v>20</v>
      </c>
      <c r="E46" s="179">
        <v>20</v>
      </c>
      <c r="F46" s="179"/>
      <c r="G46" s="179"/>
      <c r="H46" s="179"/>
    </row>
    <row r="47" spans="1:8" x14ac:dyDescent="0.25">
      <c r="A47" s="58">
        <v>46</v>
      </c>
      <c r="B47" t="s">
        <v>857</v>
      </c>
      <c r="C47" s="58" t="s">
        <v>68</v>
      </c>
      <c r="D47" s="179">
        <v>20</v>
      </c>
      <c r="E47" s="179">
        <v>20</v>
      </c>
      <c r="F47" s="179"/>
      <c r="G47" s="179"/>
      <c r="H47" s="179"/>
    </row>
    <row r="48" spans="1:8" x14ac:dyDescent="0.25">
      <c r="A48" s="58">
        <v>47</v>
      </c>
      <c r="B48" t="s">
        <v>917</v>
      </c>
      <c r="C48" s="58" t="s">
        <v>68</v>
      </c>
      <c r="D48" s="179">
        <v>20</v>
      </c>
      <c r="E48" s="179">
        <v>0</v>
      </c>
      <c r="F48" s="179"/>
      <c r="G48" s="179"/>
      <c r="H48" s="179"/>
    </row>
    <row r="49" spans="1:8" x14ac:dyDescent="0.25">
      <c r="A49" s="58">
        <v>48</v>
      </c>
      <c r="B49" t="s">
        <v>848</v>
      </c>
      <c r="C49" s="58" t="s">
        <v>68</v>
      </c>
      <c r="D49" s="179">
        <v>80</v>
      </c>
      <c r="E49" s="179">
        <v>0</v>
      </c>
      <c r="F49" s="179"/>
      <c r="G49" s="179"/>
      <c r="H49" s="179"/>
    </row>
    <row r="50" spans="1:8" x14ac:dyDescent="0.25">
      <c r="A50" s="58">
        <v>49</v>
      </c>
      <c r="B50" s="184" t="s">
        <v>915</v>
      </c>
      <c r="C50" s="58" t="s">
        <v>68</v>
      </c>
      <c r="D50" s="186">
        <v>836</v>
      </c>
      <c r="E50" s="182">
        <v>806</v>
      </c>
      <c r="F50" s="182">
        <v>208</v>
      </c>
      <c r="G50" s="182">
        <v>624</v>
      </c>
      <c r="H50" s="182"/>
    </row>
    <row r="51" spans="1:8" x14ac:dyDescent="0.25">
      <c r="A51" s="58">
        <v>50</v>
      </c>
      <c r="B51" t="s">
        <v>467</v>
      </c>
      <c r="C51" s="58" t="s">
        <v>68</v>
      </c>
      <c r="D51" s="179">
        <v>64064</v>
      </c>
      <c r="E51" s="179">
        <v>63648</v>
      </c>
      <c r="F51" s="179"/>
      <c r="G51" s="179"/>
      <c r="H51" s="179"/>
    </row>
    <row r="52" spans="1:8" x14ac:dyDescent="0.25">
      <c r="A52" s="58">
        <v>51</v>
      </c>
      <c r="B52" t="s">
        <v>641</v>
      </c>
      <c r="C52" s="58" t="s">
        <v>68</v>
      </c>
      <c r="D52" s="179">
        <v>420</v>
      </c>
      <c r="E52" s="179">
        <v>400</v>
      </c>
      <c r="F52" s="179"/>
      <c r="G52" s="179"/>
      <c r="H52" s="179"/>
    </row>
    <row r="53" spans="1:8" x14ac:dyDescent="0.25">
      <c r="A53" s="58">
        <v>52</v>
      </c>
      <c r="B53" t="s">
        <v>972</v>
      </c>
      <c r="C53" t="s">
        <v>68</v>
      </c>
      <c r="D53" s="179">
        <v>100</v>
      </c>
      <c r="E53" s="179">
        <v>40</v>
      </c>
      <c r="F53" s="179">
        <v>50</v>
      </c>
      <c r="G53" s="179">
        <v>150</v>
      </c>
      <c r="H53" s="179"/>
    </row>
    <row r="54" spans="1:8" x14ac:dyDescent="0.25">
      <c r="B54" s="58" t="s">
        <v>912</v>
      </c>
      <c r="C54" s="58"/>
      <c r="D54" s="179">
        <v>1093915</v>
      </c>
      <c r="E54" s="179">
        <v>612863.5</v>
      </c>
      <c r="F54" s="179">
        <v>11285</v>
      </c>
      <c r="G54" s="179">
        <v>34495</v>
      </c>
      <c r="H54" s="179">
        <v>14585</v>
      </c>
    </row>
    <row r="55" spans="1:8" x14ac:dyDescent="0.25">
      <c r="B55"/>
      <c r="C55" s="58"/>
    </row>
    <row r="56" spans="1:8" x14ac:dyDescent="0.25">
      <c r="B56"/>
      <c r="C56" s="190"/>
      <c r="D56" s="187" t="s">
        <v>965</v>
      </c>
    </row>
    <row r="57" spans="1:8" x14ac:dyDescent="0.25">
      <c r="B57"/>
      <c r="C57" s="191"/>
      <c r="D57" s="181" t="s">
        <v>966</v>
      </c>
    </row>
    <row r="58" spans="1:8" x14ac:dyDescent="0.25">
      <c r="B58"/>
      <c r="C58" s="58"/>
      <c r="D58" s="183" t="s">
        <v>967</v>
      </c>
    </row>
    <row r="59" spans="1:8" x14ac:dyDescent="0.25">
      <c r="B59"/>
      <c r="C59" s="58"/>
    </row>
    <row r="60" spans="1:8" x14ac:dyDescent="0.25">
      <c r="B60"/>
      <c r="C60" s="58"/>
    </row>
    <row r="61" spans="1:8" x14ac:dyDescent="0.25">
      <c r="B61"/>
      <c r="C61" s="58"/>
    </row>
    <row r="62" spans="1:8" x14ac:dyDescent="0.25">
      <c r="B62"/>
      <c r="C62" s="58"/>
    </row>
    <row r="63" spans="1:8" x14ac:dyDescent="0.25">
      <c r="B63"/>
      <c r="C63" s="58"/>
    </row>
    <row r="64" spans="1:8" x14ac:dyDescent="0.25">
      <c r="B64"/>
      <c r="C64" s="58"/>
    </row>
    <row r="65" spans="2:3" x14ac:dyDescent="0.25">
      <c r="B65"/>
      <c r="C65" s="58"/>
    </row>
    <row r="66" spans="2:3" x14ac:dyDescent="0.25">
      <c r="B66"/>
      <c r="C66" s="58"/>
    </row>
    <row r="67" spans="2:3" x14ac:dyDescent="0.25">
      <c r="B67"/>
      <c r="C67" s="58"/>
    </row>
    <row r="68" spans="2:3" x14ac:dyDescent="0.25">
      <c r="B68"/>
      <c r="C68" s="58"/>
    </row>
    <row r="69" spans="2:3" x14ac:dyDescent="0.25">
      <c r="B69"/>
      <c r="C69" s="58"/>
    </row>
    <row r="70" spans="2:3" x14ac:dyDescent="0.25">
      <c r="B70"/>
      <c r="C70" s="58"/>
    </row>
    <row r="71" spans="2:3" x14ac:dyDescent="0.25">
      <c r="B71"/>
      <c r="C71" s="58"/>
    </row>
    <row r="72" spans="2:3" x14ac:dyDescent="0.25">
      <c r="B72"/>
      <c r="C72" s="58"/>
    </row>
    <row r="73" spans="2:3" x14ac:dyDescent="0.25">
      <c r="B73"/>
      <c r="C73" s="58"/>
    </row>
    <row r="74" spans="2:3" x14ac:dyDescent="0.25">
      <c r="B74"/>
      <c r="C74" s="58"/>
    </row>
    <row r="75" spans="2:3" x14ac:dyDescent="0.25">
      <c r="B75"/>
      <c r="C75" s="58"/>
    </row>
    <row r="76" spans="2:3" x14ac:dyDescent="0.25">
      <c r="B76"/>
      <c r="C76" s="58"/>
    </row>
    <row r="77" spans="2:3" x14ac:dyDescent="0.25">
      <c r="B77"/>
      <c r="C77" s="58"/>
    </row>
    <row r="78" spans="2:3" x14ac:dyDescent="0.25">
      <c r="B78"/>
      <c r="C78" s="58"/>
    </row>
    <row r="79" spans="2:3" x14ac:dyDescent="0.25">
      <c r="B79"/>
      <c r="C79" s="58"/>
    </row>
    <row r="80" spans="2:3" x14ac:dyDescent="0.25">
      <c r="B80"/>
      <c r="C80" s="58"/>
    </row>
    <row r="81" spans="2:3" x14ac:dyDescent="0.25">
      <c r="B81"/>
      <c r="C81" s="58"/>
    </row>
    <row r="82" spans="2:3" x14ac:dyDescent="0.25">
      <c r="B82"/>
      <c r="C82" s="58"/>
    </row>
    <row r="83" spans="2:3" x14ac:dyDescent="0.25">
      <c r="B83"/>
      <c r="C83" s="58"/>
    </row>
    <row r="84" spans="2:3" x14ac:dyDescent="0.25">
      <c r="B84"/>
      <c r="C84" s="58"/>
    </row>
    <row r="85" spans="2:3" x14ac:dyDescent="0.25">
      <c r="B85"/>
      <c r="C85" s="58"/>
    </row>
    <row r="86" spans="2:3" x14ac:dyDescent="0.25">
      <c r="B86"/>
      <c r="C86" s="58"/>
    </row>
    <row r="87" spans="2:3" x14ac:dyDescent="0.25">
      <c r="B87"/>
      <c r="C87" s="58"/>
    </row>
    <row r="88" spans="2:3" x14ac:dyDescent="0.25">
      <c r="B88"/>
      <c r="C88" s="58"/>
    </row>
    <row r="89" spans="2:3" x14ac:dyDescent="0.25">
      <c r="B89"/>
      <c r="C89" s="58"/>
    </row>
    <row r="90" spans="2:3" x14ac:dyDescent="0.25">
      <c r="B90"/>
      <c r="C90" s="58"/>
    </row>
    <row r="91" spans="2:3" x14ac:dyDescent="0.25">
      <c r="B91"/>
      <c r="C91" s="58"/>
    </row>
    <row r="92" spans="2:3" x14ac:dyDescent="0.25">
      <c r="B92"/>
      <c r="C92" s="58"/>
    </row>
    <row r="93" spans="2:3" x14ac:dyDescent="0.25">
      <c r="B93"/>
      <c r="C93" s="58"/>
    </row>
    <row r="94" spans="2:3" x14ac:dyDescent="0.25">
      <c r="B94"/>
      <c r="C94" s="58"/>
    </row>
    <row r="95" spans="2:3" x14ac:dyDescent="0.25">
      <c r="B95"/>
      <c r="C95" s="58"/>
    </row>
    <row r="96" spans="2:3" x14ac:dyDescent="0.25">
      <c r="B96"/>
      <c r="C96" s="58"/>
    </row>
    <row r="97" spans="2:3" x14ac:dyDescent="0.25">
      <c r="B97"/>
      <c r="C97" s="58"/>
    </row>
    <row r="98" spans="2:3" x14ac:dyDescent="0.25">
      <c r="B98"/>
      <c r="C98" s="58"/>
    </row>
    <row r="99" spans="2:3" x14ac:dyDescent="0.25">
      <c r="B99"/>
      <c r="C99" s="58"/>
    </row>
    <row r="100" spans="2:3" x14ac:dyDescent="0.25">
      <c r="B100"/>
      <c r="C100" s="58"/>
    </row>
    <row r="101" spans="2:3" x14ac:dyDescent="0.25">
      <c r="B101"/>
      <c r="C101" s="58"/>
    </row>
    <row r="102" spans="2:3" x14ac:dyDescent="0.25">
      <c r="B102"/>
      <c r="C102" s="58"/>
    </row>
    <row r="103" spans="2:3" x14ac:dyDescent="0.25">
      <c r="B103"/>
      <c r="C103" s="58"/>
    </row>
    <row r="104" spans="2:3" x14ac:dyDescent="0.25">
      <c r="B104"/>
      <c r="C104" s="58"/>
    </row>
    <row r="105" spans="2:3" x14ac:dyDescent="0.25">
      <c r="B105"/>
      <c r="C105" s="58"/>
    </row>
    <row r="106" spans="2:3" x14ac:dyDescent="0.25">
      <c r="B106"/>
      <c r="C106" s="58"/>
    </row>
    <row r="107" spans="2:3" x14ac:dyDescent="0.25">
      <c r="B107"/>
      <c r="C107" s="58"/>
    </row>
    <row r="108" spans="2:3" x14ac:dyDescent="0.25">
      <c r="B108"/>
      <c r="C108" s="58"/>
    </row>
    <row r="109" spans="2:3" x14ac:dyDescent="0.25">
      <c r="B109"/>
      <c r="C109" s="58"/>
    </row>
    <row r="110" spans="2:3" x14ac:dyDescent="0.25">
      <c r="B110"/>
      <c r="C110" s="58"/>
    </row>
  </sheetData>
  <autoFilter ref="A1:H54" xr:uid="{AA0E2D6A-A94D-4E01-9165-CE77641CDDC1}"/>
  <conditionalFormatting sqref="B1:B1048576">
    <cfRule type="duplicateValues" dxfId="236" priority="30"/>
  </conditionalFormatting>
  <conditionalFormatting pivot="1" sqref="E3">
    <cfRule type="cellIs" dxfId="235" priority="29" operator="lessThan">
      <formula>2080</formula>
    </cfRule>
  </conditionalFormatting>
  <conditionalFormatting pivot="1" sqref="E11">
    <cfRule type="cellIs" dxfId="234" priority="28" operator="lessThan">
      <formula>28</formula>
    </cfRule>
  </conditionalFormatting>
  <conditionalFormatting pivot="1" sqref="E5">
    <cfRule type="cellIs" dxfId="233" priority="27" operator="lessThan">
      <formula>624</formula>
    </cfRule>
  </conditionalFormatting>
  <conditionalFormatting pivot="1" sqref="E8">
    <cfRule type="cellIs" dxfId="232" priority="26" operator="lessThan">
      <formula>110</formula>
    </cfRule>
  </conditionalFormatting>
  <conditionalFormatting pivot="1" sqref="E11">
    <cfRule type="cellIs" dxfId="231" priority="25" operator="lessThan">
      <formula>28</formula>
    </cfRule>
  </conditionalFormatting>
  <conditionalFormatting pivot="1" sqref="E12">
    <cfRule type="cellIs" dxfId="230" priority="24" operator="lessThan">
      <formula>416</formula>
    </cfRule>
  </conditionalFormatting>
  <conditionalFormatting pivot="1" sqref="E13">
    <cfRule type="cellIs" dxfId="229" priority="23" operator="lessThan">
      <formula>624</formula>
    </cfRule>
  </conditionalFormatting>
  <conditionalFormatting pivot="1" sqref="E14">
    <cfRule type="cellIs" dxfId="228" priority="22" operator="lessThan">
      <formula>110</formula>
    </cfRule>
  </conditionalFormatting>
  <conditionalFormatting pivot="1" sqref="E15">
    <cfRule type="cellIs" dxfId="227" priority="21" operator="lessThan">
      <formula>45</formula>
    </cfRule>
  </conditionalFormatting>
  <conditionalFormatting pivot="1" sqref="E16">
    <cfRule type="cellIs" dxfId="226" priority="20" operator="lessThan">
      <formula>110</formula>
    </cfRule>
  </conditionalFormatting>
  <conditionalFormatting pivot="1" sqref="E17">
    <cfRule type="cellIs" dxfId="225" priority="19" operator="lessThan">
      <formula>208</formula>
    </cfRule>
  </conditionalFormatting>
  <conditionalFormatting pivot="1" sqref="E18">
    <cfRule type="cellIs" dxfId="224" priority="18" operator="lessThan">
      <formula>416</formula>
    </cfRule>
  </conditionalFormatting>
  <conditionalFormatting pivot="1" sqref="E19">
    <cfRule type="cellIs" dxfId="223" priority="17" operator="lessThan">
      <formula>832</formula>
    </cfRule>
  </conditionalFormatting>
  <conditionalFormatting pivot="1" sqref="E20">
    <cfRule type="cellIs" dxfId="222" priority="16" operator="lessThan">
      <formula>45</formula>
    </cfRule>
  </conditionalFormatting>
  <conditionalFormatting pivot="1" sqref="E20">
    <cfRule type="cellIs" dxfId="221" priority="15" operator="lessThan">
      <formula>45</formula>
    </cfRule>
  </conditionalFormatting>
  <conditionalFormatting pivot="1" sqref="E21">
    <cfRule type="cellIs" dxfId="220" priority="14" operator="lessThan">
      <formula>416</formula>
    </cfRule>
  </conditionalFormatting>
  <conditionalFormatting pivot="1" sqref="E23">
    <cfRule type="cellIs" dxfId="219" priority="13" operator="lessThan">
      <formula>208</formula>
    </cfRule>
  </conditionalFormatting>
  <conditionalFormatting pivot="1" sqref="E28">
    <cfRule type="cellIs" dxfId="218" priority="12" operator="lessThan">
      <formula>110</formula>
    </cfRule>
  </conditionalFormatting>
  <conditionalFormatting pivot="1" sqref="E29">
    <cfRule type="cellIs" dxfId="217" priority="11" operator="lessThan">
      <formula>110</formula>
    </cfRule>
  </conditionalFormatting>
  <conditionalFormatting pivot="1" sqref="E30">
    <cfRule type="cellIs" dxfId="216" priority="10" operator="lessThan">
      <formula>832</formula>
    </cfRule>
  </conditionalFormatting>
  <conditionalFormatting pivot="1" sqref="E31">
    <cfRule type="cellIs" dxfId="215" priority="9" operator="lessThan">
      <formula>45</formula>
    </cfRule>
  </conditionalFormatting>
  <conditionalFormatting pivot="1" sqref="E32">
    <cfRule type="cellIs" dxfId="214" priority="8" operator="lessThan">
      <formula>110</formula>
    </cfRule>
  </conditionalFormatting>
  <conditionalFormatting pivot="1" sqref="E32">
    <cfRule type="cellIs" dxfId="213" priority="7" operator="lessThan">
      <formula>110</formula>
    </cfRule>
  </conditionalFormatting>
  <conditionalFormatting pivot="1" sqref="E33">
    <cfRule type="cellIs" dxfId="212" priority="6" operator="lessThan">
      <formula>12</formula>
    </cfRule>
  </conditionalFormatting>
  <conditionalFormatting pivot="1">
    <cfRule type="cellIs" dxfId="211" priority="5" operator="lessThan">
      <formula>50</formula>
    </cfRule>
  </conditionalFormatting>
  <conditionalFormatting pivot="1" sqref="E35">
    <cfRule type="cellIs" dxfId="210" priority="4" operator="lessThan">
      <formula>1040</formula>
    </cfRule>
  </conditionalFormatting>
  <conditionalFormatting pivot="1" sqref="E37">
    <cfRule type="cellIs" dxfId="209" priority="3" operator="lessThan">
      <formula>2080</formula>
    </cfRule>
  </conditionalFormatting>
  <conditionalFormatting pivot="1" sqref="E41">
    <cfRule type="cellIs" dxfId="208" priority="2" operator="lessThan">
      <formula>416</formula>
    </cfRule>
  </conditionalFormatting>
  <conditionalFormatting pivot="1" sqref="E50">
    <cfRule type="cellIs" dxfId="207" priority="1" operator="lessThan">
      <formula>208</formula>
    </cfRule>
  </conditionalFormatting>
  <pageMargins left="0" right="0.70866141732283472" top="0.74803149606299213" bottom="0.74803149606299213" header="0.31496062992125984" footer="0.31496062992125984"/>
  <pageSetup paperSize="9" scale="92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D8F38-C24B-4B45-9830-0EE85D73726A}">
  <sheetPr>
    <tabColor rgb="FFFF0000"/>
    <pageSetUpPr fitToPage="1"/>
  </sheetPr>
  <dimension ref="A1:Y205"/>
  <sheetViews>
    <sheetView zoomScale="95" zoomScaleNormal="95" workbookViewId="0">
      <pane ySplit="3" topLeftCell="A4" activePane="bottomLeft" state="frozen"/>
      <selection activeCell="G42" sqref="G42"/>
      <selection pane="bottomLeft" activeCell="H89" sqref="H89"/>
    </sheetView>
  </sheetViews>
  <sheetFormatPr defaultColWidth="9.140625" defaultRowHeight="11.25" x14ac:dyDescent="0.25"/>
  <cols>
    <col min="1" max="1" width="7.140625" style="1" customWidth="1"/>
    <col min="2" max="2" width="12.85546875" style="1" customWidth="1"/>
    <col min="3" max="3" width="11.7109375" style="1" customWidth="1"/>
    <col min="4" max="4" width="15.140625" style="1" customWidth="1"/>
    <col min="5" max="5" width="9" style="1" bestFit="1" customWidth="1"/>
    <col min="6" max="6" width="12.85546875" style="1" customWidth="1"/>
    <col min="7" max="7" width="21" style="1" customWidth="1"/>
    <col min="8" max="8" width="23.42578125" style="1" customWidth="1"/>
    <col min="9" max="9" width="43.42578125" style="1" customWidth="1"/>
    <col min="10" max="10" width="10.28515625" style="1" customWidth="1"/>
    <col min="11" max="11" width="18.85546875" style="1" customWidth="1"/>
    <col min="12" max="12" width="8.7109375" style="25" customWidth="1"/>
    <col min="13" max="13" width="8.85546875" style="1" customWidth="1"/>
    <col min="14" max="14" width="12.28515625" style="86" customWidth="1"/>
    <col min="15" max="15" width="9.28515625" style="21" customWidth="1"/>
    <col min="16" max="16" width="18.42578125" style="1" customWidth="1"/>
    <col min="17" max="17" width="12" style="1" customWidth="1"/>
    <col min="18" max="19" width="18" style="1" customWidth="1"/>
    <col min="20" max="20" width="11.5703125" style="1" customWidth="1"/>
    <col min="21" max="21" width="14.28515625" style="1" customWidth="1"/>
    <col min="22" max="22" width="10.85546875" style="1" customWidth="1"/>
    <col min="23" max="23" width="9" style="1" customWidth="1"/>
    <col min="24" max="24" width="9.5703125" style="1" customWidth="1"/>
    <col min="25" max="25" width="26.28515625" style="1" bestFit="1" customWidth="1"/>
    <col min="26" max="16384" width="9.140625" style="1"/>
  </cols>
  <sheetData>
    <row r="1" spans="1:25" ht="25.5" customHeight="1" thickBot="1" x14ac:dyDescent="0.3">
      <c r="A1" s="307" t="s">
        <v>464</v>
      </c>
      <c r="B1" s="308"/>
      <c r="C1" s="308"/>
      <c r="D1" s="308"/>
      <c r="E1" s="308"/>
      <c r="F1" s="308"/>
      <c r="G1" s="308"/>
      <c r="H1" s="308"/>
      <c r="I1" s="308"/>
      <c r="J1" s="308"/>
      <c r="K1" s="308"/>
      <c r="L1" s="309"/>
      <c r="M1" s="308"/>
      <c r="N1" s="310"/>
      <c r="O1" s="308"/>
      <c r="P1" s="308"/>
      <c r="Q1" s="308"/>
      <c r="R1" s="308"/>
      <c r="S1" s="308"/>
      <c r="T1" s="308"/>
      <c r="U1" s="308"/>
    </row>
    <row r="2" spans="1:25" ht="21" customHeight="1" x14ac:dyDescent="0.25">
      <c r="A2" s="298" t="s">
        <v>190</v>
      </c>
      <c r="B2" s="299"/>
      <c r="C2" s="299"/>
      <c r="D2" s="299"/>
      <c r="E2" s="299"/>
      <c r="F2" s="299"/>
      <c r="G2" s="299"/>
      <c r="H2" s="299"/>
      <c r="I2" s="299"/>
      <c r="J2" s="299"/>
      <c r="K2" s="299"/>
      <c r="L2" s="283" t="s">
        <v>189</v>
      </c>
      <c r="M2" s="284"/>
      <c r="N2" s="300"/>
      <c r="O2" s="286"/>
      <c r="P2" s="18" t="s">
        <v>191</v>
      </c>
      <c r="Q2" s="301" t="s">
        <v>188</v>
      </c>
      <c r="R2" s="301"/>
      <c r="S2" s="301"/>
      <c r="T2" s="301"/>
      <c r="U2" s="301"/>
      <c r="V2" s="302"/>
      <c r="W2" s="303"/>
      <c r="X2" s="303"/>
      <c r="Y2" s="303"/>
    </row>
    <row r="3" spans="1:25" s="38" customFormat="1" ht="42.75" customHeight="1" thickBot="1" x14ac:dyDescent="0.3">
      <c r="A3" s="31" t="s">
        <v>0</v>
      </c>
      <c r="B3" s="32" t="s">
        <v>1</v>
      </c>
      <c r="C3" s="32" t="s">
        <v>2</v>
      </c>
      <c r="D3" s="32" t="s">
        <v>709</v>
      </c>
      <c r="E3" s="33" t="s">
        <v>322</v>
      </c>
      <c r="F3" s="32" t="s">
        <v>3</v>
      </c>
      <c r="G3" s="32" t="s">
        <v>388</v>
      </c>
      <c r="H3" s="32" t="s">
        <v>389</v>
      </c>
      <c r="I3" s="32" t="s">
        <v>4</v>
      </c>
      <c r="J3" s="32" t="s">
        <v>638</v>
      </c>
      <c r="K3" s="32" t="s">
        <v>637</v>
      </c>
      <c r="L3" s="34" t="s">
        <v>5</v>
      </c>
      <c r="M3" s="35" t="s">
        <v>6</v>
      </c>
      <c r="N3" s="82" t="s">
        <v>7</v>
      </c>
      <c r="O3" s="35" t="s">
        <v>662</v>
      </c>
      <c r="P3" s="36" t="s">
        <v>8</v>
      </c>
      <c r="Q3" s="37" t="s">
        <v>9</v>
      </c>
      <c r="R3" s="37" t="s">
        <v>10</v>
      </c>
      <c r="S3" s="37" t="s">
        <v>11</v>
      </c>
      <c r="T3" s="37" t="s">
        <v>449</v>
      </c>
      <c r="U3" s="37" t="s">
        <v>12</v>
      </c>
      <c r="V3" s="37" t="s">
        <v>587</v>
      </c>
      <c r="W3" s="37" t="s">
        <v>759</v>
      </c>
      <c r="X3" s="37" t="s">
        <v>760</v>
      </c>
      <c r="Y3" s="78" t="s">
        <v>784</v>
      </c>
    </row>
    <row r="4" spans="1:25" ht="22.5" x14ac:dyDescent="0.25">
      <c r="A4" s="3">
        <v>1</v>
      </c>
      <c r="B4" s="4"/>
      <c r="C4" s="4"/>
      <c r="D4" s="4">
        <v>9987112052</v>
      </c>
      <c r="E4" s="4" t="s">
        <v>321</v>
      </c>
      <c r="F4" s="42" t="s">
        <v>599</v>
      </c>
      <c r="G4" s="43" t="s">
        <v>598</v>
      </c>
      <c r="H4" s="43" t="s">
        <v>598</v>
      </c>
      <c r="I4" s="4" t="s">
        <v>585</v>
      </c>
      <c r="J4" s="4"/>
      <c r="K4" s="4" t="s">
        <v>401</v>
      </c>
      <c r="L4" s="22">
        <v>420</v>
      </c>
      <c r="M4" s="4" t="s">
        <v>68</v>
      </c>
      <c r="N4" s="26">
        <f>Table134[[#This Row],[QTY
RECIVED]]-Table134[[#This Row],[QTY 
ISSUED]]</f>
        <v>420</v>
      </c>
      <c r="O4" s="61">
        <f>Table134[[#This Row],[INVENTORY]]/208</f>
        <v>2.0192307692307692</v>
      </c>
      <c r="P4" s="42" t="s">
        <v>600</v>
      </c>
      <c r="Q4" s="4"/>
      <c r="R4" s="4"/>
      <c r="S4" s="4"/>
      <c r="T4" s="4"/>
      <c r="U4" s="4"/>
      <c r="V4" s="2"/>
      <c r="W4" s="75"/>
      <c r="X4" s="75"/>
      <c r="Y4" s="75"/>
    </row>
    <row r="5" spans="1:25" ht="22.5" x14ac:dyDescent="0.25">
      <c r="A5" s="3">
        <v>2</v>
      </c>
      <c r="B5" s="4"/>
      <c r="C5" s="4"/>
      <c r="D5" s="4">
        <v>9987112482</v>
      </c>
      <c r="E5" s="4" t="s">
        <v>321</v>
      </c>
      <c r="F5" s="4" t="s">
        <v>276</v>
      </c>
      <c r="G5" s="4" t="s">
        <v>277</v>
      </c>
      <c r="H5" s="4" t="s">
        <v>383</v>
      </c>
      <c r="I5" s="4" t="s">
        <v>752</v>
      </c>
      <c r="J5" s="4"/>
      <c r="K5" s="4"/>
      <c r="L5" s="22">
        <v>20</v>
      </c>
      <c r="M5" s="4" t="s">
        <v>278</v>
      </c>
      <c r="N5" s="26">
        <f>Table134[[#This Row],[QTY
RECIVED]]-Table134[[#This Row],[QTY 
ISSUED]]</f>
        <v>0</v>
      </c>
      <c r="O5" s="11">
        <v>0</v>
      </c>
      <c r="P5" s="4" t="s">
        <v>279</v>
      </c>
      <c r="Q5" s="4">
        <v>20</v>
      </c>
      <c r="R5" s="4" t="s">
        <v>280</v>
      </c>
      <c r="S5" s="4" t="s">
        <v>281</v>
      </c>
      <c r="T5" s="4"/>
      <c r="U5" s="4"/>
      <c r="V5" s="2"/>
      <c r="W5" s="4"/>
      <c r="X5" s="4"/>
      <c r="Y5" s="4"/>
    </row>
    <row r="6" spans="1:25" ht="22.5" x14ac:dyDescent="0.25">
      <c r="A6" s="3">
        <v>3</v>
      </c>
      <c r="B6" s="4"/>
      <c r="C6" s="4"/>
      <c r="D6" s="4">
        <v>9987112482</v>
      </c>
      <c r="E6" s="4" t="s">
        <v>321</v>
      </c>
      <c r="F6" s="4" t="s">
        <v>282</v>
      </c>
      <c r="G6" s="4" t="s">
        <v>283</v>
      </c>
      <c r="H6" s="4" t="s">
        <v>383</v>
      </c>
      <c r="I6" s="4" t="s">
        <v>752</v>
      </c>
      <c r="J6" s="4"/>
      <c r="K6" s="4"/>
      <c r="L6" s="22">
        <v>200</v>
      </c>
      <c r="M6" s="4" t="s">
        <v>68</v>
      </c>
      <c r="N6" s="83">
        <f>Table134[[#This Row],[QTY
RECIVED]]-Table134[[#This Row],[QTY 
ISSUED]]</f>
        <v>0</v>
      </c>
      <c r="O6" s="11">
        <v>0</v>
      </c>
      <c r="P6" s="4" t="s">
        <v>284</v>
      </c>
      <c r="Q6" s="4">
        <v>200</v>
      </c>
      <c r="R6" s="4" t="s">
        <v>285</v>
      </c>
      <c r="S6" s="4" t="s">
        <v>286</v>
      </c>
      <c r="T6" s="4"/>
      <c r="U6" s="4"/>
      <c r="V6" s="2"/>
      <c r="W6" s="4">
        <v>12</v>
      </c>
      <c r="X6" s="4">
        <v>25</v>
      </c>
      <c r="Y6" s="4" t="s">
        <v>785</v>
      </c>
    </row>
    <row r="7" spans="1:25" ht="22.5" x14ac:dyDescent="0.25">
      <c r="A7" s="68">
        <v>4</v>
      </c>
      <c r="B7" s="4"/>
      <c r="C7" s="4" t="s">
        <v>55</v>
      </c>
      <c r="D7" s="4">
        <v>9989266812</v>
      </c>
      <c r="E7" s="4" t="s">
        <v>324</v>
      </c>
      <c r="F7" s="4" t="s">
        <v>72</v>
      </c>
      <c r="G7" s="4" t="s">
        <v>54</v>
      </c>
      <c r="H7" s="4" t="s">
        <v>54</v>
      </c>
      <c r="I7" s="4" t="s">
        <v>503</v>
      </c>
      <c r="J7" s="4"/>
      <c r="K7" s="4"/>
      <c r="L7" s="22">
        <v>10000</v>
      </c>
      <c r="M7" s="4" t="s">
        <v>30</v>
      </c>
      <c r="N7" s="26">
        <f>Table134[[#This Row],[QTY
RECIVED]]-Table134[[#This Row],[QTY 
ISSUED]]</f>
        <v>0</v>
      </c>
      <c r="O7" s="11"/>
      <c r="P7" s="4" t="s">
        <v>73</v>
      </c>
      <c r="Q7" s="4">
        <v>10000</v>
      </c>
      <c r="R7" s="4" t="s">
        <v>194</v>
      </c>
      <c r="S7" s="4" t="s">
        <v>134</v>
      </c>
      <c r="T7" s="4"/>
      <c r="U7" s="4" t="s">
        <v>195</v>
      </c>
      <c r="V7" s="2"/>
      <c r="W7" s="4"/>
      <c r="X7" s="4"/>
      <c r="Y7" s="4"/>
    </row>
    <row r="8" spans="1:25" x14ac:dyDescent="0.25">
      <c r="A8" s="68">
        <v>5</v>
      </c>
      <c r="B8" s="4"/>
      <c r="C8" s="4"/>
      <c r="D8" s="4">
        <v>9989266812</v>
      </c>
      <c r="E8" s="4" t="s">
        <v>324</v>
      </c>
      <c r="F8" s="4" t="s">
        <v>96</v>
      </c>
      <c r="G8" s="4" t="s">
        <v>54</v>
      </c>
      <c r="H8" s="4" t="s">
        <v>54</v>
      </c>
      <c r="I8" s="4" t="s">
        <v>503</v>
      </c>
      <c r="J8" s="4"/>
      <c r="K8" s="4"/>
      <c r="L8" s="22">
        <v>19470</v>
      </c>
      <c r="M8" s="4" t="s">
        <v>30</v>
      </c>
      <c r="N8" s="26">
        <f>Table134[[#This Row],[QTY
RECIVED]]-Table134[[#This Row],[QTY 
ISSUED]]</f>
        <v>0</v>
      </c>
      <c r="O8" s="11"/>
      <c r="P8" s="4" t="s">
        <v>87</v>
      </c>
      <c r="Q8" s="4">
        <v>19470</v>
      </c>
      <c r="R8" s="4" t="s">
        <v>194</v>
      </c>
      <c r="S8" s="4" t="s">
        <v>134</v>
      </c>
      <c r="T8" s="4"/>
      <c r="U8" s="4" t="s">
        <v>195</v>
      </c>
      <c r="V8" s="2"/>
      <c r="W8" s="4"/>
      <c r="X8" s="4"/>
      <c r="Y8" s="4"/>
    </row>
    <row r="9" spans="1:25" ht="22.5" x14ac:dyDescent="0.25">
      <c r="A9" s="68">
        <v>6</v>
      </c>
      <c r="B9" s="4" t="s">
        <v>78</v>
      </c>
      <c r="C9" s="4" t="s">
        <v>229</v>
      </c>
      <c r="D9" s="4">
        <v>9987119042</v>
      </c>
      <c r="E9" s="4" t="s">
        <v>321</v>
      </c>
      <c r="F9" s="4" t="s">
        <v>76</v>
      </c>
      <c r="G9" s="4" t="s">
        <v>75</v>
      </c>
      <c r="H9" s="4" t="s">
        <v>383</v>
      </c>
      <c r="I9" s="4" t="s">
        <v>553</v>
      </c>
      <c r="J9" s="4"/>
      <c r="K9" s="4"/>
      <c r="L9" s="22">
        <v>208</v>
      </c>
      <c r="M9" s="4" t="s">
        <v>68</v>
      </c>
      <c r="N9" s="26">
        <f>Table134[[#This Row],[QTY
RECIVED]]-Table134[[#This Row],[QTY 
ISSUED]]</f>
        <v>128</v>
      </c>
      <c r="O9" s="61">
        <f>Table134[[#This Row],[INVENTORY]]/208</f>
        <v>0.61538461538461542</v>
      </c>
      <c r="P9" s="4" t="s">
        <v>77</v>
      </c>
      <c r="Q9" s="4">
        <v>80</v>
      </c>
      <c r="R9" s="4" t="s">
        <v>601</v>
      </c>
      <c r="S9" s="4" t="s">
        <v>611</v>
      </c>
      <c r="T9" s="4"/>
      <c r="U9" s="4" t="s">
        <v>602</v>
      </c>
      <c r="V9" s="2" t="s">
        <v>239</v>
      </c>
      <c r="W9" s="4">
        <v>45</v>
      </c>
      <c r="X9" s="4">
        <v>208</v>
      </c>
      <c r="Y9" s="4" t="s">
        <v>785</v>
      </c>
    </row>
    <row r="10" spans="1:25" ht="22.5" x14ac:dyDescent="0.25">
      <c r="A10" s="68">
        <v>7</v>
      </c>
      <c r="B10" s="4" t="s">
        <v>78</v>
      </c>
      <c r="C10" s="4" t="s">
        <v>229</v>
      </c>
      <c r="D10" s="4">
        <v>9987118952</v>
      </c>
      <c r="E10" s="4" t="s">
        <v>321</v>
      </c>
      <c r="F10" s="4" t="s">
        <v>76</v>
      </c>
      <c r="G10" s="4" t="s">
        <v>75</v>
      </c>
      <c r="H10" s="4" t="s">
        <v>383</v>
      </c>
      <c r="I10" s="4" t="s">
        <v>554</v>
      </c>
      <c r="J10" s="4"/>
      <c r="K10" s="4"/>
      <c r="L10" s="22">
        <v>208</v>
      </c>
      <c r="M10" s="4" t="s">
        <v>68</v>
      </c>
      <c r="N10" s="26">
        <f>Table134[[#This Row],[QTY
RECIVED]]-Table134[[#This Row],[QTY 
ISSUED]]</f>
        <v>196</v>
      </c>
      <c r="O10" s="62">
        <f>Table134[[#This Row],[INVENTORY]]/Table134[[#This Row],[QTY
RECIVED]]</f>
        <v>0.94230769230769229</v>
      </c>
      <c r="P10" s="4" t="s">
        <v>77</v>
      </c>
      <c r="Q10" s="4">
        <f>2+10</f>
        <v>12</v>
      </c>
      <c r="R10" s="4" t="s">
        <v>782</v>
      </c>
      <c r="S10" s="4" t="s">
        <v>783</v>
      </c>
      <c r="T10" s="4"/>
      <c r="U10" s="4"/>
      <c r="V10" s="2" t="s">
        <v>239</v>
      </c>
      <c r="W10" s="4">
        <v>28</v>
      </c>
      <c r="X10" s="4">
        <v>208</v>
      </c>
      <c r="Y10" s="4"/>
    </row>
    <row r="11" spans="1:25" x14ac:dyDescent="0.25">
      <c r="A11" s="68">
        <v>8</v>
      </c>
      <c r="B11" s="4" t="s">
        <v>78</v>
      </c>
      <c r="C11" s="4" t="s">
        <v>229</v>
      </c>
      <c r="D11" s="4">
        <v>9987118972</v>
      </c>
      <c r="E11" s="4" t="s">
        <v>321</v>
      </c>
      <c r="F11" s="4" t="s">
        <v>76</v>
      </c>
      <c r="G11" s="4" t="s">
        <v>75</v>
      </c>
      <c r="H11" s="4" t="s">
        <v>383</v>
      </c>
      <c r="I11" s="4" t="s">
        <v>555</v>
      </c>
      <c r="J11" s="4"/>
      <c r="K11" s="4"/>
      <c r="L11" s="22">
        <v>208</v>
      </c>
      <c r="M11" s="4" t="s">
        <v>68</v>
      </c>
      <c r="N11" s="26">
        <f>Table134[[#This Row],[QTY
RECIVED]]-Table134[[#This Row],[QTY 
ISSUED]]</f>
        <v>0</v>
      </c>
      <c r="O11" s="11">
        <v>0</v>
      </c>
      <c r="P11" s="4" t="s">
        <v>77</v>
      </c>
      <c r="Q11" s="4">
        <v>208</v>
      </c>
      <c r="R11" s="4" t="s">
        <v>145</v>
      </c>
      <c r="S11" s="4" t="s">
        <v>56</v>
      </c>
      <c r="T11" s="4"/>
      <c r="U11" s="4" t="s">
        <v>22</v>
      </c>
      <c r="V11" s="10"/>
      <c r="W11" s="4"/>
      <c r="X11" s="4"/>
      <c r="Y11" s="4"/>
    </row>
    <row r="12" spans="1:25" ht="22.5" x14ac:dyDescent="0.25">
      <c r="A12" s="68">
        <v>9</v>
      </c>
      <c r="B12" s="4" t="s">
        <v>78</v>
      </c>
      <c r="C12" s="4" t="s">
        <v>229</v>
      </c>
      <c r="D12" s="4">
        <v>9987118982</v>
      </c>
      <c r="E12" s="4" t="s">
        <v>321</v>
      </c>
      <c r="F12" s="4" t="s">
        <v>76</v>
      </c>
      <c r="G12" s="4" t="s">
        <v>75</v>
      </c>
      <c r="H12" s="4" t="s">
        <v>383</v>
      </c>
      <c r="I12" s="4" t="s">
        <v>862</v>
      </c>
      <c r="J12" s="4"/>
      <c r="K12" s="4"/>
      <c r="L12" s="22">
        <v>208</v>
      </c>
      <c r="M12" s="4" t="s">
        <v>68</v>
      </c>
      <c r="N12" s="26">
        <f>Table134[[#This Row],[QTY
RECIVED]]-Table134[[#This Row],[QTY 
ISSUED]]</f>
        <v>158</v>
      </c>
      <c r="O12" s="61">
        <f>Table134[[#This Row],[INVENTORY]]/208</f>
        <v>0.75961538461538458</v>
      </c>
      <c r="P12" s="4" t="s">
        <v>77</v>
      </c>
      <c r="Q12" s="4">
        <f>10+40</f>
        <v>50</v>
      </c>
      <c r="R12" s="4" t="s">
        <v>234</v>
      </c>
      <c r="S12" s="4" t="s">
        <v>235</v>
      </c>
      <c r="T12" s="4"/>
      <c r="U12" s="4" t="s">
        <v>42</v>
      </c>
      <c r="V12" s="2" t="s">
        <v>239</v>
      </c>
      <c r="W12" s="4">
        <v>110</v>
      </c>
      <c r="X12" s="4">
        <v>416</v>
      </c>
      <c r="Y12" s="4" t="s">
        <v>785</v>
      </c>
    </row>
    <row r="13" spans="1:25" ht="22.5" x14ac:dyDescent="0.25">
      <c r="A13" s="68">
        <v>10</v>
      </c>
      <c r="B13" s="4" t="s">
        <v>78</v>
      </c>
      <c r="C13" s="4" t="s">
        <v>229</v>
      </c>
      <c r="D13" s="4">
        <v>9987119002</v>
      </c>
      <c r="E13" s="4" t="s">
        <v>321</v>
      </c>
      <c r="F13" s="4" t="s">
        <v>76</v>
      </c>
      <c r="G13" s="4" t="s">
        <v>75</v>
      </c>
      <c r="H13" s="4" t="s">
        <v>383</v>
      </c>
      <c r="I13" s="4" t="s">
        <v>556</v>
      </c>
      <c r="J13" s="4"/>
      <c r="K13" s="4"/>
      <c r="L13" s="22">
        <v>208</v>
      </c>
      <c r="M13" s="4" t="s">
        <v>68</v>
      </c>
      <c r="N13" s="26">
        <f>Table134[[#This Row],[QTY
RECIVED]]-Table134[[#This Row],[QTY 
ISSUED]]</f>
        <v>181</v>
      </c>
      <c r="O13" s="61">
        <f>Table134[[#This Row],[INVENTORY]]/208</f>
        <v>0.87019230769230771</v>
      </c>
      <c r="P13" s="4" t="s">
        <v>77</v>
      </c>
      <c r="Q13" s="4">
        <f>3+20+2+2</f>
        <v>27</v>
      </c>
      <c r="R13" s="4" t="s">
        <v>589</v>
      </c>
      <c r="S13" s="4" t="s">
        <v>590</v>
      </c>
      <c r="T13" s="4"/>
      <c r="U13" s="4" t="s">
        <v>52</v>
      </c>
      <c r="V13" s="2" t="s">
        <v>239</v>
      </c>
      <c r="W13" s="4">
        <v>45</v>
      </c>
      <c r="X13" s="4">
        <v>208</v>
      </c>
      <c r="Y13" s="4"/>
    </row>
    <row r="14" spans="1:25" ht="56.25" x14ac:dyDescent="0.25">
      <c r="A14" s="68">
        <v>11</v>
      </c>
      <c r="B14" s="4" t="s">
        <v>78</v>
      </c>
      <c r="C14" s="4" t="s">
        <v>229</v>
      </c>
      <c r="D14" s="4">
        <v>9987119012</v>
      </c>
      <c r="E14" s="4" t="s">
        <v>321</v>
      </c>
      <c r="F14" s="4" t="s">
        <v>76</v>
      </c>
      <c r="G14" s="4" t="s">
        <v>75</v>
      </c>
      <c r="H14" s="4" t="s">
        <v>383</v>
      </c>
      <c r="I14" s="4" t="s">
        <v>557</v>
      </c>
      <c r="J14" s="4"/>
      <c r="K14" s="4"/>
      <c r="L14" s="22">
        <v>832</v>
      </c>
      <c r="M14" s="4" t="s">
        <v>68</v>
      </c>
      <c r="N14" s="83">
        <f>Table134[[#This Row],[QTY
RECIVED]]-Table134[[#This Row],[QTY 
ISSUED]]</f>
        <v>0</v>
      </c>
      <c r="O14" s="61">
        <f>Table134[[#This Row],[INVENTORY]]/208</f>
        <v>0</v>
      </c>
      <c r="P14" s="4" t="s">
        <v>77</v>
      </c>
      <c r="Q14" s="4">
        <f>80+30+208+208+24+20+30+20+208-96+20+80</f>
        <v>832</v>
      </c>
      <c r="R14" s="4" t="s">
        <v>749</v>
      </c>
      <c r="S14" s="4" t="s">
        <v>750</v>
      </c>
      <c r="T14" s="4" t="s">
        <v>627</v>
      </c>
      <c r="U14" s="4" t="s">
        <v>22</v>
      </c>
      <c r="V14" s="2" t="s">
        <v>239</v>
      </c>
      <c r="W14" s="4">
        <v>416</v>
      </c>
      <c r="X14" s="4">
        <v>832</v>
      </c>
      <c r="Y14" s="4" t="s">
        <v>785</v>
      </c>
    </row>
    <row r="15" spans="1:25" ht="56.25" x14ac:dyDescent="0.25">
      <c r="A15" s="68">
        <v>12</v>
      </c>
      <c r="B15" s="4" t="s">
        <v>78</v>
      </c>
      <c r="C15" s="4" t="s">
        <v>229</v>
      </c>
      <c r="D15" s="4">
        <v>9987119032</v>
      </c>
      <c r="E15" s="4" t="s">
        <v>321</v>
      </c>
      <c r="F15" s="4" t="s">
        <v>76</v>
      </c>
      <c r="G15" s="4" t="s">
        <v>75</v>
      </c>
      <c r="H15" s="4" t="s">
        <v>383</v>
      </c>
      <c r="I15" s="4" t="s">
        <v>563</v>
      </c>
      <c r="J15" s="4"/>
      <c r="K15" s="4"/>
      <c r="L15" s="22">
        <v>1248</v>
      </c>
      <c r="M15" s="4" t="s">
        <v>68</v>
      </c>
      <c r="N15" s="83">
        <f>Table134[[#This Row],[QTY
RECIVED]]-Table134[[#This Row],[QTY 
ISSUED]]</f>
        <v>416</v>
      </c>
      <c r="O15" s="61">
        <f>Table134[[#This Row],[INVENTORY]]/208</f>
        <v>2</v>
      </c>
      <c r="P15" s="4" t="s">
        <v>77</v>
      </c>
      <c r="Q15" s="4">
        <f>208+208+208+208+175+21+12-208</f>
        <v>832</v>
      </c>
      <c r="R15" s="4" t="s">
        <v>488</v>
      </c>
      <c r="S15" s="4" t="s">
        <v>489</v>
      </c>
      <c r="T15" s="4" t="s">
        <v>628</v>
      </c>
      <c r="U15" s="4" t="s">
        <v>42</v>
      </c>
      <c r="V15" s="2" t="s">
        <v>239</v>
      </c>
      <c r="W15" s="4">
        <v>832</v>
      </c>
      <c r="X15" s="4">
        <v>1664</v>
      </c>
      <c r="Y15" s="4" t="s">
        <v>785</v>
      </c>
    </row>
    <row r="16" spans="1:25" ht="22.5" x14ac:dyDescent="0.25">
      <c r="A16" s="68">
        <v>13</v>
      </c>
      <c r="B16" s="4" t="s">
        <v>78</v>
      </c>
      <c r="C16" s="4" t="s">
        <v>229</v>
      </c>
      <c r="D16" s="4">
        <v>9987119122</v>
      </c>
      <c r="E16" s="4" t="s">
        <v>321</v>
      </c>
      <c r="F16" s="4" t="s">
        <v>76</v>
      </c>
      <c r="G16" s="4" t="s">
        <v>75</v>
      </c>
      <c r="H16" s="4" t="s">
        <v>383</v>
      </c>
      <c r="I16" s="4" t="s">
        <v>558</v>
      </c>
      <c r="J16" s="4"/>
      <c r="K16" s="4"/>
      <c r="L16" s="22">
        <v>416</v>
      </c>
      <c r="M16" s="4" t="s">
        <v>68</v>
      </c>
      <c r="N16" s="83">
        <f>Table134[[#This Row],[QTY
RECIVED]]-Table134[[#This Row],[QTY 
ISSUED]]</f>
        <v>208</v>
      </c>
      <c r="O16" s="61">
        <f>Table134[[#This Row],[INVENTORY]]/208</f>
        <v>1</v>
      </c>
      <c r="P16" s="4" t="s">
        <v>77</v>
      </c>
      <c r="Q16" s="4">
        <v>208</v>
      </c>
      <c r="R16" s="4" t="s">
        <v>232</v>
      </c>
      <c r="S16" s="4" t="s">
        <v>233</v>
      </c>
      <c r="T16" s="4"/>
      <c r="U16" s="4" t="s">
        <v>52</v>
      </c>
      <c r="V16" s="2" t="s">
        <v>239</v>
      </c>
      <c r="W16" s="4">
        <v>416</v>
      </c>
      <c r="X16" s="4">
        <v>832</v>
      </c>
      <c r="Y16" s="4" t="s">
        <v>785</v>
      </c>
    </row>
    <row r="17" spans="1:25" ht="22.5" x14ac:dyDescent="0.25">
      <c r="A17" s="68">
        <v>14</v>
      </c>
      <c r="B17" s="4" t="s">
        <v>78</v>
      </c>
      <c r="C17" s="4" t="s">
        <v>229</v>
      </c>
      <c r="D17" s="4">
        <v>9987119052</v>
      </c>
      <c r="E17" s="4" t="s">
        <v>321</v>
      </c>
      <c r="F17" s="4" t="s">
        <v>76</v>
      </c>
      <c r="G17" s="4" t="s">
        <v>75</v>
      </c>
      <c r="H17" s="4" t="s">
        <v>383</v>
      </c>
      <c r="I17" s="4" t="s">
        <v>559</v>
      </c>
      <c r="J17" s="4"/>
      <c r="K17" s="4"/>
      <c r="L17" s="22">
        <v>416</v>
      </c>
      <c r="M17" s="4" t="s">
        <v>68</v>
      </c>
      <c r="N17" s="83">
        <f>Table134[[#This Row],[QTY
RECIVED]]-Table134[[#This Row],[QTY 
ISSUED]]</f>
        <v>98</v>
      </c>
      <c r="O17" s="61">
        <f>Table134[[#This Row],[INVENTORY]]/208</f>
        <v>0.47115384615384615</v>
      </c>
      <c r="P17" s="4" t="s">
        <v>77</v>
      </c>
      <c r="Q17" s="4">
        <f>208+108+2</f>
        <v>318</v>
      </c>
      <c r="R17" s="4" t="s">
        <v>792</v>
      </c>
      <c r="S17" s="4" t="s">
        <v>793</v>
      </c>
      <c r="T17" s="4"/>
      <c r="U17" s="4"/>
      <c r="V17" s="10"/>
      <c r="W17" s="4">
        <v>208</v>
      </c>
      <c r="X17" s="4">
        <v>416</v>
      </c>
      <c r="Y17" s="4" t="s">
        <v>785</v>
      </c>
    </row>
    <row r="18" spans="1:25" ht="22.5" x14ac:dyDescent="0.25">
      <c r="A18" s="68">
        <v>15</v>
      </c>
      <c r="B18" s="4" t="s">
        <v>78</v>
      </c>
      <c r="C18" s="4" t="s">
        <v>229</v>
      </c>
      <c r="D18" s="4">
        <v>9987119082</v>
      </c>
      <c r="E18" s="4" t="s">
        <v>321</v>
      </c>
      <c r="F18" s="4" t="s">
        <v>76</v>
      </c>
      <c r="G18" s="4" t="s">
        <v>75</v>
      </c>
      <c r="H18" s="4" t="s">
        <v>383</v>
      </c>
      <c r="I18" s="4" t="s">
        <v>548</v>
      </c>
      <c r="J18" s="4"/>
      <c r="K18" s="4"/>
      <c r="L18" s="22">
        <v>208</v>
      </c>
      <c r="M18" s="4" t="s">
        <v>68</v>
      </c>
      <c r="N18" s="26">
        <f>Table134[[#This Row],[QTY
RECIVED]]-Table134[[#This Row],[QTY 
ISSUED]]</f>
        <v>0</v>
      </c>
      <c r="O18" s="61">
        <f>Table134[[#This Row],[INVENTORY]]/208</f>
        <v>0</v>
      </c>
      <c r="P18" s="4" t="s">
        <v>77</v>
      </c>
      <c r="Q18" s="4">
        <f>20+8+180</f>
        <v>208</v>
      </c>
      <c r="R18" s="4" t="s">
        <v>230</v>
      </c>
      <c r="S18" s="4" t="s">
        <v>231</v>
      </c>
      <c r="T18" s="4"/>
      <c r="U18" s="4" t="s">
        <v>22</v>
      </c>
      <c r="V18" s="10"/>
      <c r="W18" s="4"/>
      <c r="X18" s="4"/>
      <c r="Y18" s="4"/>
    </row>
    <row r="19" spans="1:25" ht="22.5" x14ac:dyDescent="0.25">
      <c r="A19" s="68">
        <v>16</v>
      </c>
      <c r="B19" s="4" t="s">
        <v>78</v>
      </c>
      <c r="C19" s="4" t="s">
        <v>229</v>
      </c>
      <c r="D19" s="4">
        <v>9987119092</v>
      </c>
      <c r="E19" s="4" t="s">
        <v>321</v>
      </c>
      <c r="F19" s="4" t="s">
        <v>76</v>
      </c>
      <c r="G19" s="4" t="s">
        <v>75</v>
      </c>
      <c r="H19" s="4" t="s">
        <v>383</v>
      </c>
      <c r="I19" s="4" t="s">
        <v>861</v>
      </c>
      <c r="J19" s="4"/>
      <c r="K19" s="4"/>
      <c r="L19" s="22">
        <v>208</v>
      </c>
      <c r="M19" s="4" t="s">
        <v>68</v>
      </c>
      <c r="N19" s="26">
        <f>Table134[[#This Row],[QTY
RECIVED]]-Table134[[#This Row],[QTY 
ISSUED]]</f>
        <v>0</v>
      </c>
      <c r="O19" s="20">
        <f>Table134[[#This Row],[INVENTORY]]/208</f>
        <v>0</v>
      </c>
      <c r="P19" s="4" t="s">
        <v>77</v>
      </c>
      <c r="Q19" s="4">
        <v>208</v>
      </c>
      <c r="R19" s="4" t="s">
        <v>147</v>
      </c>
      <c r="S19" s="4" t="s">
        <v>146</v>
      </c>
      <c r="T19" s="4"/>
      <c r="U19" s="4" t="s">
        <v>52</v>
      </c>
      <c r="V19" s="10" t="s">
        <v>272</v>
      </c>
      <c r="W19" s="4"/>
      <c r="X19" s="4"/>
      <c r="Y19" s="4"/>
    </row>
    <row r="20" spans="1:25" x14ac:dyDescent="0.25">
      <c r="A20" s="68">
        <v>17</v>
      </c>
      <c r="B20" s="4" t="s">
        <v>78</v>
      </c>
      <c r="C20" s="4" t="s">
        <v>229</v>
      </c>
      <c r="D20" s="4">
        <v>9987119072</v>
      </c>
      <c r="E20" s="4" t="s">
        <v>321</v>
      </c>
      <c r="F20" s="4" t="s">
        <v>76</v>
      </c>
      <c r="G20" s="4" t="s">
        <v>75</v>
      </c>
      <c r="H20" s="4" t="s">
        <v>383</v>
      </c>
      <c r="I20" s="4" t="s">
        <v>863</v>
      </c>
      <c r="J20" s="4"/>
      <c r="K20" s="4"/>
      <c r="L20" s="22">
        <v>416</v>
      </c>
      <c r="M20" s="4" t="s">
        <v>68</v>
      </c>
      <c r="N20" s="26">
        <f>Table134[[#This Row],[QTY
RECIVED]]-Table134[[#This Row],[QTY 
ISSUED]]</f>
        <v>206</v>
      </c>
      <c r="O20" s="61">
        <f>Table134[[#This Row],[INVENTORY]]/208</f>
        <v>0.99038461538461542</v>
      </c>
      <c r="P20" s="4" t="s">
        <v>77</v>
      </c>
      <c r="Q20" s="4">
        <f>208+2</f>
        <v>210</v>
      </c>
      <c r="R20" s="4" t="s">
        <v>591</v>
      </c>
      <c r="S20" s="4" t="s">
        <v>592</v>
      </c>
      <c r="T20" s="4"/>
      <c r="U20" s="4"/>
      <c r="V20" s="2" t="s">
        <v>239</v>
      </c>
      <c r="W20" s="4">
        <v>110</v>
      </c>
      <c r="X20" s="4">
        <v>208</v>
      </c>
      <c r="Y20" s="4"/>
    </row>
    <row r="21" spans="1:25" ht="22.5" x14ac:dyDescent="0.25">
      <c r="A21" s="68">
        <v>18</v>
      </c>
      <c r="B21" s="4" t="s">
        <v>78</v>
      </c>
      <c r="C21" s="4" t="s">
        <v>229</v>
      </c>
      <c r="D21" s="4">
        <v>9987119112</v>
      </c>
      <c r="E21" s="4" t="s">
        <v>321</v>
      </c>
      <c r="F21" s="4" t="s">
        <v>76</v>
      </c>
      <c r="G21" s="4" t="s">
        <v>75</v>
      </c>
      <c r="H21" s="4" t="s">
        <v>383</v>
      </c>
      <c r="I21" s="4" t="s">
        <v>549</v>
      </c>
      <c r="J21" s="4"/>
      <c r="K21" s="4"/>
      <c r="L21" s="22">
        <v>208</v>
      </c>
      <c r="M21" s="4" t="s">
        <v>68</v>
      </c>
      <c r="N21" s="46">
        <v>208</v>
      </c>
      <c r="O21" s="61">
        <f>Table134[[#This Row],[INVENTORY]]/208</f>
        <v>1</v>
      </c>
      <c r="P21" s="4" t="s">
        <v>77</v>
      </c>
      <c r="Q21" s="4">
        <f>20+188-208-208</f>
        <v>-208</v>
      </c>
      <c r="R21" s="4" t="s">
        <v>232</v>
      </c>
      <c r="S21" s="4" t="s">
        <v>233</v>
      </c>
      <c r="T21" s="4" t="s">
        <v>629</v>
      </c>
      <c r="U21" s="4" t="s">
        <v>52</v>
      </c>
      <c r="V21" s="2" t="s">
        <v>239</v>
      </c>
      <c r="W21" s="4">
        <v>45</v>
      </c>
      <c r="X21" s="4">
        <v>208</v>
      </c>
      <c r="Y21" s="4" t="s">
        <v>785</v>
      </c>
    </row>
    <row r="22" spans="1:25" x14ac:dyDescent="0.25">
      <c r="A22" s="68">
        <v>19</v>
      </c>
      <c r="B22" s="4">
        <v>2994</v>
      </c>
      <c r="C22" s="4" t="s">
        <v>79</v>
      </c>
      <c r="D22" s="4">
        <v>9987119322</v>
      </c>
      <c r="E22" s="4" t="s">
        <v>321</v>
      </c>
      <c r="F22" s="4" t="s">
        <v>81</v>
      </c>
      <c r="G22" s="4" t="s">
        <v>80</v>
      </c>
      <c r="H22" s="4" t="s">
        <v>383</v>
      </c>
      <c r="I22" s="4" t="s">
        <v>560</v>
      </c>
      <c r="J22" s="4"/>
      <c r="K22" s="4"/>
      <c r="L22" s="22">
        <v>624</v>
      </c>
      <c r="M22" s="4" t="s">
        <v>68</v>
      </c>
      <c r="N22" s="26">
        <f>Table134[[#This Row],[QTY
RECIVED]]-Table134[[#This Row],[QTY 
ISSUED]]</f>
        <v>0</v>
      </c>
      <c r="O22" s="11">
        <v>0</v>
      </c>
      <c r="P22" s="4" t="s">
        <v>82</v>
      </c>
      <c r="Q22" s="4">
        <f>35+589</f>
        <v>624</v>
      </c>
      <c r="R22" s="4" t="s">
        <v>154</v>
      </c>
      <c r="S22" s="4" t="s">
        <v>155</v>
      </c>
      <c r="T22" s="4"/>
      <c r="U22" s="4" t="s">
        <v>52</v>
      </c>
      <c r="V22" s="10" t="s">
        <v>273</v>
      </c>
      <c r="W22" s="4"/>
      <c r="X22" s="4"/>
      <c r="Y22" s="4"/>
    </row>
    <row r="23" spans="1:25" ht="33.75" x14ac:dyDescent="0.25">
      <c r="A23" s="3">
        <v>20</v>
      </c>
      <c r="B23" s="4" t="s">
        <v>151</v>
      </c>
      <c r="C23" s="4" t="s">
        <v>150</v>
      </c>
      <c r="D23" s="4">
        <v>9961641062</v>
      </c>
      <c r="E23" s="4" t="s">
        <v>324</v>
      </c>
      <c r="F23" s="4" t="s">
        <v>149</v>
      </c>
      <c r="G23" s="4" t="s">
        <v>16</v>
      </c>
      <c r="H23" s="4" t="s">
        <v>166</v>
      </c>
      <c r="I23" s="4" t="s">
        <v>535</v>
      </c>
      <c r="J23" s="4"/>
      <c r="K23" s="4" t="s">
        <v>89</v>
      </c>
      <c r="L23" s="22">
        <v>1000</v>
      </c>
      <c r="M23" s="4" t="s">
        <v>30</v>
      </c>
      <c r="N23" s="26">
        <f>Table134[[#This Row],[QTY
RECIVED]]-Table134[[#This Row],[QTY 
ISSUED]]</f>
        <v>0</v>
      </c>
      <c r="O23" s="11"/>
      <c r="P23" s="4" t="s">
        <v>83</v>
      </c>
      <c r="Q23" s="4">
        <f>200+800</f>
        <v>1000</v>
      </c>
      <c r="R23" s="4" t="s">
        <v>249</v>
      </c>
      <c r="S23" s="4" t="s">
        <v>248</v>
      </c>
      <c r="T23" s="4"/>
      <c r="U23" s="4" t="s">
        <v>137</v>
      </c>
      <c r="V23" s="2"/>
      <c r="W23" s="4"/>
      <c r="X23" s="4"/>
      <c r="Y23" s="4"/>
    </row>
    <row r="24" spans="1:25" x14ac:dyDescent="0.25">
      <c r="A24" s="3">
        <v>21</v>
      </c>
      <c r="B24" s="4"/>
      <c r="C24" s="4"/>
      <c r="D24" s="4">
        <v>9987118992</v>
      </c>
      <c r="E24" s="4" t="s">
        <v>321</v>
      </c>
      <c r="F24" s="4" t="s">
        <v>84</v>
      </c>
      <c r="G24" s="4" t="s">
        <v>75</v>
      </c>
      <c r="H24" s="4" t="s">
        <v>383</v>
      </c>
      <c r="I24" s="4" t="s">
        <v>562</v>
      </c>
      <c r="J24" s="4"/>
      <c r="K24" s="4"/>
      <c r="L24" s="22">
        <v>208</v>
      </c>
      <c r="M24" s="4" t="s">
        <v>68</v>
      </c>
      <c r="N24" s="26">
        <f>Table134[[#This Row],[QTY
RECIVED]]-Table134[[#This Row],[QTY 
ISSUED]]</f>
        <v>208</v>
      </c>
      <c r="O24" s="61">
        <f>Table134[[#This Row],[INVENTORY]]/208</f>
        <v>1</v>
      </c>
      <c r="P24" s="4" t="s">
        <v>83</v>
      </c>
      <c r="Q24" s="4"/>
      <c r="R24" s="4"/>
      <c r="S24" s="4"/>
      <c r="T24" s="4"/>
      <c r="U24" s="4"/>
      <c r="V24" s="2" t="s">
        <v>239</v>
      </c>
      <c r="W24" s="4">
        <v>110</v>
      </c>
      <c r="X24" s="4">
        <v>208</v>
      </c>
      <c r="Y24" s="4"/>
    </row>
    <row r="25" spans="1:25" ht="56.25" x14ac:dyDescent="0.25">
      <c r="A25" s="3">
        <v>22</v>
      </c>
      <c r="B25" s="4"/>
      <c r="C25" s="4"/>
      <c r="D25" s="4">
        <v>9987119102</v>
      </c>
      <c r="E25" s="4" t="s">
        <v>321</v>
      </c>
      <c r="F25" s="4" t="s">
        <v>84</v>
      </c>
      <c r="G25" s="4" t="s">
        <v>75</v>
      </c>
      <c r="H25" s="4" t="s">
        <v>383</v>
      </c>
      <c r="I25" s="4" t="s">
        <v>550</v>
      </c>
      <c r="J25" s="4"/>
      <c r="K25" s="4"/>
      <c r="L25" s="22">
        <v>416</v>
      </c>
      <c r="M25" s="4" t="s">
        <v>68</v>
      </c>
      <c r="N25" s="26">
        <f>Table134[[#This Row],[QTY
RECIVED]]-Table134[[#This Row],[QTY 
ISSUED]]</f>
        <v>44.5</v>
      </c>
      <c r="O25" s="61">
        <f>Table134[[#This Row],[INVENTORY]]/208</f>
        <v>0.21394230769230768</v>
      </c>
      <c r="P25" s="4" t="s">
        <v>83</v>
      </c>
      <c r="Q25" s="30">
        <f>208+50+10+30+1.5+10+2+5+35+20</f>
        <v>371.5</v>
      </c>
      <c r="R25" s="4" t="s">
        <v>814</v>
      </c>
      <c r="S25" s="4" t="s">
        <v>813</v>
      </c>
      <c r="T25" s="4"/>
      <c r="U25" s="4" t="s">
        <v>52</v>
      </c>
      <c r="V25" s="4" t="s">
        <v>239</v>
      </c>
      <c r="W25" s="4"/>
      <c r="X25" s="4"/>
      <c r="Y25" s="4"/>
    </row>
    <row r="26" spans="1:25" ht="22.5" x14ac:dyDescent="0.25">
      <c r="A26" s="3">
        <v>23</v>
      </c>
      <c r="B26" s="4">
        <v>68282</v>
      </c>
      <c r="C26" s="4" t="s">
        <v>85</v>
      </c>
      <c r="D26" s="4">
        <v>9987118962</v>
      </c>
      <c r="E26" s="4" t="s">
        <v>321</v>
      </c>
      <c r="F26" s="4" t="s">
        <v>86</v>
      </c>
      <c r="G26" s="4" t="s">
        <v>80</v>
      </c>
      <c r="H26" s="4" t="s">
        <v>383</v>
      </c>
      <c r="I26" s="4" t="s">
        <v>565</v>
      </c>
      <c r="J26" s="4"/>
      <c r="K26" s="4"/>
      <c r="L26" s="22">
        <v>624</v>
      </c>
      <c r="M26" s="4" t="s">
        <v>68</v>
      </c>
      <c r="N26" s="26">
        <f>Table134[[#This Row],[QTY
RECIVED]]-Table134[[#This Row],[QTY 
ISSUED]]</f>
        <v>0</v>
      </c>
      <c r="O26" s="61">
        <f>Table134[[#This Row],[INVENTORY]]/208</f>
        <v>0</v>
      </c>
      <c r="P26" s="4" t="s">
        <v>83</v>
      </c>
      <c r="Q26" s="4">
        <f>208+208+208</f>
        <v>624</v>
      </c>
      <c r="R26" s="4" t="s">
        <v>526</v>
      </c>
      <c r="S26" s="4" t="s">
        <v>525</v>
      </c>
      <c r="T26" s="4"/>
      <c r="U26" s="4" t="s">
        <v>52</v>
      </c>
      <c r="V26" s="4"/>
      <c r="W26" s="4"/>
      <c r="X26" s="4"/>
      <c r="Y26" s="4"/>
    </row>
    <row r="27" spans="1:25" x14ac:dyDescent="0.25">
      <c r="A27" s="68">
        <v>24</v>
      </c>
      <c r="B27" s="4">
        <v>68282</v>
      </c>
      <c r="C27" s="4" t="s">
        <v>85</v>
      </c>
      <c r="D27" s="4">
        <v>9987118972</v>
      </c>
      <c r="E27" s="4" t="s">
        <v>321</v>
      </c>
      <c r="F27" s="4" t="s">
        <v>86</v>
      </c>
      <c r="G27" s="4" t="s">
        <v>80</v>
      </c>
      <c r="H27" s="4" t="s">
        <v>383</v>
      </c>
      <c r="I27" s="4" t="s">
        <v>555</v>
      </c>
      <c r="J27" s="4"/>
      <c r="K27" s="4"/>
      <c r="L27" s="22">
        <v>208</v>
      </c>
      <c r="M27" s="4" t="s">
        <v>68</v>
      </c>
      <c r="N27" s="26">
        <f>Table134[[#This Row],[QTY
RECIVED]]-Table134[[#This Row],[QTY 
ISSUED]]</f>
        <v>0</v>
      </c>
      <c r="O27" s="20">
        <v>0</v>
      </c>
      <c r="P27" s="4" t="s">
        <v>83</v>
      </c>
      <c r="Q27" s="4">
        <v>208</v>
      </c>
      <c r="R27" s="4" t="s">
        <v>407</v>
      </c>
      <c r="S27" s="4" t="s">
        <v>408</v>
      </c>
      <c r="T27" s="4"/>
      <c r="U27" s="4" t="s">
        <v>52</v>
      </c>
      <c r="V27" s="2"/>
      <c r="W27" s="4"/>
      <c r="X27" s="4"/>
      <c r="Y27" s="4"/>
    </row>
    <row r="28" spans="1:25" ht="45" x14ac:dyDescent="0.25">
      <c r="A28" s="3">
        <v>25</v>
      </c>
      <c r="B28" s="4" t="s">
        <v>91</v>
      </c>
      <c r="C28" s="4" t="s">
        <v>15</v>
      </c>
      <c r="D28" s="4"/>
      <c r="E28" s="4" t="s">
        <v>324</v>
      </c>
      <c r="F28" s="4" t="s">
        <v>90</v>
      </c>
      <c r="G28" s="12" t="s">
        <v>16</v>
      </c>
      <c r="H28" s="4" t="s">
        <v>162</v>
      </c>
      <c r="I28" s="4" t="s">
        <v>538</v>
      </c>
      <c r="J28" s="4"/>
      <c r="K28" s="4" t="s">
        <v>88</v>
      </c>
      <c r="L28" s="22">
        <v>1500</v>
      </c>
      <c r="M28" s="4" t="s">
        <v>30</v>
      </c>
      <c r="N28" s="26">
        <f>Table134[[#This Row],[QTY
RECIVED]]-Table134[[#This Row],[QTY 
ISSUED]]</f>
        <v>0</v>
      </c>
      <c r="O28" s="11"/>
      <c r="P28" s="4" t="s">
        <v>83</v>
      </c>
      <c r="Q28" s="4">
        <f>400+400+400+80+220</f>
        <v>1500</v>
      </c>
      <c r="R28" s="4" t="s">
        <v>436</v>
      </c>
      <c r="S28" s="4" t="s">
        <v>458</v>
      </c>
      <c r="T28" s="4"/>
      <c r="U28" s="4" t="s">
        <v>21</v>
      </c>
      <c r="V28" s="2"/>
      <c r="W28" s="4"/>
      <c r="X28" s="4"/>
      <c r="Y28" s="4"/>
    </row>
    <row r="29" spans="1:25" ht="22.5" customHeight="1" x14ac:dyDescent="0.25">
      <c r="A29" s="3">
        <v>26</v>
      </c>
      <c r="B29" s="4" t="s">
        <v>91</v>
      </c>
      <c r="C29" s="4" t="s">
        <v>15</v>
      </c>
      <c r="D29" s="4"/>
      <c r="E29" s="4" t="s">
        <v>324</v>
      </c>
      <c r="F29" s="4" t="s">
        <v>90</v>
      </c>
      <c r="G29" s="12" t="s">
        <v>16</v>
      </c>
      <c r="H29" s="4" t="s">
        <v>167</v>
      </c>
      <c r="I29" s="4" t="s">
        <v>539</v>
      </c>
      <c r="J29" s="4"/>
      <c r="K29" s="4" t="s">
        <v>88</v>
      </c>
      <c r="L29" s="22">
        <v>1500</v>
      </c>
      <c r="M29" s="4" t="s">
        <v>30</v>
      </c>
      <c r="N29" s="26">
        <f>Table134[[#This Row],[QTY
RECIVED]]-Table134[[#This Row],[QTY 
ISSUED]]</f>
        <v>0</v>
      </c>
      <c r="O29" s="11"/>
      <c r="P29" s="4" t="s">
        <v>83</v>
      </c>
      <c r="Q29" s="4">
        <f>300+200+300+400+300</f>
        <v>1500</v>
      </c>
      <c r="R29" s="4" t="s">
        <v>767</v>
      </c>
      <c r="S29" s="4" t="s">
        <v>768</v>
      </c>
      <c r="T29" s="4"/>
      <c r="U29" s="4" t="s">
        <v>52</v>
      </c>
      <c r="V29" s="2"/>
      <c r="W29" s="4"/>
      <c r="X29" s="4"/>
      <c r="Y29" s="4"/>
    </row>
    <row r="30" spans="1:25" ht="33.75" x14ac:dyDescent="0.15">
      <c r="A30" s="68">
        <v>27</v>
      </c>
      <c r="B30" s="4">
        <v>230303</v>
      </c>
      <c r="C30" s="4" t="s">
        <v>92</v>
      </c>
      <c r="D30" s="4">
        <v>9987119132</v>
      </c>
      <c r="E30" s="4" t="s">
        <v>321</v>
      </c>
      <c r="F30" s="4" t="s">
        <v>93</v>
      </c>
      <c r="G30" s="4" t="s">
        <v>94</v>
      </c>
      <c r="H30" s="4" t="s">
        <v>465</v>
      </c>
      <c r="I30" s="4" t="s">
        <v>579</v>
      </c>
      <c r="J30" s="4"/>
      <c r="K30" s="16" t="s">
        <v>95</v>
      </c>
      <c r="L30" s="23">
        <v>2090</v>
      </c>
      <c r="M30" s="4" t="s">
        <v>68</v>
      </c>
      <c r="N30" s="26">
        <f>Table134[[#This Row],[QTY
RECIVED]]-Table134[[#This Row],[QTY 
ISSUED]]</f>
        <v>-586</v>
      </c>
      <c r="O30" s="20">
        <f>Table134[[#This Row],[INVENTORY]]/208</f>
        <v>-2.8173076923076925</v>
      </c>
      <c r="P30" s="4" t="s">
        <v>226</v>
      </c>
      <c r="Q30" s="4">
        <f>627+1045+209+209+208+208+170</f>
        <v>2676</v>
      </c>
      <c r="R30" s="4" t="s">
        <v>405</v>
      </c>
      <c r="S30" s="4" t="s">
        <v>406</v>
      </c>
      <c r="T30" s="4"/>
      <c r="U30" s="4" t="s">
        <v>22</v>
      </c>
      <c r="V30" s="30" t="s">
        <v>272</v>
      </c>
      <c r="W30" s="4"/>
      <c r="X30" s="4"/>
      <c r="Y30" s="4"/>
    </row>
    <row r="31" spans="1:25" ht="22.5" x14ac:dyDescent="0.25">
      <c r="A31" s="68">
        <v>28</v>
      </c>
      <c r="B31" s="4">
        <v>68280</v>
      </c>
      <c r="C31" s="4" t="s">
        <v>120</v>
      </c>
      <c r="D31" s="4">
        <v>9987118962</v>
      </c>
      <c r="E31" s="4" t="s">
        <v>321</v>
      </c>
      <c r="F31" s="4" t="s">
        <v>121</v>
      </c>
      <c r="G31" s="4" t="s">
        <v>80</v>
      </c>
      <c r="H31" s="4" t="s">
        <v>383</v>
      </c>
      <c r="I31" s="4" t="s">
        <v>565</v>
      </c>
      <c r="J31" s="4"/>
      <c r="K31" s="4"/>
      <c r="L31" s="22">
        <v>416</v>
      </c>
      <c r="M31" s="4" t="s">
        <v>68</v>
      </c>
      <c r="N31" s="26">
        <f>Table134[[#This Row],[QTY
RECIVED]]-Table134[[#This Row],[QTY 
ISSUED]]</f>
        <v>208</v>
      </c>
      <c r="O31" s="61">
        <f>Table134[[#This Row],[INVENTORY]]/208</f>
        <v>1</v>
      </c>
      <c r="P31" s="4" t="s">
        <v>119</v>
      </c>
      <c r="Q31" s="4">
        <f>30+50+128</f>
        <v>208</v>
      </c>
      <c r="R31" s="4" t="s">
        <v>577</v>
      </c>
      <c r="S31" s="4" t="s">
        <v>578</v>
      </c>
      <c r="T31" s="4"/>
      <c r="U31" s="4" t="s">
        <v>22</v>
      </c>
      <c r="V31" s="4"/>
      <c r="W31" s="4"/>
      <c r="X31" s="4"/>
      <c r="Y31" s="4"/>
    </row>
    <row r="32" spans="1:25" x14ac:dyDescent="0.25">
      <c r="A32" s="68">
        <v>29</v>
      </c>
      <c r="B32" s="4">
        <v>68280</v>
      </c>
      <c r="C32" s="4" t="s">
        <v>120</v>
      </c>
      <c r="D32" s="4">
        <v>9987118972</v>
      </c>
      <c r="E32" s="4" t="s">
        <v>321</v>
      </c>
      <c r="F32" s="4" t="s">
        <v>121</v>
      </c>
      <c r="G32" s="4" t="s">
        <v>80</v>
      </c>
      <c r="H32" s="4" t="s">
        <v>383</v>
      </c>
      <c r="I32" s="4" t="s">
        <v>555</v>
      </c>
      <c r="J32" s="4"/>
      <c r="K32" s="4"/>
      <c r="L32" s="22">
        <v>416</v>
      </c>
      <c r="M32" s="4" t="s">
        <v>68</v>
      </c>
      <c r="N32" s="26">
        <f>Table134[[#This Row],[QTY
RECIVED]]-Table134[[#This Row],[QTY 
ISSUED]]</f>
        <v>0</v>
      </c>
      <c r="O32" s="11">
        <v>0</v>
      </c>
      <c r="P32" s="4" t="s">
        <v>119</v>
      </c>
      <c r="Q32" s="4">
        <f>120+296</f>
        <v>416</v>
      </c>
      <c r="R32" s="4" t="s">
        <v>409</v>
      </c>
      <c r="S32" s="4" t="s">
        <v>410</v>
      </c>
      <c r="T32" s="4"/>
      <c r="U32" s="4" t="s">
        <v>22</v>
      </c>
      <c r="V32" s="2"/>
      <c r="W32" s="4"/>
      <c r="X32" s="4"/>
      <c r="Y32" s="4"/>
    </row>
    <row r="33" spans="1:25" ht="22.5" x14ac:dyDescent="0.25">
      <c r="A33" s="68">
        <v>30</v>
      </c>
      <c r="B33" s="4">
        <v>6844</v>
      </c>
      <c r="C33" s="4" t="s">
        <v>744</v>
      </c>
      <c r="D33" s="4">
        <v>9987112342</v>
      </c>
      <c r="E33" s="4" t="s">
        <v>321</v>
      </c>
      <c r="F33" s="4" t="s">
        <v>287</v>
      </c>
      <c r="G33" s="4" t="s">
        <v>288</v>
      </c>
      <c r="H33" s="4" t="s">
        <v>384</v>
      </c>
      <c r="I33" s="4" t="s">
        <v>571</v>
      </c>
      <c r="J33" s="4"/>
      <c r="K33" s="4"/>
      <c r="L33" s="22">
        <v>209</v>
      </c>
      <c r="M33" s="4" t="s">
        <v>289</v>
      </c>
      <c r="N33" s="26">
        <f>Table134[[#This Row],[QTY
RECIVED]]-Table134[[#This Row],[QTY 
ISSUED]]</f>
        <v>114</v>
      </c>
      <c r="O33" s="64">
        <f>Table134[[#This Row],[INVENTORY]]/209</f>
        <v>0.54545454545454541</v>
      </c>
      <c r="P33" s="4" t="s">
        <v>290</v>
      </c>
      <c r="Q33" s="4">
        <v>95</v>
      </c>
      <c r="R33" s="4" t="s">
        <v>291</v>
      </c>
      <c r="S33" s="4" t="s">
        <v>292</v>
      </c>
      <c r="T33" s="4"/>
      <c r="U33" s="4"/>
      <c r="V33" s="2"/>
      <c r="W33" s="4"/>
      <c r="X33" s="4"/>
      <c r="Y33" s="4"/>
    </row>
    <row r="34" spans="1:25" ht="22.5" x14ac:dyDescent="0.25">
      <c r="A34" s="68">
        <v>31</v>
      </c>
      <c r="B34" s="4">
        <v>6844</v>
      </c>
      <c r="C34" s="4" t="s">
        <v>744</v>
      </c>
      <c r="D34" s="4">
        <v>9987112462</v>
      </c>
      <c r="E34" s="4" t="s">
        <v>321</v>
      </c>
      <c r="F34" s="4" t="s">
        <v>287</v>
      </c>
      <c r="G34" s="4" t="s">
        <v>288</v>
      </c>
      <c r="H34" s="4" t="s">
        <v>384</v>
      </c>
      <c r="I34" s="4" t="s">
        <v>584</v>
      </c>
      <c r="J34" s="4"/>
      <c r="K34" s="4"/>
      <c r="L34" s="22">
        <v>20</v>
      </c>
      <c r="M34" s="4" t="s">
        <v>289</v>
      </c>
      <c r="N34" s="26">
        <f>Table134[[#This Row],[QTY
RECIVED]]-Table134[[#This Row],[QTY 
ISSUED]]</f>
        <v>10</v>
      </c>
      <c r="O34" s="11">
        <v>0</v>
      </c>
      <c r="P34" s="4" t="s">
        <v>290</v>
      </c>
      <c r="Q34" s="4">
        <v>10</v>
      </c>
      <c r="R34" s="4" t="s">
        <v>293</v>
      </c>
      <c r="S34" s="4" t="s">
        <v>294</v>
      </c>
      <c r="T34" s="4"/>
      <c r="U34" s="4"/>
      <c r="V34" s="2"/>
      <c r="W34" s="4"/>
      <c r="X34" s="4"/>
      <c r="Y34" s="4"/>
    </row>
    <row r="35" spans="1:25" x14ac:dyDescent="0.25">
      <c r="A35" s="3">
        <v>32</v>
      </c>
      <c r="B35" s="4"/>
      <c r="C35" s="4"/>
      <c r="D35" s="4">
        <v>9987118962</v>
      </c>
      <c r="E35" s="4" t="s">
        <v>321</v>
      </c>
      <c r="F35" s="4" t="s">
        <v>295</v>
      </c>
      <c r="G35" s="4" t="s">
        <v>80</v>
      </c>
      <c r="H35" s="4" t="s">
        <v>383</v>
      </c>
      <c r="I35" s="4" t="s">
        <v>565</v>
      </c>
      <c r="J35" s="4"/>
      <c r="K35" s="4"/>
      <c r="L35" s="22">
        <v>208</v>
      </c>
      <c r="M35" s="4" t="s">
        <v>68</v>
      </c>
      <c r="N35" s="84">
        <f>Table134[[#This Row],[QTY
RECIVED]]-Table134[[#This Row],[QTY 
ISSUED]]</f>
        <v>208</v>
      </c>
      <c r="O35" s="61">
        <f>Table134[[#This Row],[INVENTORY]]/208</f>
        <v>1</v>
      </c>
      <c r="P35" s="4" t="s">
        <v>296</v>
      </c>
      <c r="Q35" s="4">
        <f>208-208</f>
        <v>0</v>
      </c>
      <c r="R35" s="4" t="s">
        <v>104</v>
      </c>
      <c r="S35" s="4" t="s">
        <v>576</v>
      </c>
      <c r="T35" s="4" t="s">
        <v>626</v>
      </c>
      <c r="U35" s="4"/>
      <c r="V35" s="5" t="s">
        <v>272</v>
      </c>
      <c r="W35" s="4"/>
      <c r="X35" s="4"/>
      <c r="Y35" s="4"/>
    </row>
    <row r="36" spans="1:25" ht="33.75" x14ac:dyDescent="0.25">
      <c r="A36" s="68">
        <v>33</v>
      </c>
      <c r="B36" s="4"/>
      <c r="C36" s="4" t="s">
        <v>743</v>
      </c>
      <c r="D36" s="4">
        <v>9987119112</v>
      </c>
      <c r="E36" s="4" t="s">
        <v>321</v>
      </c>
      <c r="F36" s="4" t="s">
        <v>390</v>
      </c>
      <c r="G36" s="4" t="s">
        <v>391</v>
      </c>
      <c r="H36" s="4"/>
      <c r="I36" s="4" t="s">
        <v>551</v>
      </c>
      <c r="J36" s="4"/>
      <c r="K36" s="4" t="s">
        <v>398</v>
      </c>
      <c r="L36" s="22">
        <v>169</v>
      </c>
      <c r="M36" s="4" t="s">
        <v>68</v>
      </c>
      <c r="N36" s="85">
        <f>Table134[[#This Row],[QTY
RECIVED]]-Table134[[#This Row],[QTY 
ISSUED]]</f>
        <v>169</v>
      </c>
      <c r="O36" s="61">
        <f>Table134[[#This Row],[INVENTORY]]/208</f>
        <v>0.8125</v>
      </c>
      <c r="P36" s="4" t="s">
        <v>392</v>
      </c>
      <c r="Q36" s="4"/>
      <c r="R36" s="4"/>
      <c r="S36" s="4"/>
      <c r="T36" s="4"/>
      <c r="U36" s="4"/>
      <c r="V36" s="2" t="s">
        <v>272</v>
      </c>
      <c r="W36" s="4"/>
      <c r="X36" s="4"/>
      <c r="Y36" s="4"/>
    </row>
    <row r="37" spans="1:25" ht="22.5" x14ac:dyDescent="0.25">
      <c r="A37" s="3">
        <v>34</v>
      </c>
      <c r="B37" s="4" t="s">
        <v>14</v>
      </c>
      <c r="C37" s="4" t="s">
        <v>15</v>
      </c>
      <c r="D37" s="4"/>
      <c r="E37" s="4" t="s">
        <v>324</v>
      </c>
      <c r="F37" s="4" t="s">
        <v>13</v>
      </c>
      <c r="G37" s="4" t="s">
        <v>16</v>
      </c>
      <c r="H37" s="4" t="s">
        <v>162</v>
      </c>
      <c r="I37" s="4" t="s">
        <v>538</v>
      </c>
      <c r="J37" s="4"/>
      <c r="K37" s="4"/>
      <c r="L37" s="22">
        <v>600</v>
      </c>
      <c r="M37" s="4" t="s">
        <v>17</v>
      </c>
      <c r="N37" s="26">
        <f>Table134[[#This Row],[QTY
RECIVED]]-Table134[[#This Row],[QTY 
ISSUED]]</f>
        <v>0</v>
      </c>
      <c r="O37" s="11"/>
      <c r="P37" s="4" t="s">
        <v>18</v>
      </c>
      <c r="Q37" s="4">
        <v>600</v>
      </c>
      <c r="R37" s="4" t="s">
        <v>19</v>
      </c>
      <c r="S37" s="4" t="s">
        <v>20</v>
      </c>
      <c r="T37" s="4"/>
      <c r="U37" s="4" t="s">
        <v>21</v>
      </c>
      <c r="V37" s="2"/>
      <c r="W37" s="4"/>
      <c r="X37" s="4"/>
      <c r="Y37" s="4"/>
    </row>
    <row r="38" spans="1:25" ht="22.5" x14ac:dyDescent="0.25">
      <c r="A38" s="3">
        <v>35</v>
      </c>
      <c r="B38" s="4" t="s">
        <v>14</v>
      </c>
      <c r="C38" s="4" t="s">
        <v>15</v>
      </c>
      <c r="D38" s="4"/>
      <c r="E38" s="4" t="s">
        <v>324</v>
      </c>
      <c r="F38" s="4" t="s">
        <v>13</v>
      </c>
      <c r="G38" s="4" t="s">
        <v>16</v>
      </c>
      <c r="H38" s="4" t="s">
        <v>167</v>
      </c>
      <c r="I38" s="4" t="s">
        <v>539</v>
      </c>
      <c r="J38" s="4"/>
      <c r="K38" s="4"/>
      <c r="L38" s="22">
        <v>600</v>
      </c>
      <c r="M38" s="4" t="s">
        <v>17</v>
      </c>
      <c r="N38" s="26">
        <f>Table134[[#This Row],[QTY
RECIVED]]-Table134[[#This Row],[QTY 
ISSUED]]</f>
        <v>0</v>
      </c>
      <c r="O38" s="11"/>
      <c r="P38" s="4" t="s">
        <v>18</v>
      </c>
      <c r="Q38" s="4">
        <v>600</v>
      </c>
      <c r="R38" s="4" t="s">
        <v>19</v>
      </c>
      <c r="S38" s="4" t="s">
        <v>20</v>
      </c>
      <c r="T38" s="4"/>
      <c r="U38" s="4" t="s">
        <v>22</v>
      </c>
      <c r="V38" s="2"/>
      <c r="W38" s="4"/>
      <c r="X38" s="4"/>
      <c r="Y38" s="4"/>
    </row>
    <row r="39" spans="1:25" ht="22.5" x14ac:dyDescent="0.25">
      <c r="A39" s="3">
        <v>36</v>
      </c>
      <c r="B39" s="4" t="s">
        <v>14</v>
      </c>
      <c r="C39" s="4" t="s">
        <v>15</v>
      </c>
      <c r="D39" s="4">
        <v>9961641022</v>
      </c>
      <c r="E39" s="4" t="s">
        <v>324</v>
      </c>
      <c r="F39" s="4" t="s">
        <v>13</v>
      </c>
      <c r="G39" s="4" t="s">
        <v>16</v>
      </c>
      <c r="H39" s="4" t="s">
        <v>165</v>
      </c>
      <c r="I39" s="4" t="s">
        <v>536</v>
      </c>
      <c r="J39" s="4"/>
      <c r="K39" s="4"/>
      <c r="L39" s="22">
        <v>2000</v>
      </c>
      <c r="M39" s="4" t="s">
        <v>17</v>
      </c>
      <c r="N39" s="26">
        <f>Table134[[#This Row],[QTY
RECIVED]]-Table134[[#This Row],[QTY 
ISSUED]]</f>
        <v>0</v>
      </c>
      <c r="O39" s="11"/>
      <c r="P39" s="4" t="s">
        <v>18</v>
      </c>
      <c r="Q39" s="4">
        <v>2000</v>
      </c>
      <c r="R39" s="4" t="s">
        <v>23</v>
      </c>
      <c r="S39" s="4" t="s">
        <v>24</v>
      </c>
      <c r="T39" s="4"/>
      <c r="U39" s="4" t="s">
        <v>25</v>
      </c>
      <c r="V39" s="2"/>
      <c r="W39" s="4"/>
      <c r="X39" s="4"/>
      <c r="Y39" s="4"/>
    </row>
    <row r="40" spans="1:25" ht="22.5" x14ac:dyDescent="0.25">
      <c r="A40" s="3">
        <v>37</v>
      </c>
      <c r="B40" s="4" t="s">
        <v>14</v>
      </c>
      <c r="C40" s="4" t="s">
        <v>15</v>
      </c>
      <c r="D40" s="4">
        <v>9961641042</v>
      </c>
      <c r="E40" s="4" t="s">
        <v>324</v>
      </c>
      <c r="F40" s="4" t="s">
        <v>13</v>
      </c>
      <c r="G40" s="4" t="s">
        <v>16</v>
      </c>
      <c r="H40" s="4" t="s">
        <v>163</v>
      </c>
      <c r="I40" s="4" t="s">
        <v>537</v>
      </c>
      <c r="J40" s="4"/>
      <c r="K40" s="4"/>
      <c r="L40" s="22">
        <v>800</v>
      </c>
      <c r="M40" s="4" t="s">
        <v>17</v>
      </c>
      <c r="N40" s="26">
        <f>Table134[[#This Row],[QTY
RECIVED]]-Table134[[#This Row],[QTY 
ISSUED]]</f>
        <v>0</v>
      </c>
      <c r="O40" s="11"/>
      <c r="P40" s="4" t="s">
        <v>18</v>
      </c>
      <c r="Q40" s="4">
        <v>800</v>
      </c>
      <c r="R40" s="4" t="s">
        <v>26</v>
      </c>
      <c r="S40" s="4" t="s">
        <v>27</v>
      </c>
      <c r="T40" s="4"/>
      <c r="U40" s="4" t="s">
        <v>25</v>
      </c>
      <c r="V40" s="2"/>
      <c r="W40" s="4"/>
      <c r="X40" s="4"/>
      <c r="Y40" s="4"/>
    </row>
    <row r="41" spans="1:25" ht="22.5" x14ac:dyDescent="0.25">
      <c r="A41" s="68">
        <v>38</v>
      </c>
      <c r="B41" s="4" t="s">
        <v>14</v>
      </c>
      <c r="C41" s="4" t="s">
        <v>15</v>
      </c>
      <c r="D41" s="4">
        <v>9961641082</v>
      </c>
      <c r="E41" s="4" t="s">
        <v>324</v>
      </c>
      <c r="F41" s="4" t="s">
        <v>13</v>
      </c>
      <c r="G41" s="4" t="s">
        <v>16</v>
      </c>
      <c r="H41" s="4" t="s">
        <v>16</v>
      </c>
      <c r="I41" s="4" t="s">
        <v>618</v>
      </c>
      <c r="J41" s="4"/>
      <c r="K41" s="4"/>
      <c r="L41" s="22">
        <v>900</v>
      </c>
      <c r="M41" s="4" t="s">
        <v>17</v>
      </c>
      <c r="N41" s="26">
        <f>Table134[[#This Row],[QTY
RECIVED]]-Table134[[#This Row],[QTY 
ISSUED]]</f>
        <v>0</v>
      </c>
      <c r="O41" s="11"/>
      <c r="P41" s="4" t="s">
        <v>18</v>
      </c>
      <c r="Q41" s="4">
        <f>600+300</f>
        <v>900</v>
      </c>
      <c r="R41" s="4" t="s">
        <v>142</v>
      </c>
      <c r="S41" s="4" t="s">
        <v>141</v>
      </c>
      <c r="T41" s="4"/>
      <c r="U41" s="4" t="s">
        <v>140</v>
      </c>
      <c r="V41" s="2"/>
      <c r="W41" s="4"/>
      <c r="X41" s="4"/>
      <c r="Y41" s="4"/>
    </row>
    <row r="42" spans="1:25" ht="45" x14ac:dyDescent="0.25">
      <c r="A42" s="3">
        <v>39</v>
      </c>
      <c r="B42" s="4" t="s">
        <v>14</v>
      </c>
      <c r="C42" s="4" t="s">
        <v>15</v>
      </c>
      <c r="D42" s="4">
        <v>9961641112</v>
      </c>
      <c r="E42" s="4" t="s">
        <v>324</v>
      </c>
      <c r="F42" s="4" t="s">
        <v>13</v>
      </c>
      <c r="G42" s="4" t="s">
        <v>16</v>
      </c>
      <c r="H42" s="4" t="s">
        <v>16</v>
      </c>
      <c r="I42" s="4" t="s">
        <v>617</v>
      </c>
      <c r="J42" s="4"/>
      <c r="K42" s="4"/>
      <c r="L42" s="22">
        <v>8764</v>
      </c>
      <c r="M42" s="4" t="s">
        <v>17</v>
      </c>
      <c r="N42" s="26">
        <f>Table134[[#This Row],[QTY
RECIVED]]-Table134[[#This Row],[QTY 
ISSUED]]</f>
        <v>0</v>
      </c>
      <c r="O42" s="11"/>
      <c r="P42" s="4" t="s">
        <v>18</v>
      </c>
      <c r="Q42" s="4">
        <v>8764</v>
      </c>
      <c r="R42" s="4" t="s">
        <v>153</v>
      </c>
      <c r="S42" s="4" t="s">
        <v>152</v>
      </c>
      <c r="T42" s="4"/>
      <c r="U42" s="4" t="s">
        <v>25</v>
      </c>
      <c r="V42" s="2"/>
      <c r="W42" s="4"/>
      <c r="X42" s="4"/>
      <c r="Y42" s="4"/>
    </row>
    <row r="43" spans="1:25" ht="22.5" x14ac:dyDescent="0.25">
      <c r="A43" s="3">
        <v>40</v>
      </c>
      <c r="B43" s="4" t="s">
        <v>29</v>
      </c>
      <c r="C43" s="4" t="s">
        <v>15</v>
      </c>
      <c r="D43" s="4"/>
      <c r="E43" s="4" t="s">
        <v>324</v>
      </c>
      <c r="F43" s="4" t="s">
        <v>28</v>
      </c>
      <c r="G43" s="4" t="s">
        <v>16</v>
      </c>
      <c r="H43" s="4" t="s">
        <v>162</v>
      </c>
      <c r="I43" s="4" t="s">
        <v>538</v>
      </c>
      <c r="J43" s="4"/>
      <c r="K43" s="4"/>
      <c r="L43" s="22">
        <v>1000</v>
      </c>
      <c r="M43" s="4" t="s">
        <v>30</v>
      </c>
      <c r="N43" s="26">
        <f>Table134[[#This Row],[QTY
RECIVED]]-Table134[[#This Row],[QTY 
ISSUED]]</f>
        <v>0</v>
      </c>
      <c r="O43" s="11"/>
      <c r="P43" s="4" t="s">
        <v>31</v>
      </c>
      <c r="Q43" s="4">
        <v>1000</v>
      </c>
      <c r="R43" s="4" t="s">
        <v>32</v>
      </c>
      <c r="S43" s="4" t="s">
        <v>33</v>
      </c>
      <c r="T43" s="4"/>
      <c r="U43" s="4" t="s">
        <v>21</v>
      </c>
      <c r="V43" s="2"/>
      <c r="W43" s="4"/>
      <c r="X43" s="4"/>
      <c r="Y43" s="4"/>
    </row>
    <row r="44" spans="1:25" ht="56.25" x14ac:dyDescent="0.25">
      <c r="A44" s="3">
        <v>41</v>
      </c>
      <c r="B44" s="4" t="s">
        <v>29</v>
      </c>
      <c r="C44" s="4" t="s">
        <v>15</v>
      </c>
      <c r="D44" s="4"/>
      <c r="E44" s="4" t="s">
        <v>324</v>
      </c>
      <c r="F44" s="4" t="s">
        <v>28</v>
      </c>
      <c r="G44" s="12" t="s">
        <v>16</v>
      </c>
      <c r="H44" s="4" t="s">
        <v>168</v>
      </c>
      <c r="I44" s="4" t="s">
        <v>540</v>
      </c>
      <c r="J44" s="4"/>
      <c r="K44" s="4"/>
      <c r="L44" s="22">
        <v>3000</v>
      </c>
      <c r="M44" s="4" t="s">
        <v>30</v>
      </c>
      <c r="N44" s="26">
        <f>Table134[[#This Row],[QTY
RECIVED]]-Table134[[#This Row],[QTY 
ISSUED]]</f>
        <v>0</v>
      </c>
      <c r="O44" s="11">
        <v>1150</v>
      </c>
      <c r="P44" s="4" t="s">
        <v>31</v>
      </c>
      <c r="Q44" s="4">
        <f>800+600+200+200+200-200+50+200+400+15+65+470</f>
        <v>3000</v>
      </c>
      <c r="R44" s="4" t="s">
        <v>828</v>
      </c>
      <c r="S44" s="4" t="s">
        <v>829</v>
      </c>
      <c r="T44" s="4" t="s">
        <v>450</v>
      </c>
      <c r="U44" s="4" t="s">
        <v>52</v>
      </c>
      <c r="V44" s="2"/>
      <c r="W44" s="4"/>
      <c r="X44" s="4"/>
      <c r="Y44" s="4"/>
    </row>
    <row r="45" spans="1:25" ht="22.5" x14ac:dyDescent="0.25">
      <c r="A45" s="3">
        <v>42</v>
      </c>
      <c r="B45" s="4" t="s">
        <v>344</v>
      </c>
      <c r="C45" s="4" t="s">
        <v>345</v>
      </c>
      <c r="D45" s="4">
        <v>9987009302</v>
      </c>
      <c r="E45" s="4" t="s">
        <v>321</v>
      </c>
      <c r="F45" s="4" t="s">
        <v>346</v>
      </c>
      <c r="G45" s="4" t="s">
        <v>22</v>
      </c>
      <c r="H45" s="4" t="s">
        <v>382</v>
      </c>
      <c r="I45" s="4" t="s">
        <v>568</v>
      </c>
      <c r="J45" s="4"/>
      <c r="K45" s="4"/>
      <c r="L45" s="22">
        <v>4994</v>
      </c>
      <c r="M45" s="4" t="s">
        <v>68</v>
      </c>
      <c r="N45" s="26">
        <f>Table134[[#This Row],[QTY
RECIVED]]-Table134[[#This Row],[QTY 
ISSUED]]</f>
        <v>0</v>
      </c>
      <c r="O45" s="20">
        <f>Table134[[#This Row],[INVENTORY]]/208</f>
        <v>0</v>
      </c>
      <c r="P45" s="4" t="s">
        <v>347</v>
      </c>
      <c r="Q45" s="4">
        <f>20+496+4478</f>
        <v>4994</v>
      </c>
      <c r="R45" s="4" t="s">
        <v>348</v>
      </c>
      <c r="S45" s="4" t="s">
        <v>349</v>
      </c>
      <c r="T45" s="4"/>
      <c r="U45" s="4" t="s">
        <v>42</v>
      </c>
      <c r="V45" s="2" t="s">
        <v>272</v>
      </c>
      <c r="W45" s="4"/>
      <c r="X45" s="4"/>
      <c r="Y45" s="4"/>
    </row>
    <row r="46" spans="1:25" ht="22.5" x14ac:dyDescent="0.25">
      <c r="A46" s="68">
        <v>43</v>
      </c>
      <c r="B46" s="4" t="s">
        <v>344</v>
      </c>
      <c r="C46" s="4" t="s">
        <v>345</v>
      </c>
      <c r="D46" s="4">
        <v>9987119262</v>
      </c>
      <c r="E46" s="4" t="s">
        <v>321</v>
      </c>
      <c r="F46" s="4" t="s">
        <v>346</v>
      </c>
      <c r="G46" s="4" t="s">
        <v>22</v>
      </c>
      <c r="H46" s="4" t="s">
        <v>382</v>
      </c>
      <c r="I46" s="4" t="s">
        <v>573</v>
      </c>
      <c r="J46" s="4"/>
      <c r="K46" s="4"/>
      <c r="L46" s="22">
        <v>416</v>
      </c>
      <c r="M46" s="4" t="s">
        <v>68</v>
      </c>
      <c r="N46" s="26">
        <f>Table134[[#This Row],[QTY
RECIVED]]-Table134[[#This Row],[QTY 
ISSUED]]</f>
        <v>0</v>
      </c>
      <c r="O46" s="20">
        <f>Table134[[#This Row],[INVENTORY]]/208</f>
        <v>0</v>
      </c>
      <c r="P46" s="4" t="s">
        <v>347</v>
      </c>
      <c r="Q46" s="4">
        <v>416</v>
      </c>
      <c r="R46" s="4" t="s">
        <v>123</v>
      </c>
      <c r="S46" s="4" t="s">
        <v>356</v>
      </c>
      <c r="T46" s="4"/>
      <c r="U46" s="4" t="s">
        <v>22</v>
      </c>
      <c r="V46" s="2"/>
      <c r="W46" s="4"/>
      <c r="X46" s="4"/>
      <c r="Y46" s="4"/>
    </row>
    <row r="47" spans="1:25" ht="22.5" x14ac:dyDescent="0.25">
      <c r="A47" s="3">
        <v>44</v>
      </c>
      <c r="B47" s="4" t="s">
        <v>344</v>
      </c>
      <c r="C47" s="4" t="s">
        <v>345</v>
      </c>
      <c r="D47" s="4">
        <v>9987118812</v>
      </c>
      <c r="E47" s="4" t="s">
        <v>321</v>
      </c>
      <c r="F47" s="4" t="s">
        <v>346</v>
      </c>
      <c r="G47" s="4" t="s">
        <v>22</v>
      </c>
      <c r="H47" s="4" t="s">
        <v>382</v>
      </c>
      <c r="I47" s="4" t="s">
        <v>357</v>
      </c>
      <c r="J47" s="4"/>
      <c r="K47" s="4"/>
      <c r="L47" s="22">
        <v>20</v>
      </c>
      <c r="M47" s="4" t="s">
        <v>68</v>
      </c>
      <c r="N47" s="26">
        <f>Table134[[#This Row],[QTY
RECIVED]]-Table134[[#This Row],[QTY 
ISSUED]]</f>
        <v>0</v>
      </c>
      <c r="O47" s="11">
        <v>0</v>
      </c>
      <c r="P47" s="4" t="s">
        <v>347</v>
      </c>
      <c r="Q47" s="4">
        <v>20</v>
      </c>
      <c r="R47" s="4" t="s">
        <v>358</v>
      </c>
      <c r="S47" s="4" t="s">
        <v>359</v>
      </c>
      <c r="T47" s="4"/>
      <c r="U47" s="4" t="s">
        <v>22</v>
      </c>
      <c r="V47" s="2"/>
      <c r="W47" s="4"/>
      <c r="X47" s="4"/>
      <c r="Y47" s="4"/>
    </row>
    <row r="48" spans="1:25" ht="22.5" x14ac:dyDescent="0.25">
      <c r="A48" s="3">
        <v>45</v>
      </c>
      <c r="B48" s="4" t="s">
        <v>344</v>
      </c>
      <c r="C48" s="4" t="s">
        <v>345</v>
      </c>
      <c r="D48" s="4" t="s">
        <v>753</v>
      </c>
      <c r="E48" s="4" t="s">
        <v>321</v>
      </c>
      <c r="F48" s="4" t="s">
        <v>346</v>
      </c>
      <c r="G48" s="4" t="s">
        <v>22</v>
      </c>
      <c r="H48" s="4" t="s">
        <v>384</v>
      </c>
      <c r="I48" s="4" t="s">
        <v>581</v>
      </c>
      <c r="J48" s="4"/>
      <c r="K48" s="4"/>
      <c r="L48" s="22">
        <v>20</v>
      </c>
      <c r="M48" s="4" t="s">
        <v>68</v>
      </c>
      <c r="N48" s="26">
        <f>Table134[[#This Row],[QTY
RECIVED]]-Table134[[#This Row],[QTY 
ISSUED]]</f>
        <v>12</v>
      </c>
      <c r="O48" s="64">
        <f>Table134[[#This Row],[INVENTORY]]/208</f>
        <v>5.7692307692307696E-2</v>
      </c>
      <c r="P48" s="4" t="s">
        <v>347</v>
      </c>
      <c r="Q48" s="4">
        <v>8</v>
      </c>
      <c r="R48" s="4" t="s">
        <v>354</v>
      </c>
      <c r="S48" s="4" t="s">
        <v>355</v>
      </c>
      <c r="T48" s="4"/>
      <c r="U48" s="4" t="s">
        <v>22</v>
      </c>
      <c r="V48" s="2"/>
      <c r="W48" s="4"/>
      <c r="X48" s="4"/>
      <c r="Y48" s="4"/>
    </row>
    <row r="49" spans="1:25" ht="22.5" x14ac:dyDescent="0.25">
      <c r="A49" s="3">
        <v>46</v>
      </c>
      <c r="B49" s="4" t="s">
        <v>344</v>
      </c>
      <c r="C49" s="4" t="s">
        <v>345</v>
      </c>
      <c r="D49" s="74" t="s">
        <v>753</v>
      </c>
      <c r="E49" s="4" t="s">
        <v>321</v>
      </c>
      <c r="F49" s="4" t="s">
        <v>346</v>
      </c>
      <c r="G49" s="4" t="s">
        <v>22</v>
      </c>
      <c r="H49" s="4" t="s">
        <v>384</v>
      </c>
      <c r="I49" s="4" t="s">
        <v>639</v>
      </c>
      <c r="J49" s="4"/>
      <c r="K49" s="4"/>
      <c r="L49" s="22">
        <v>40</v>
      </c>
      <c r="M49" s="4" t="s">
        <v>68</v>
      </c>
      <c r="N49" s="26">
        <f>Table134[[#This Row],[QTY
RECIVED]]-Table134[[#This Row],[QTY 
ISSUED]]</f>
        <v>20</v>
      </c>
      <c r="O49" s="11">
        <v>0</v>
      </c>
      <c r="P49" s="4" t="s">
        <v>347</v>
      </c>
      <c r="Q49" s="4">
        <v>20</v>
      </c>
      <c r="R49" s="4" t="s">
        <v>364</v>
      </c>
      <c r="S49" s="4" t="s">
        <v>355</v>
      </c>
      <c r="T49" s="4"/>
      <c r="U49" s="4" t="s">
        <v>22</v>
      </c>
      <c r="V49" s="2"/>
      <c r="W49" s="4"/>
      <c r="X49" s="4"/>
      <c r="Y49" s="4"/>
    </row>
    <row r="50" spans="1:25" ht="22.5" x14ac:dyDescent="0.25">
      <c r="A50" s="3">
        <v>47</v>
      </c>
      <c r="B50" s="4" t="s">
        <v>344</v>
      </c>
      <c r="C50" s="4" t="s">
        <v>345</v>
      </c>
      <c r="D50" s="74" t="s">
        <v>754</v>
      </c>
      <c r="E50" s="4" t="s">
        <v>321</v>
      </c>
      <c r="F50" s="4" t="s">
        <v>346</v>
      </c>
      <c r="G50" s="4" t="s">
        <v>22</v>
      </c>
      <c r="H50" s="4" t="s">
        <v>384</v>
      </c>
      <c r="I50" s="4" t="s">
        <v>582</v>
      </c>
      <c r="J50" s="4"/>
      <c r="K50" s="4"/>
      <c r="L50" s="22">
        <v>20</v>
      </c>
      <c r="M50" s="4" t="s">
        <v>68</v>
      </c>
      <c r="N50" s="26">
        <f>Table134[[#This Row],[QTY
RECIVED]]-Table134[[#This Row],[QTY 
ISSUED]]</f>
        <v>20</v>
      </c>
      <c r="O50" s="11">
        <v>0</v>
      </c>
      <c r="P50" s="4" t="s">
        <v>347</v>
      </c>
      <c r="Q50" s="4"/>
      <c r="R50" s="4"/>
      <c r="S50" s="4"/>
      <c r="T50" s="4"/>
      <c r="U50" s="4"/>
      <c r="V50" s="2"/>
      <c r="W50" s="4"/>
      <c r="X50" s="4"/>
      <c r="Y50" s="4"/>
    </row>
    <row r="51" spans="1:25" ht="22.5" x14ac:dyDescent="0.25">
      <c r="A51" s="3">
        <v>48</v>
      </c>
      <c r="B51" s="4" t="s">
        <v>344</v>
      </c>
      <c r="C51" s="4" t="s">
        <v>345</v>
      </c>
      <c r="D51" s="4" t="s">
        <v>754</v>
      </c>
      <c r="E51" s="4" t="s">
        <v>321</v>
      </c>
      <c r="F51" s="4" t="s">
        <v>346</v>
      </c>
      <c r="G51" s="4" t="s">
        <v>22</v>
      </c>
      <c r="H51" s="4" t="s">
        <v>384</v>
      </c>
      <c r="I51" s="4" t="s">
        <v>583</v>
      </c>
      <c r="J51" s="4"/>
      <c r="K51" s="4"/>
      <c r="L51" s="22">
        <v>20</v>
      </c>
      <c r="M51" s="4" t="s">
        <v>68</v>
      </c>
      <c r="N51" s="26">
        <f>Table134[[#This Row],[QTY
RECIVED]]-Table134[[#This Row],[QTY 
ISSUED]]</f>
        <v>20</v>
      </c>
      <c r="O51" s="11">
        <v>0</v>
      </c>
      <c r="P51" s="4" t="s">
        <v>347</v>
      </c>
      <c r="Q51" s="4"/>
      <c r="R51" s="4"/>
      <c r="S51" s="4"/>
      <c r="T51" s="4"/>
      <c r="U51" s="4"/>
      <c r="V51" s="2"/>
      <c r="W51" s="4"/>
      <c r="X51" s="4"/>
      <c r="Y51" s="4"/>
    </row>
    <row r="52" spans="1:25" ht="22.5" x14ac:dyDescent="0.25">
      <c r="A52" s="3">
        <v>49</v>
      </c>
      <c r="B52" s="4" t="s">
        <v>344</v>
      </c>
      <c r="C52" s="4" t="s">
        <v>345</v>
      </c>
      <c r="D52" s="74" t="s">
        <v>755</v>
      </c>
      <c r="E52" s="4" t="s">
        <v>321</v>
      </c>
      <c r="F52" s="4" t="s">
        <v>346</v>
      </c>
      <c r="G52" s="4" t="s">
        <v>22</v>
      </c>
      <c r="H52" s="4" t="s">
        <v>384</v>
      </c>
      <c r="I52" s="4" t="s">
        <v>566</v>
      </c>
      <c r="J52" s="4"/>
      <c r="K52" s="4"/>
      <c r="L52" s="22">
        <v>208</v>
      </c>
      <c r="M52" s="4" t="s">
        <v>68</v>
      </c>
      <c r="N52" s="26">
        <f>Table134[[#This Row],[QTY
RECIVED]]-Table134[[#This Row],[QTY 
ISSUED]]</f>
        <v>0</v>
      </c>
      <c r="O52" s="11">
        <v>0</v>
      </c>
      <c r="P52" s="4" t="s">
        <v>347</v>
      </c>
      <c r="Q52" s="4">
        <v>208</v>
      </c>
      <c r="R52" s="4" t="s">
        <v>360</v>
      </c>
      <c r="S52" s="4" t="s">
        <v>361</v>
      </c>
      <c r="T52" s="4"/>
      <c r="U52" s="4" t="s">
        <v>22</v>
      </c>
      <c r="V52" s="2"/>
      <c r="W52" s="4"/>
      <c r="X52" s="4"/>
      <c r="Y52" s="4"/>
    </row>
    <row r="53" spans="1:25" ht="22.5" x14ac:dyDescent="0.25">
      <c r="A53" s="3">
        <v>50</v>
      </c>
      <c r="B53" s="4" t="s">
        <v>344</v>
      </c>
      <c r="C53" s="4" t="s">
        <v>345</v>
      </c>
      <c r="D53" s="4" t="s">
        <v>756</v>
      </c>
      <c r="E53" s="4" t="s">
        <v>321</v>
      </c>
      <c r="F53" s="4" t="s">
        <v>346</v>
      </c>
      <c r="G53" s="4" t="s">
        <v>22</v>
      </c>
      <c r="H53" s="4" t="s">
        <v>384</v>
      </c>
      <c r="I53" s="4" t="s">
        <v>567</v>
      </c>
      <c r="J53" s="4"/>
      <c r="K53" s="4"/>
      <c r="L53" s="22">
        <v>208</v>
      </c>
      <c r="M53" s="4" t="s">
        <v>68</v>
      </c>
      <c r="N53" s="26">
        <f>Table134[[#This Row],[QTY
RECIVED]]-Table134[[#This Row],[QTY 
ISSUED]]</f>
        <v>0</v>
      </c>
      <c r="O53" s="11">
        <v>0</v>
      </c>
      <c r="P53" s="4" t="s">
        <v>347</v>
      </c>
      <c r="Q53" s="4">
        <v>208</v>
      </c>
      <c r="R53" s="4" t="s">
        <v>362</v>
      </c>
      <c r="S53" s="4" t="s">
        <v>363</v>
      </c>
      <c r="T53" s="4"/>
      <c r="U53" s="4" t="s">
        <v>22</v>
      </c>
      <c r="V53" s="5"/>
      <c r="W53" s="4"/>
      <c r="X53" s="4"/>
      <c r="Y53" s="4"/>
    </row>
    <row r="54" spans="1:25" ht="22.5" x14ac:dyDescent="0.25">
      <c r="A54" s="3">
        <v>51</v>
      </c>
      <c r="B54" s="4"/>
      <c r="C54" s="4"/>
      <c r="D54" s="4">
        <v>9987119402</v>
      </c>
      <c r="E54" s="4" t="s">
        <v>321</v>
      </c>
      <c r="F54" s="4" t="s">
        <v>346</v>
      </c>
      <c r="G54" s="4" t="s">
        <v>22</v>
      </c>
      <c r="H54" s="4"/>
      <c r="I54" s="4" t="s">
        <v>788</v>
      </c>
      <c r="J54" s="4"/>
      <c r="K54" s="4"/>
      <c r="L54" s="22">
        <v>20</v>
      </c>
      <c r="M54" s="4" t="s">
        <v>68</v>
      </c>
      <c r="N54" s="26">
        <f>Table134[[#This Row],[QTY
RECIVED]]-Table134[[#This Row],[QTY 
ISSUED]]</f>
        <v>20</v>
      </c>
      <c r="O54" s="11">
        <v>0</v>
      </c>
      <c r="P54" s="4" t="s">
        <v>347</v>
      </c>
      <c r="Q54" s="4"/>
      <c r="R54" s="4"/>
      <c r="S54" s="4"/>
      <c r="T54" s="4"/>
      <c r="U54" s="4"/>
      <c r="V54" s="5"/>
      <c r="W54" s="4"/>
      <c r="X54" s="4"/>
      <c r="Y54" s="4"/>
    </row>
    <row r="55" spans="1:25" ht="22.5" x14ac:dyDescent="0.25">
      <c r="A55" s="3">
        <v>52</v>
      </c>
      <c r="B55" s="4" t="s">
        <v>35</v>
      </c>
      <c r="C55" s="4" t="s">
        <v>15</v>
      </c>
      <c r="D55" s="4">
        <v>9961641042</v>
      </c>
      <c r="E55" s="4" t="s">
        <v>324</v>
      </c>
      <c r="F55" s="4" t="s">
        <v>34</v>
      </c>
      <c r="G55" s="4" t="s">
        <v>16</v>
      </c>
      <c r="H55" s="4" t="s">
        <v>163</v>
      </c>
      <c r="I55" s="4" t="s">
        <v>537</v>
      </c>
      <c r="J55" s="4"/>
      <c r="K55" s="4"/>
      <c r="L55" s="22">
        <v>1125</v>
      </c>
      <c r="M55" s="4" t="s">
        <v>30</v>
      </c>
      <c r="N55" s="26">
        <f>Table134[[#This Row],[QTY
RECIVED]]-Table134[[#This Row],[QTY 
ISSUED]]</f>
        <v>0</v>
      </c>
      <c r="O55" s="11"/>
      <c r="P55" s="4" t="s">
        <v>36</v>
      </c>
      <c r="Q55" s="4">
        <v>1125</v>
      </c>
      <c r="R55" s="4" t="s">
        <v>37</v>
      </c>
      <c r="S55" s="4" t="s">
        <v>38</v>
      </c>
      <c r="T55" s="4"/>
      <c r="U55" s="4" t="s">
        <v>25</v>
      </c>
      <c r="V55" s="5"/>
      <c r="W55" s="4"/>
      <c r="X55" s="4"/>
      <c r="Y55" s="4"/>
    </row>
    <row r="56" spans="1:25" ht="22.5" x14ac:dyDescent="0.25">
      <c r="A56" s="3">
        <v>53</v>
      </c>
      <c r="B56" s="4" t="s">
        <v>35</v>
      </c>
      <c r="C56" s="4" t="s">
        <v>15</v>
      </c>
      <c r="D56" s="4"/>
      <c r="E56" s="4" t="s">
        <v>324</v>
      </c>
      <c r="F56" s="4" t="s">
        <v>34</v>
      </c>
      <c r="G56" s="4" t="s">
        <v>16</v>
      </c>
      <c r="H56" s="4" t="s">
        <v>167</v>
      </c>
      <c r="I56" s="4" t="s">
        <v>539</v>
      </c>
      <c r="J56" s="4"/>
      <c r="K56" s="4"/>
      <c r="L56" s="22">
        <v>1400</v>
      </c>
      <c r="M56" s="4" t="s">
        <v>30</v>
      </c>
      <c r="N56" s="26">
        <f>Table134[[#This Row],[QTY
RECIVED]]-Table134[[#This Row],[QTY 
ISSUED]]</f>
        <v>0</v>
      </c>
      <c r="O56" s="11"/>
      <c r="P56" s="4" t="s">
        <v>36</v>
      </c>
      <c r="Q56" s="4">
        <v>1400</v>
      </c>
      <c r="R56" s="4" t="s">
        <v>40</v>
      </c>
      <c r="S56" s="4" t="s">
        <v>41</v>
      </c>
      <c r="T56" s="4"/>
      <c r="U56" s="4" t="s">
        <v>42</v>
      </c>
      <c r="V56" s="2"/>
      <c r="W56" s="4"/>
      <c r="X56" s="4"/>
      <c r="Y56" s="4"/>
    </row>
    <row r="57" spans="1:25" ht="22.5" x14ac:dyDescent="0.25">
      <c r="A57" s="3">
        <v>54</v>
      </c>
      <c r="B57" s="4" t="s">
        <v>35</v>
      </c>
      <c r="C57" s="4" t="s">
        <v>15</v>
      </c>
      <c r="D57" s="73">
        <v>9961641042</v>
      </c>
      <c r="E57" s="4" t="s">
        <v>324</v>
      </c>
      <c r="F57" s="4" t="s">
        <v>34</v>
      </c>
      <c r="G57" s="4" t="s">
        <v>16</v>
      </c>
      <c r="H57" s="67" t="s">
        <v>164</v>
      </c>
      <c r="I57" s="4" t="s">
        <v>710</v>
      </c>
      <c r="J57" s="4"/>
      <c r="K57" s="4"/>
      <c r="L57" s="22">
        <v>400</v>
      </c>
      <c r="M57" s="4" t="s">
        <v>30</v>
      </c>
      <c r="N57" s="26">
        <f>Table134[[#This Row],[QTY
RECIVED]]-Table134[[#This Row],[QTY 
ISSUED]]</f>
        <v>0</v>
      </c>
      <c r="O57" s="11"/>
      <c r="P57" s="4" t="s">
        <v>36</v>
      </c>
      <c r="Q57" s="4">
        <v>400</v>
      </c>
      <c r="R57" s="4" t="s">
        <v>43</v>
      </c>
      <c r="S57" s="4" t="s">
        <v>44</v>
      </c>
      <c r="T57" s="4"/>
      <c r="U57" s="4" t="s">
        <v>25</v>
      </c>
      <c r="V57" s="2"/>
      <c r="W57" s="4"/>
      <c r="X57" s="4"/>
      <c r="Y57" s="4"/>
    </row>
    <row r="58" spans="1:25" ht="22.5" x14ac:dyDescent="0.25">
      <c r="A58" s="68">
        <v>55</v>
      </c>
      <c r="B58" s="4" t="s">
        <v>35</v>
      </c>
      <c r="C58" s="4" t="s">
        <v>15</v>
      </c>
      <c r="D58" s="4">
        <v>9961641082</v>
      </c>
      <c r="E58" s="4" t="s">
        <v>324</v>
      </c>
      <c r="F58" s="4" t="s">
        <v>34</v>
      </c>
      <c r="G58" s="4" t="s">
        <v>16</v>
      </c>
      <c r="H58" s="4" t="s">
        <v>16</v>
      </c>
      <c r="I58" s="4" t="s">
        <v>618</v>
      </c>
      <c r="J58" s="4"/>
      <c r="K58" s="4"/>
      <c r="L58" s="22">
        <v>1800</v>
      </c>
      <c r="M58" s="4" t="s">
        <v>30</v>
      </c>
      <c r="N58" s="26">
        <f>Table134[[#This Row],[QTY
RECIVED]]-Table134[[#This Row],[QTY 
ISSUED]]</f>
        <v>0</v>
      </c>
      <c r="O58" s="11"/>
      <c r="P58" s="4" t="s">
        <v>36</v>
      </c>
      <c r="Q58" s="4">
        <f>1750+50</f>
        <v>1800</v>
      </c>
      <c r="R58" s="4" t="s">
        <v>144</v>
      </c>
      <c r="S58" s="4" t="s">
        <v>143</v>
      </c>
      <c r="T58" s="4"/>
      <c r="U58" s="4" t="s">
        <v>25</v>
      </c>
      <c r="V58" s="2"/>
      <c r="W58" s="4"/>
      <c r="X58" s="4"/>
      <c r="Y58" s="4"/>
    </row>
    <row r="59" spans="1:25" ht="33.75" x14ac:dyDescent="0.25">
      <c r="A59" s="3">
        <v>56</v>
      </c>
      <c r="B59" s="4" t="s">
        <v>35</v>
      </c>
      <c r="C59" s="4" t="s">
        <v>15</v>
      </c>
      <c r="D59" s="4">
        <v>9961641022</v>
      </c>
      <c r="E59" s="4" t="s">
        <v>324</v>
      </c>
      <c r="F59" s="4" t="s">
        <v>34</v>
      </c>
      <c r="G59" s="4" t="s">
        <v>16</v>
      </c>
      <c r="H59" s="4" t="s">
        <v>165</v>
      </c>
      <c r="I59" s="4" t="s">
        <v>536</v>
      </c>
      <c r="J59" s="4"/>
      <c r="K59" s="4"/>
      <c r="L59" s="22">
        <v>4100</v>
      </c>
      <c r="M59" s="4" t="s">
        <v>30</v>
      </c>
      <c r="N59" s="26">
        <f>Table134[[#This Row],[QTY
RECIVED]]-Table134[[#This Row],[QTY 
ISSUED]]</f>
        <v>0</v>
      </c>
      <c r="O59" s="11"/>
      <c r="P59" s="4" t="s">
        <v>36</v>
      </c>
      <c r="Q59" s="4">
        <f>3100+1000</f>
        <v>4100</v>
      </c>
      <c r="R59" s="4" t="s">
        <v>139</v>
      </c>
      <c r="S59" s="4" t="s">
        <v>138</v>
      </c>
      <c r="T59" s="4"/>
      <c r="U59" s="4" t="s">
        <v>137</v>
      </c>
      <c r="V59" s="2"/>
      <c r="W59" s="4"/>
      <c r="X59" s="4"/>
      <c r="Y59" s="4"/>
    </row>
    <row r="60" spans="1:25" ht="22.5" x14ac:dyDescent="0.25">
      <c r="A60" s="3">
        <v>57</v>
      </c>
      <c r="B60" s="4" t="s">
        <v>35</v>
      </c>
      <c r="C60" s="4" t="s">
        <v>15</v>
      </c>
      <c r="D60" s="4">
        <v>9961641042</v>
      </c>
      <c r="E60" s="4" t="s">
        <v>324</v>
      </c>
      <c r="F60" s="4" t="s">
        <v>48</v>
      </c>
      <c r="G60" s="4" t="s">
        <v>16</v>
      </c>
      <c r="H60" s="4" t="s">
        <v>163</v>
      </c>
      <c r="I60" s="4" t="s">
        <v>537</v>
      </c>
      <c r="J60" s="4"/>
      <c r="K60" s="4" t="s">
        <v>49</v>
      </c>
      <c r="L60" s="22">
        <v>125</v>
      </c>
      <c r="M60" s="4" t="s">
        <v>30</v>
      </c>
      <c r="N60" s="26">
        <f>Table134[[#This Row],[QTY
RECIVED]]-Table134[[#This Row],[QTY 
ISSUED]]</f>
        <v>0</v>
      </c>
      <c r="O60" s="11"/>
      <c r="P60" s="4" t="s">
        <v>36</v>
      </c>
      <c r="Q60" s="4">
        <v>125</v>
      </c>
      <c r="R60" s="4" t="s">
        <v>50</v>
      </c>
      <c r="S60" s="4" t="s">
        <v>51</v>
      </c>
      <c r="T60" s="4"/>
      <c r="U60" s="4" t="s">
        <v>52</v>
      </c>
      <c r="V60" s="2"/>
      <c r="W60" s="4"/>
      <c r="X60" s="4"/>
      <c r="Y60" s="4"/>
    </row>
    <row r="61" spans="1:25" ht="22.5" x14ac:dyDescent="0.25">
      <c r="A61" s="3">
        <v>58</v>
      </c>
      <c r="B61" s="4" t="s">
        <v>35</v>
      </c>
      <c r="C61" s="4" t="s">
        <v>15</v>
      </c>
      <c r="D61" s="4">
        <v>9961641042</v>
      </c>
      <c r="E61" s="4" t="s">
        <v>324</v>
      </c>
      <c r="F61" s="4" t="s">
        <v>48</v>
      </c>
      <c r="G61" s="4" t="s">
        <v>16</v>
      </c>
      <c r="H61" s="4" t="s">
        <v>163</v>
      </c>
      <c r="I61" s="4" t="s">
        <v>537</v>
      </c>
      <c r="J61" s="4"/>
      <c r="K61" s="4" t="s">
        <v>53</v>
      </c>
      <c r="L61" s="22">
        <v>400</v>
      </c>
      <c r="M61" s="4" t="s">
        <v>30</v>
      </c>
      <c r="N61" s="26">
        <f>Table134[[#This Row],[QTY
RECIVED]]-Table134[[#This Row],[QTY 
ISSUED]]</f>
        <v>0</v>
      </c>
      <c r="O61" s="11"/>
      <c r="P61" s="4" t="s">
        <v>36</v>
      </c>
      <c r="Q61" s="4">
        <v>400</v>
      </c>
      <c r="R61" s="4" t="s">
        <v>124</v>
      </c>
      <c r="S61" s="4" t="s">
        <v>71</v>
      </c>
      <c r="T61" s="4"/>
      <c r="U61" s="4" t="s">
        <v>52</v>
      </c>
      <c r="V61" s="2"/>
      <c r="W61" s="4"/>
      <c r="X61" s="4"/>
      <c r="Y61" s="4"/>
    </row>
    <row r="62" spans="1:25" ht="45" x14ac:dyDescent="0.25">
      <c r="A62" s="3">
        <v>59</v>
      </c>
      <c r="B62" s="4" t="s">
        <v>35</v>
      </c>
      <c r="C62" s="4" t="s">
        <v>15</v>
      </c>
      <c r="D62" s="4"/>
      <c r="E62" s="4" t="s">
        <v>324</v>
      </c>
      <c r="F62" s="4" t="s">
        <v>34</v>
      </c>
      <c r="G62" s="12" t="s">
        <v>16</v>
      </c>
      <c r="H62" s="4" t="s">
        <v>162</v>
      </c>
      <c r="I62" s="4" t="s">
        <v>538</v>
      </c>
      <c r="J62" s="4"/>
      <c r="K62" s="4"/>
      <c r="L62" s="22">
        <v>1400</v>
      </c>
      <c r="M62" s="4" t="s">
        <v>30</v>
      </c>
      <c r="N62" s="26">
        <f>Table134[[#This Row],[QTY
RECIVED]]-Table134[[#This Row],[QTY 
ISSUED]]</f>
        <v>550</v>
      </c>
      <c r="O62" s="61">
        <f>Table134[[#This Row],[INVENTORY]]/200</f>
        <v>2.75</v>
      </c>
      <c r="P62" s="4" t="s">
        <v>36</v>
      </c>
      <c r="Q62" s="4">
        <f>200+200+400+50</f>
        <v>850</v>
      </c>
      <c r="R62" s="4" t="s">
        <v>667</v>
      </c>
      <c r="S62" s="4" t="s">
        <v>457</v>
      </c>
      <c r="T62" s="4" t="s">
        <v>450</v>
      </c>
      <c r="U62" s="4" t="s">
        <v>39</v>
      </c>
      <c r="V62" s="2"/>
      <c r="W62" s="4"/>
      <c r="X62" s="4"/>
      <c r="Y62" s="4"/>
    </row>
    <row r="63" spans="1:25" ht="56.25" x14ac:dyDescent="0.25">
      <c r="A63" s="3">
        <v>60</v>
      </c>
      <c r="B63" s="4" t="s">
        <v>46</v>
      </c>
      <c r="C63" s="4" t="s">
        <v>15</v>
      </c>
      <c r="D63" s="4">
        <v>9961641112</v>
      </c>
      <c r="E63" s="4" t="s">
        <v>324</v>
      </c>
      <c r="F63" s="4" t="s">
        <v>45</v>
      </c>
      <c r="G63" s="12" t="s">
        <v>16</v>
      </c>
      <c r="H63" s="12" t="s">
        <v>16</v>
      </c>
      <c r="I63" s="4" t="s">
        <v>617</v>
      </c>
      <c r="J63" s="4"/>
      <c r="K63" s="4"/>
      <c r="L63" s="22">
        <v>17636</v>
      </c>
      <c r="M63" s="4" t="s">
        <v>30</v>
      </c>
      <c r="N63" s="26">
        <f>Table134[[#This Row],[QTY
RECIVED]]-Table134[[#This Row],[QTY 
ISSUED]]</f>
        <v>4790</v>
      </c>
      <c r="O63" s="20">
        <f>Table134[[#This Row],[INVENTORY]]/250</f>
        <v>19.16</v>
      </c>
      <c r="P63" s="4" t="s">
        <v>47</v>
      </c>
      <c r="Q63" s="4">
        <f>919+1000+500+467+1000+1000+1000+2120+1590+1000+2000+250</f>
        <v>12846</v>
      </c>
      <c r="R63" s="4" t="s">
        <v>798</v>
      </c>
      <c r="S63" s="4" t="s">
        <v>799</v>
      </c>
      <c r="T63" s="4"/>
      <c r="U63" s="4" t="s">
        <v>52</v>
      </c>
      <c r="V63" s="2"/>
      <c r="W63" s="4"/>
      <c r="X63" s="4"/>
      <c r="Y63" s="4"/>
    </row>
    <row r="64" spans="1:25" x14ac:dyDescent="0.25">
      <c r="A64" s="3">
        <v>61</v>
      </c>
      <c r="B64" s="4"/>
      <c r="C64" s="4"/>
      <c r="D64" s="4">
        <v>9944537882</v>
      </c>
      <c r="E64" s="4" t="s">
        <v>323</v>
      </c>
      <c r="F64" s="4" t="s">
        <v>527</v>
      </c>
      <c r="G64" s="4" t="s">
        <v>116</v>
      </c>
      <c r="H64" s="4" t="s">
        <v>116</v>
      </c>
      <c r="I64" s="4" t="s">
        <v>616</v>
      </c>
      <c r="J64" s="4"/>
      <c r="K64" s="4"/>
      <c r="L64" s="22">
        <v>100</v>
      </c>
      <c r="M64" s="4" t="s">
        <v>158</v>
      </c>
      <c r="N64" s="26">
        <f>Table134[[#This Row],[QTY
RECIVED]]-Table134[[#This Row],[QTY 
ISSUED]]</f>
        <v>0</v>
      </c>
      <c r="O64" s="11"/>
      <c r="P64" s="4"/>
      <c r="Q64" s="4">
        <v>100</v>
      </c>
      <c r="R64" s="4" t="s">
        <v>769</v>
      </c>
      <c r="S64" s="4" t="s">
        <v>770</v>
      </c>
      <c r="T64" s="4"/>
      <c r="U64" s="4"/>
      <c r="V64" s="5"/>
      <c r="W64" s="4"/>
      <c r="X64" s="4"/>
      <c r="Y64" s="4"/>
    </row>
    <row r="65" spans="1:25" ht="33.75" x14ac:dyDescent="0.25">
      <c r="A65" s="68">
        <v>62</v>
      </c>
      <c r="B65" s="4">
        <v>57918</v>
      </c>
      <c r="C65" s="4" t="s">
        <v>742</v>
      </c>
      <c r="D65" s="4">
        <v>9987118782</v>
      </c>
      <c r="E65" s="4" t="s">
        <v>321</v>
      </c>
      <c r="F65" s="4" t="s">
        <v>297</v>
      </c>
      <c r="G65" s="4" t="s">
        <v>277</v>
      </c>
      <c r="H65" s="4" t="s">
        <v>383</v>
      </c>
      <c r="I65" s="4" t="s">
        <v>561</v>
      </c>
      <c r="J65" s="4"/>
      <c r="K65" s="4"/>
      <c r="L65" s="22">
        <v>208</v>
      </c>
      <c r="M65" s="4" t="s">
        <v>68</v>
      </c>
      <c r="N65" s="26">
        <f>Table134[[#This Row],[QTY
RECIVED]]-Table134[[#This Row],[QTY 
ISSUED]]</f>
        <v>-69.5</v>
      </c>
      <c r="O65" s="11">
        <v>0</v>
      </c>
      <c r="P65" s="4" t="s">
        <v>298</v>
      </c>
      <c r="Q65" s="13">
        <f>49.5+20+208</f>
        <v>277.5</v>
      </c>
      <c r="R65" s="4" t="s">
        <v>486</v>
      </c>
      <c r="S65" s="4" t="s">
        <v>487</v>
      </c>
      <c r="T65" s="4"/>
      <c r="U65" s="4"/>
      <c r="V65" s="2" t="s">
        <v>272</v>
      </c>
      <c r="W65" s="4"/>
      <c r="X65" s="4"/>
      <c r="Y65" s="4"/>
    </row>
    <row r="66" spans="1:25" ht="22.5" x14ac:dyDescent="0.25">
      <c r="A66" s="68">
        <v>63</v>
      </c>
      <c r="B66" s="4"/>
      <c r="C66" s="4" t="s">
        <v>55</v>
      </c>
      <c r="D66" s="4">
        <v>9989266812</v>
      </c>
      <c r="E66" s="4" t="s">
        <v>324</v>
      </c>
      <c r="F66" s="4" t="s">
        <v>56</v>
      </c>
      <c r="G66" s="4" t="s">
        <v>54</v>
      </c>
      <c r="H66" s="4" t="s">
        <v>54</v>
      </c>
      <c r="I66" s="4" t="s">
        <v>503</v>
      </c>
      <c r="J66" s="4"/>
      <c r="K66" s="4"/>
      <c r="L66" s="22">
        <v>60300</v>
      </c>
      <c r="M66" s="4" t="s">
        <v>30</v>
      </c>
      <c r="N66" s="26">
        <f>Table134[[#This Row],[QTY
RECIVED]]-Table134[[#This Row],[QTY 
ISSUED]]</f>
        <v>0</v>
      </c>
      <c r="O66" s="11"/>
      <c r="P66" s="4" t="s">
        <v>57</v>
      </c>
      <c r="Q66" s="4">
        <v>60300</v>
      </c>
      <c r="R66" s="4" t="s">
        <v>194</v>
      </c>
      <c r="S66" s="4" t="s">
        <v>134</v>
      </c>
      <c r="T66" s="4"/>
      <c r="U66" s="4" t="s">
        <v>195</v>
      </c>
      <c r="V66" s="2"/>
      <c r="W66" s="4"/>
      <c r="X66" s="4"/>
      <c r="Y66" s="4"/>
    </row>
    <row r="67" spans="1:25" x14ac:dyDescent="0.25">
      <c r="A67" s="68">
        <v>64</v>
      </c>
      <c r="B67" s="4" t="s">
        <v>615</v>
      </c>
      <c r="C67" s="4" t="s">
        <v>720</v>
      </c>
      <c r="D67" s="4">
        <v>9944537862</v>
      </c>
      <c r="E67" s="4" t="s">
        <v>323</v>
      </c>
      <c r="F67" s="4" t="s">
        <v>197</v>
      </c>
      <c r="G67" s="4" t="s">
        <v>102</v>
      </c>
      <c r="H67" s="4">
        <v>40017</v>
      </c>
      <c r="I67" s="4" t="s">
        <v>245</v>
      </c>
      <c r="J67" s="4"/>
      <c r="K67" s="26">
        <v>1274</v>
      </c>
      <c r="L67" s="22">
        <v>6</v>
      </c>
      <c r="M67" s="4" t="s">
        <v>103</v>
      </c>
      <c r="N67" s="26">
        <f>Table134[[#This Row],[QTY
RECIVED]]-Table134[[#This Row],[QTY 
ISSUED]]</f>
        <v>0</v>
      </c>
      <c r="O67" s="11"/>
      <c r="P67" s="4" t="s">
        <v>198</v>
      </c>
      <c r="Q67" s="4">
        <v>6</v>
      </c>
      <c r="R67" s="4" t="s">
        <v>259</v>
      </c>
      <c r="S67" s="4" t="s">
        <v>211</v>
      </c>
      <c r="T67" s="4"/>
      <c r="U67" s="4" t="s">
        <v>269</v>
      </c>
      <c r="V67" s="5"/>
      <c r="W67" s="4"/>
      <c r="X67" s="4"/>
      <c r="Y67" s="4"/>
    </row>
    <row r="68" spans="1:25" ht="22.5" x14ac:dyDescent="0.25">
      <c r="A68" s="3">
        <v>65</v>
      </c>
      <c r="B68" s="4"/>
      <c r="C68" s="4"/>
      <c r="D68" s="4">
        <v>9987119282</v>
      </c>
      <c r="E68" s="4" t="s">
        <v>321</v>
      </c>
      <c r="F68" s="4" t="s">
        <v>395</v>
      </c>
      <c r="G68" s="4" t="s">
        <v>396</v>
      </c>
      <c r="H68" s="4" t="s">
        <v>385</v>
      </c>
      <c r="I68" s="4" t="s">
        <v>607</v>
      </c>
      <c r="J68" s="4"/>
      <c r="K68" s="4" t="s">
        <v>663</v>
      </c>
      <c r="L68" s="22">
        <v>5616</v>
      </c>
      <c r="M68" s="4" t="s">
        <v>68</v>
      </c>
      <c r="N68" s="26">
        <f>Table134[[#This Row],[QTY
RECIVED]]-Table134[[#This Row],[QTY 
ISSUED]]</f>
        <v>1664</v>
      </c>
      <c r="O68" s="61">
        <f>Table134[[#This Row],[INVENTORY]]/208</f>
        <v>8</v>
      </c>
      <c r="P68" s="4" t="s">
        <v>397</v>
      </c>
      <c r="Q68" s="4">
        <v>3952</v>
      </c>
      <c r="R68" s="4" t="s">
        <v>50</v>
      </c>
      <c r="S68" s="4" t="s">
        <v>402</v>
      </c>
      <c r="T68" s="4"/>
      <c r="U68" s="4"/>
      <c r="V68" s="2" t="s">
        <v>272</v>
      </c>
      <c r="W68" s="4"/>
      <c r="X68" s="4"/>
      <c r="Y68" s="4"/>
    </row>
    <row r="69" spans="1:25" x14ac:dyDescent="0.25">
      <c r="A69" s="3">
        <v>66</v>
      </c>
      <c r="B69" s="4">
        <v>922</v>
      </c>
      <c r="C69" s="4"/>
      <c r="D69" s="4">
        <v>9989000292</v>
      </c>
      <c r="E69" s="4" t="s">
        <v>324</v>
      </c>
      <c r="F69" s="4" t="s">
        <v>129</v>
      </c>
      <c r="G69" s="4" t="s">
        <v>125</v>
      </c>
      <c r="H69" s="4" t="s">
        <v>126</v>
      </c>
      <c r="I69" s="4" t="s">
        <v>126</v>
      </c>
      <c r="J69" s="4"/>
      <c r="K69" s="4"/>
      <c r="L69" s="22">
        <v>15</v>
      </c>
      <c r="M69" s="4" t="s">
        <v>30</v>
      </c>
      <c r="N69" s="26">
        <f>Table134[[#This Row],[QTY
RECIVED]]-Table134[[#This Row],[QTY 
ISSUED]]</f>
        <v>0</v>
      </c>
      <c r="O69" s="11"/>
      <c r="P69" s="4" t="s">
        <v>128</v>
      </c>
      <c r="Q69" s="4">
        <v>15</v>
      </c>
      <c r="R69" s="4" t="s">
        <v>109</v>
      </c>
      <c r="S69" s="4" t="s">
        <v>66</v>
      </c>
      <c r="T69" s="4"/>
      <c r="U69" s="4" t="s">
        <v>52</v>
      </c>
      <c r="V69" s="2"/>
      <c r="W69" s="4"/>
      <c r="X69" s="4"/>
      <c r="Y69" s="4"/>
    </row>
    <row r="70" spans="1:25" ht="78.75" x14ac:dyDescent="0.25">
      <c r="A70" s="71">
        <v>67</v>
      </c>
      <c r="B70" s="4">
        <v>922</v>
      </c>
      <c r="C70" s="4"/>
      <c r="D70" s="4">
        <v>9989008042</v>
      </c>
      <c r="E70" s="4" t="s">
        <v>324</v>
      </c>
      <c r="F70" s="4" t="s">
        <v>129</v>
      </c>
      <c r="G70" s="12" t="s">
        <v>125</v>
      </c>
      <c r="H70" s="4" t="s">
        <v>127</v>
      </c>
      <c r="I70" s="4" t="s">
        <v>127</v>
      </c>
      <c r="J70" s="4"/>
      <c r="K70" s="4"/>
      <c r="L70" s="22">
        <v>12000</v>
      </c>
      <c r="M70" s="4" t="s">
        <v>30</v>
      </c>
      <c r="N70" s="26">
        <f>Table134[[#This Row],[QTY
RECIVED]]-Table134[[#This Row],[QTY 
ISSUED]]</f>
        <v>0</v>
      </c>
      <c r="O70" s="26"/>
      <c r="P70" s="4" t="s">
        <v>128</v>
      </c>
      <c r="Q70" s="4">
        <f>140+100+760+1000+180+560+720+1120+1080+1000+1000+120+1000+1000+1220+1000</f>
        <v>12000</v>
      </c>
      <c r="R70" s="4" t="s">
        <v>713</v>
      </c>
      <c r="S70" s="4" t="s">
        <v>714</v>
      </c>
      <c r="T70" s="4"/>
      <c r="U70" s="4" t="s">
        <v>52</v>
      </c>
      <c r="V70" s="2"/>
      <c r="W70" s="4"/>
      <c r="X70" s="4"/>
      <c r="Y70" s="4"/>
    </row>
    <row r="71" spans="1:25" ht="22.5" x14ac:dyDescent="0.25">
      <c r="A71" s="3">
        <v>68</v>
      </c>
      <c r="B71" s="4"/>
      <c r="C71" s="4" t="s">
        <v>55</v>
      </c>
      <c r="D71" s="4"/>
      <c r="E71" s="4" t="s">
        <v>324</v>
      </c>
      <c r="F71" s="4" t="s">
        <v>61</v>
      </c>
      <c r="G71" s="4" t="s">
        <v>60</v>
      </c>
      <c r="H71" s="4" t="s">
        <v>169</v>
      </c>
      <c r="I71" s="4" t="s">
        <v>58</v>
      </c>
      <c r="J71" s="4"/>
      <c r="K71" s="4"/>
      <c r="L71" s="22">
        <v>5320</v>
      </c>
      <c r="M71" s="4" t="s">
        <v>30</v>
      </c>
      <c r="N71" s="26">
        <f>Table134[[#This Row],[QTY
RECIVED]]-Table134[[#This Row],[QTY 
ISSUED]]</f>
        <v>0</v>
      </c>
      <c r="O71" s="11"/>
      <c r="P71" s="4" t="s">
        <v>59</v>
      </c>
      <c r="Q71" s="4">
        <v>5320</v>
      </c>
      <c r="R71" s="4" t="s">
        <v>194</v>
      </c>
      <c r="S71" s="4" t="s">
        <v>134</v>
      </c>
      <c r="T71" s="4"/>
      <c r="U71" s="4" t="s">
        <v>195</v>
      </c>
      <c r="V71" s="2"/>
      <c r="W71" s="4"/>
      <c r="X71" s="4"/>
      <c r="Y71" s="4"/>
    </row>
    <row r="72" spans="1:25" ht="22.5" x14ac:dyDescent="0.25">
      <c r="A72" s="3">
        <v>69</v>
      </c>
      <c r="B72" s="4"/>
      <c r="C72" s="4" t="s">
        <v>55</v>
      </c>
      <c r="D72" s="4"/>
      <c r="E72" s="4" t="s">
        <v>324</v>
      </c>
      <c r="F72" s="4" t="s">
        <v>62</v>
      </c>
      <c r="G72" s="4" t="s">
        <v>60</v>
      </c>
      <c r="H72" s="4" t="s">
        <v>169</v>
      </c>
      <c r="I72" s="4" t="s">
        <v>58</v>
      </c>
      <c r="J72" s="4"/>
      <c r="K72" s="4"/>
      <c r="L72" s="22">
        <v>2000</v>
      </c>
      <c r="M72" s="4" t="s">
        <v>30</v>
      </c>
      <c r="N72" s="26">
        <f>Table134[[#This Row],[QTY
RECIVED]]-Table134[[#This Row],[QTY 
ISSUED]]</f>
        <v>0</v>
      </c>
      <c r="O72" s="11"/>
      <c r="P72" s="4" t="s">
        <v>59</v>
      </c>
      <c r="Q72" s="4">
        <v>2000</v>
      </c>
      <c r="R72" s="4" t="s">
        <v>194</v>
      </c>
      <c r="S72" s="4" t="s">
        <v>134</v>
      </c>
      <c r="T72" s="4"/>
      <c r="U72" s="4" t="s">
        <v>195</v>
      </c>
      <c r="V72" s="2"/>
      <c r="W72" s="4"/>
      <c r="X72" s="4"/>
      <c r="Y72" s="4"/>
    </row>
    <row r="73" spans="1:25" x14ac:dyDescent="0.25">
      <c r="A73" s="68">
        <v>70</v>
      </c>
      <c r="B73" s="4">
        <v>58357</v>
      </c>
      <c r="C73" s="4" t="s">
        <v>740</v>
      </c>
      <c r="D73" s="4">
        <v>9987118962</v>
      </c>
      <c r="E73" s="4" t="s">
        <v>321</v>
      </c>
      <c r="F73" s="4" t="s">
        <v>301</v>
      </c>
      <c r="G73" s="4" t="s">
        <v>80</v>
      </c>
      <c r="H73" s="4" t="s">
        <v>383</v>
      </c>
      <c r="I73" s="4" t="s">
        <v>751</v>
      </c>
      <c r="J73" s="4"/>
      <c r="K73" s="4"/>
      <c r="L73" s="22">
        <v>208</v>
      </c>
      <c r="M73" s="4" t="s">
        <v>68</v>
      </c>
      <c r="N73" s="83">
        <f>Table134[[#This Row],[QTY
RECIVED]]-Table134[[#This Row],[QTY 
ISSUED]]</f>
        <v>208</v>
      </c>
      <c r="O73" s="61">
        <f>Table134[[#This Row],[INVENTORY]]/208</f>
        <v>1</v>
      </c>
      <c r="P73" s="4" t="s">
        <v>300</v>
      </c>
      <c r="Q73" s="4"/>
      <c r="R73" s="4"/>
      <c r="S73" s="4"/>
      <c r="T73" s="4"/>
      <c r="U73" s="4"/>
      <c r="V73" s="2"/>
      <c r="W73" s="4">
        <v>416</v>
      </c>
      <c r="X73" s="4">
        <v>832</v>
      </c>
      <c r="Y73" s="4"/>
    </row>
    <row r="74" spans="1:25" ht="22.5" x14ac:dyDescent="0.25">
      <c r="A74" s="68">
        <v>71</v>
      </c>
      <c r="B74" s="4">
        <v>56901</v>
      </c>
      <c r="C74" s="4" t="s">
        <v>741</v>
      </c>
      <c r="D74" s="74" t="s">
        <v>757</v>
      </c>
      <c r="E74" s="4" t="s">
        <v>321</v>
      </c>
      <c r="F74" s="4" t="s">
        <v>299</v>
      </c>
      <c r="G74" s="4" t="s">
        <v>80</v>
      </c>
      <c r="H74" s="4" t="s">
        <v>383</v>
      </c>
      <c r="I74" s="4" t="s">
        <v>552</v>
      </c>
      <c r="J74" s="4"/>
      <c r="K74" s="4"/>
      <c r="L74" s="22">
        <v>208</v>
      </c>
      <c r="M74" s="4" t="s">
        <v>68</v>
      </c>
      <c r="N74" s="83">
        <f>Table134[[#This Row],[QTY
RECIVED]]-Table134[[#This Row],[QTY 
ISSUED]]</f>
        <v>-208</v>
      </c>
      <c r="O74" s="11"/>
      <c r="P74" s="4" t="s">
        <v>300</v>
      </c>
      <c r="Q74" s="4">
        <f>40+168+208</f>
        <v>416</v>
      </c>
      <c r="R74" s="4" t="s">
        <v>512</v>
      </c>
      <c r="S74" s="4" t="s">
        <v>511</v>
      </c>
      <c r="T74" s="4"/>
      <c r="U74" s="4" t="s">
        <v>327</v>
      </c>
      <c r="V74" s="2"/>
      <c r="W74" s="4">
        <v>110</v>
      </c>
      <c r="X74" s="4">
        <v>416</v>
      </c>
      <c r="Y74" s="4" t="s">
        <v>785</v>
      </c>
    </row>
    <row r="75" spans="1:25" ht="22.5" x14ac:dyDescent="0.25">
      <c r="A75" s="3">
        <v>72</v>
      </c>
      <c r="B75" s="4"/>
      <c r="C75" s="4" t="s">
        <v>64</v>
      </c>
      <c r="D75" s="4">
        <v>9989007922</v>
      </c>
      <c r="E75" s="4" t="s">
        <v>324</v>
      </c>
      <c r="F75" s="4" t="s">
        <v>66</v>
      </c>
      <c r="G75" s="4" t="s">
        <v>65</v>
      </c>
      <c r="H75" s="4" t="s">
        <v>63</v>
      </c>
      <c r="I75" s="4" t="s">
        <v>518</v>
      </c>
      <c r="J75" s="4"/>
      <c r="K75" s="4"/>
      <c r="L75" s="22">
        <v>24720</v>
      </c>
      <c r="M75" s="4" t="s">
        <v>30</v>
      </c>
      <c r="N75" s="26">
        <f>Table134[[#This Row],[QTY
RECIVED]]-Table134[[#This Row],[QTY 
ISSUED]]</f>
        <v>0</v>
      </c>
      <c r="O75" s="11"/>
      <c r="P75" s="4" t="s">
        <v>67</v>
      </c>
      <c r="Q75" s="4">
        <v>24720</v>
      </c>
      <c r="R75" s="4" t="s">
        <v>194</v>
      </c>
      <c r="S75" s="4" t="s">
        <v>134</v>
      </c>
      <c r="T75" s="4"/>
      <c r="U75" s="4" t="s">
        <v>195</v>
      </c>
      <c r="V75" s="2"/>
      <c r="W75" s="4"/>
      <c r="X75" s="4"/>
      <c r="Y75" s="4"/>
    </row>
    <row r="76" spans="1:25" ht="33.75" x14ac:dyDescent="0.25">
      <c r="A76" s="68">
        <v>73</v>
      </c>
      <c r="B76" s="4"/>
      <c r="C76" s="4" t="s">
        <v>739</v>
      </c>
      <c r="D76" s="4">
        <v>9987119392</v>
      </c>
      <c r="E76" s="4" t="s">
        <v>321</v>
      </c>
      <c r="F76" s="4" t="s">
        <v>393</v>
      </c>
      <c r="G76" s="4" t="s">
        <v>394</v>
      </c>
      <c r="H76" s="4" t="s">
        <v>394</v>
      </c>
      <c r="I76" s="4" t="s">
        <v>467</v>
      </c>
      <c r="J76" s="4"/>
      <c r="K76" s="4" t="s">
        <v>466</v>
      </c>
      <c r="L76" s="22">
        <v>64064</v>
      </c>
      <c r="M76" s="4" t="s">
        <v>68</v>
      </c>
      <c r="N76" s="26">
        <f>Table134[[#This Row],[QTY
RECIVED]]-Table134[[#This Row],[QTY 
ISSUED]]</f>
        <v>63856</v>
      </c>
      <c r="O76" s="63">
        <f>Table134[[#This Row],[INVENTORY]]/208</f>
        <v>307</v>
      </c>
      <c r="P76" s="4" t="s">
        <v>67</v>
      </c>
      <c r="Q76" s="4">
        <f>208+208-208</f>
        <v>208</v>
      </c>
      <c r="R76" s="4" t="s">
        <v>470</v>
      </c>
      <c r="S76" s="4" t="s">
        <v>469</v>
      </c>
      <c r="T76" s="4" t="s">
        <v>468</v>
      </c>
      <c r="U76" s="4"/>
      <c r="V76" s="5"/>
      <c r="W76" s="4"/>
      <c r="X76" s="4"/>
      <c r="Y76" s="4"/>
    </row>
    <row r="77" spans="1:25" ht="45" x14ac:dyDescent="0.25">
      <c r="A77" s="72">
        <v>74</v>
      </c>
      <c r="B77" s="4"/>
      <c r="C77" s="4"/>
      <c r="D77" s="4">
        <v>9987112552</v>
      </c>
      <c r="E77" s="4" t="s">
        <v>321</v>
      </c>
      <c r="F77" s="4" t="s">
        <v>71</v>
      </c>
      <c r="G77" s="4" t="s">
        <v>70</v>
      </c>
      <c r="H77" s="4" t="s">
        <v>383</v>
      </c>
      <c r="I77" s="4" t="s">
        <v>606</v>
      </c>
      <c r="J77" s="4"/>
      <c r="K77" s="4" t="s">
        <v>69</v>
      </c>
      <c r="L77" s="22">
        <v>374400</v>
      </c>
      <c r="M77" s="4" t="s">
        <v>68</v>
      </c>
      <c r="N77" s="28">
        <f>Table134[[#This Row],[QTY
RECIVED]]-Table134[[#This Row],[QTY 
ISSUED]]</f>
        <v>284</v>
      </c>
      <c r="O77" s="11">
        <v>0</v>
      </c>
      <c r="P77" s="4" t="s">
        <v>74</v>
      </c>
      <c r="Q77" s="4">
        <f>4160+4160+280000+52000+10400+20800+100+1248+1248</f>
        <v>374116</v>
      </c>
      <c r="R77" s="4" t="s">
        <v>490</v>
      </c>
      <c r="S77" s="4" t="s">
        <v>491</v>
      </c>
      <c r="T77" s="4"/>
      <c r="U77" s="4" t="s">
        <v>52</v>
      </c>
      <c r="V77" s="2">
        <v>1280</v>
      </c>
      <c r="W77" s="4"/>
      <c r="X77" s="4"/>
      <c r="Y77" s="4"/>
    </row>
    <row r="78" spans="1:25" ht="22.5" x14ac:dyDescent="0.25">
      <c r="A78" s="68">
        <v>75</v>
      </c>
      <c r="B78" s="4"/>
      <c r="C78" s="4" t="s">
        <v>55</v>
      </c>
      <c r="D78" s="4">
        <v>9989266812</v>
      </c>
      <c r="E78" s="4" t="s">
        <v>324</v>
      </c>
      <c r="F78" s="4" t="s">
        <v>260</v>
      </c>
      <c r="G78" s="12" t="s">
        <v>261</v>
      </c>
      <c r="H78" s="4" t="s">
        <v>54</v>
      </c>
      <c r="I78" s="4" t="s">
        <v>503</v>
      </c>
      <c r="J78" s="4"/>
      <c r="K78" s="4" t="s">
        <v>471</v>
      </c>
      <c r="L78" s="22">
        <v>11290</v>
      </c>
      <c r="M78" s="4" t="s">
        <v>30</v>
      </c>
      <c r="N78" s="26">
        <f>Table134[[#This Row],[QTY
RECIVED]]-Table134[[#This Row],[QTY 
ISSUED]]</f>
        <v>0</v>
      </c>
      <c r="O78" s="11"/>
      <c r="P78" s="4" t="s">
        <v>136</v>
      </c>
      <c r="Q78" s="4">
        <f>4516+2258+1129+3387</f>
        <v>11290</v>
      </c>
      <c r="R78" s="4" t="s">
        <v>472</v>
      </c>
      <c r="S78" s="4" t="s">
        <v>473</v>
      </c>
      <c r="T78" s="4"/>
      <c r="U78" s="4" t="s">
        <v>456</v>
      </c>
      <c r="V78" s="2"/>
      <c r="W78" s="4"/>
      <c r="X78" s="4"/>
      <c r="Y78" s="4"/>
    </row>
    <row r="79" spans="1:25" x14ac:dyDescent="0.25">
      <c r="A79" s="3">
        <v>76</v>
      </c>
      <c r="B79" s="4"/>
      <c r="C79" s="4" t="s">
        <v>132</v>
      </c>
      <c r="D79" s="4"/>
      <c r="E79" s="4" t="s">
        <v>324</v>
      </c>
      <c r="F79" s="4" t="s">
        <v>134</v>
      </c>
      <c r="G79" s="12" t="s">
        <v>135</v>
      </c>
      <c r="H79" s="4">
        <v>9989266832</v>
      </c>
      <c r="I79" s="4" t="s">
        <v>131</v>
      </c>
      <c r="J79" s="4"/>
      <c r="K79" s="4"/>
      <c r="L79" s="22">
        <v>10</v>
      </c>
      <c r="M79" s="4" t="s">
        <v>133</v>
      </c>
      <c r="N79" s="26">
        <f>Table134[[#This Row],[QTY
RECIVED]]-Table134[[#This Row],[QTY 
ISSUED]]</f>
        <v>10</v>
      </c>
      <c r="O79" s="11"/>
      <c r="P79" s="4" t="s">
        <v>136</v>
      </c>
      <c r="Q79" s="4"/>
      <c r="R79" s="4"/>
      <c r="S79" s="4"/>
      <c r="T79" s="4"/>
      <c r="U79" s="4"/>
      <c r="V79" s="5"/>
      <c r="W79" s="4"/>
      <c r="X79" s="4"/>
      <c r="Y79" s="4"/>
    </row>
    <row r="80" spans="1:25" x14ac:dyDescent="0.25">
      <c r="A80" s="68">
        <v>77</v>
      </c>
      <c r="B80" s="4"/>
      <c r="C80" s="4" t="s">
        <v>738</v>
      </c>
      <c r="D80" s="4">
        <v>9987119362</v>
      </c>
      <c r="E80" s="4" t="s">
        <v>321</v>
      </c>
      <c r="F80" s="4" t="s">
        <v>302</v>
      </c>
      <c r="G80" s="4" t="s">
        <v>303</v>
      </c>
      <c r="H80" s="4" t="s">
        <v>385</v>
      </c>
      <c r="I80" s="4" t="s">
        <v>306</v>
      </c>
      <c r="J80" s="4"/>
      <c r="K80" s="4"/>
      <c r="L80" s="22">
        <v>20</v>
      </c>
      <c r="M80" s="4" t="s">
        <v>68</v>
      </c>
      <c r="N80" s="26">
        <f>Table134[[#This Row],[QTY
RECIVED]]-Table134[[#This Row],[QTY 
ISSUED]]</f>
        <v>20</v>
      </c>
      <c r="O80" s="11">
        <v>0</v>
      </c>
      <c r="P80" s="4" t="s">
        <v>305</v>
      </c>
      <c r="Q80" s="4"/>
      <c r="R80" s="4"/>
      <c r="S80" s="4"/>
      <c r="T80" s="4"/>
      <c r="U80" s="4"/>
      <c r="V80" s="2"/>
      <c r="W80" s="4"/>
      <c r="X80" s="4"/>
      <c r="Y80" s="4"/>
    </row>
    <row r="81" spans="1:25" x14ac:dyDescent="0.25">
      <c r="A81" s="68">
        <v>78</v>
      </c>
      <c r="B81" s="4"/>
      <c r="C81" s="4" t="s">
        <v>738</v>
      </c>
      <c r="D81" s="4">
        <v>9987119372</v>
      </c>
      <c r="E81" s="4" t="s">
        <v>321</v>
      </c>
      <c r="F81" s="4" t="s">
        <v>302</v>
      </c>
      <c r="G81" s="4" t="s">
        <v>303</v>
      </c>
      <c r="H81" s="4" t="s">
        <v>385</v>
      </c>
      <c r="I81" s="4" t="s">
        <v>304</v>
      </c>
      <c r="J81" s="4"/>
      <c r="K81" s="4"/>
      <c r="L81" s="22">
        <v>20</v>
      </c>
      <c r="M81" s="4" t="s">
        <v>68</v>
      </c>
      <c r="N81" s="26">
        <f>Table134[[#This Row],[QTY
RECIVED]]-Table134[[#This Row],[QTY 
ISSUED]]</f>
        <v>20</v>
      </c>
      <c r="O81" s="11">
        <v>0</v>
      </c>
      <c r="P81" s="4" t="s">
        <v>305</v>
      </c>
      <c r="Q81" s="4"/>
      <c r="R81" s="4"/>
      <c r="S81" s="4"/>
      <c r="T81" s="4"/>
      <c r="U81" s="4"/>
      <c r="V81" s="4"/>
      <c r="W81" s="4"/>
      <c r="X81" s="4"/>
      <c r="Y81" s="4"/>
    </row>
    <row r="82" spans="1:25" ht="22.5" x14ac:dyDescent="0.25">
      <c r="A82" s="3">
        <v>79</v>
      </c>
      <c r="B82" s="4" t="s">
        <v>108</v>
      </c>
      <c r="C82" s="4"/>
      <c r="D82" s="4">
        <v>9987119382</v>
      </c>
      <c r="E82" s="4" t="s">
        <v>321</v>
      </c>
      <c r="F82" s="4" t="s">
        <v>176</v>
      </c>
      <c r="G82" s="4" t="s">
        <v>106</v>
      </c>
      <c r="H82" s="4" t="s">
        <v>384</v>
      </c>
      <c r="I82" s="4" t="s">
        <v>572</v>
      </c>
      <c r="J82" s="4"/>
      <c r="K82" s="4" t="s">
        <v>107</v>
      </c>
      <c r="L82" s="22">
        <v>416</v>
      </c>
      <c r="M82" s="4" t="s">
        <v>68</v>
      </c>
      <c r="N82" s="26">
        <f>Table134[[#This Row],[QTY
RECIVED]]-Table134[[#This Row],[QTY 
ISSUED]]</f>
        <v>0</v>
      </c>
      <c r="O82" s="20">
        <f>Table134[[#This Row],[INVENTORY]]/208</f>
        <v>0</v>
      </c>
      <c r="P82" s="4" t="s">
        <v>104</v>
      </c>
      <c r="Q82" s="4">
        <v>416</v>
      </c>
      <c r="R82" s="4" t="s">
        <v>460</v>
      </c>
      <c r="S82" s="4" t="s">
        <v>443</v>
      </c>
      <c r="T82" s="4"/>
      <c r="U82" s="4" t="s">
        <v>444</v>
      </c>
      <c r="V82" s="2"/>
      <c r="W82" s="4"/>
      <c r="X82" s="4"/>
      <c r="Y82" s="4"/>
    </row>
    <row r="83" spans="1:25" x14ac:dyDescent="0.25">
      <c r="A83" s="3">
        <v>80</v>
      </c>
      <c r="B83" s="4"/>
      <c r="C83" s="4"/>
      <c r="D83" s="4">
        <v>9944537882</v>
      </c>
      <c r="E83" s="4" t="s">
        <v>323</v>
      </c>
      <c r="F83" s="4" t="s">
        <v>527</v>
      </c>
      <c r="G83" s="4" t="s">
        <v>116</v>
      </c>
      <c r="H83" s="4" t="s">
        <v>116</v>
      </c>
      <c r="I83" s="4" t="s">
        <v>616</v>
      </c>
      <c r="J83" s="4"/>
      <c r="K83" s="4"/>
      <c r="L83" s="22">
        <v>1000</v>
      </c>
      <c r="M83" s="4" t="s">
        <v>158</v>
      </c>
      <c r="N83" s="26">
        <f>Table134[[#This Row],[QTY
RECIVED]]-Table134[[#This Row],[QTY 
ISSUED]]</f>
        <v>0</v>
      </c>
      <c r="O83" s="11"/>
      <c r="P83" s="4" t="s">
        <v>115</v>
      </c>
      <c r="Q83" s="4">
        <v>1000</v>
      </c>
      <c r="R83" s="4" t="s">
        <v>157</v>
      </c>
      <c r="S83" s="4" t="s">
        <v>96</v>
      </c>
      <c r="T83" s="4"/>
      <c r="U83" s="4" t="s">
        <v>52</v>
      </c>
      <c r="V83" s="2" t="s">
        <v>239</v>
      </c>
      <c r="W83" s="4"/>
      <c r="X83" s="4"/>
      <c r="Y83" s="4"/>
    </row>
    <row r="84" spans="1:25" x14ac:dyDescent="0.25">
      <c r="A84" s="3">
        <v>81</v>
      </c>
      <c r="B84" s="4"/>
      <c r="C84" s="4"/>
      <c r="D84" s="12">
        <v>9944537842</v>
      </c>
      <c r="E84" s="4" t="s">
        <v>323</v>
      </c>
      <c r="F84" s="4"/>
      <c r="G84" s="4" t="s">
        <v>116</v>
      </c>
      <c r="H84" s="4"/>
      <c r="I84" s="12" t="s">
        <v>159</v>
      </c>
      <c r="J84" s="12"/>
      <c r="K84" s="4"/>
      <c r="L84" s="22">
        <v>7</v>
      </c>
      <c r="M84" s="4" t="s">
        <v>103</v>
      </c>
      <c r="N84" s="26">
        <f>Table134[[#This Row],[QTY
RECIVED]]-Table134[[#This Row],[QTY 
ISSUED]]</f>
        <v>0</v>
      </c>
      <c r="O84" s="11"/>
      <c r="P84" s="4" t="s">
        <v>115</v>
      </c>
      <c r="Q84" s="4">
        <v>7</v>
      </c>
      <c r="R84" s="4" t="s">
        <v>157</v>
      </c>
      <c r="S84" s="4" t="s">
        <v>96</v>
      </c>
      <c r="T84" s="4"/>
      <c r="U84" s="4" t="s">
        <v>269</v>
      </c>
      <c r="V84" s="2"/>
      <c r="W84" s="4"/>
      <c r="X84" s="4"/>
      <c r="Y84" s="4"/>
    </row>
    <row r="85" spans="1:25" x14ac:dyDescent="0.25">
      <c r="A85" s="3">
        <v>82</v>
      </c>
      <c r="B85" s="4"/>
      <c r="C85" s="4"/>
      <c r="D85" s="4" t="s">
        <v>701</v>
      </c>
      <c r="E85" s="4" t="s">
        <v>324</v>
      </c>
      <c r="F85" s="4" t="s">
        <v>175</v>
      </c>
      <c r="G85" s="12" t="s">
        <v>116</v>
      </c>
      <c r="H85" s="4" t="s">
        <v>170</v>
      </c>
      <c r="I85" s="4" t="s">
        <v>117</v>
      </c>
      <c r="J85" s="4" t="s">
        <v>656</v>
      </c>
      <c r="K85" s="4"/>
      <c r="L85" s="22">
        <v>200</v>
      </c>
      <c r="M85" s="4" t="s">
        <v>30</v>
      </c>
      <c r="N85" s="26">
        <f>Table134[[#This Row],[QTY
RECIVED]]-Table134[[#This Row],[QTY 
ISSUED]]</f>
        <v>200</v>
      </c>
      <c r="O85" s="11"/>
      <c r="P85" s="4" t="s">
        <v>115</v>
      </c>
      <c r="Q85" s="4"/>
      <c r="R85" s="4"/>
      <c r="S85" s="4"/>
      <c r="T85" s="4"/>
      <c r="U85" s="4"/>
      <c r="V85" s="2"/>
      <c r="W85" s="4"/>
      <c r="X85" s="4"/>
      <c r="Y85" s="4"/>
    </row>
    <row r="86" spans="1:25" x14ac:dyDescent="0.25">
      <c r="A86" s="3">
        <v>83</v>
      </c>
      <c r="B86" s="4"/>
      <c r="C86" s="4"/>
      <c r="D86" s="4">
        <v>9989008882</v>
      </c>
      <c r="E86" s="4" t="s">
        <v>324</v>
      </c>
      <c r="F86" s="4" t="s">
        <v>173</v>
      </c>
      <c r="G86" s="4" t="s">
        <v>111</v>
      </c>
      <c r="H86" s="4" t="s">
        <v>171</v>
      </c>
      <c r="I86" s="4" t="s">
        <v>112</v>
      </c>
      <c r="J86" s="4"/>
      <c r="K86" s="4"/>
      <c r="L86" s="22">
        <v>3010</v>
      </c>
      <c r="M86" s="4" t="s">
        <v>30</v>
      </c>
      <c r="N86" s="26">
        <f>Table134[[#This Row],[QTY
RECIVED]]-Table134[[#This Row],[QTY 
ISSUED]]</f>
        <v>0</v>
      </c>
      <c r="O86" s="11"/>
      <c r="P86" s="4" t="s">
        <v>113</v>
      </c>
      <c r="Q86" s="4">
        <v>3010</v>
      </c>
      <c r="R86" s="4"/>
      <c r="S86" s="4"/>
      <c r="T86" s="4"/>
      <c r="U86" s="4"/>
      <c r="V86" s="2"/>
      <c r="W86" s="4"/>
      <c r="X86" s="4"/>
      <c r="Y86" s="4"/>
    </row>
    <row r="87" spans="1:25" ht="22.5" x14ac:dyDescent="0.25">
      <c r="A87" s="3">
        <v>84</v>
      </c>
      <c r="B87" s="4"/>
      <c r="C87" s="4" t="s">
        <v>55</v>
      </c>
      <c r="D87" s="4"/>
      <c r="E87" s="4" t="s">
        <v>324</v>
      </c>
      <c r="F87" s="4" t="s">
        <v>110</v>
      </c>
      <c r="G87" s="4" t="s">
        <v>60</v>
      </c>
      <c r="H87" s="4" t="s">
        <v>169</v>
      </c>
      <c r="I87" s="4" t="s">
        <v>58</v>
      </c>
      <c r="J87" s="4"/>
      <c r="K87" s="4"/>
      <c r="L87" s="22">
        <v>5320</v>
      </c>
      <c r="M87" s="4" t="s">
        <v>30</v>
      </c>
      <c r="N87" s="26">
        <f>Table134[[#This Row],[QTY
RECIVED]]-Table134[[#This Row],[QTY 
ISSUED]]</f>
        <v>0</v>
      </c>
      <c r="O87" s="11"/>
      <c r="P87" s="4" t="s">
        <v>109</v>
      </c>
      <c r="Q87" s="4">
        <v>5320</v>
      </c>
      <c r="R87" s="4" t="s">
        <v>194</v>
      </c>
      <c r="S87" s="4" t="s">
        <v>134</v>
      </c>
      <c r="T87" s="4"/>
      <c r="U87" s="4" t="s">
        <v>195</v>
      </c>
      <c r="V87" s="2"/>
      <c r="W87" s="4"/>
      <c r="X87" s="4"/>
      <c r="Y87" s="4"/>
    </row>
    <row r="88" spans="1:25" ht="22.5" x14ac:dyDescent="0.25">
      <c r="A88" s="3">
        <v>85</v>
      </c>
      <c r="B88" s="4"/>
      <c r="C88" s="4" t="s">
        <v>64</v>
      </c>
      <c r="D88" s="4">
        <v>9989007922</v>
      </c>
      <c r="E88" s="4" t="s">
        <v>324</v>
      </c>
      <c r="F88" s="4" t="s">
        <v>118</v>
      </c>
      <c r="G88" s="4" t="s">
        <v>65</v>
      </c>
      <c r="H88" s="4" t="s">
        <v>63</v>
      </c>
      <c r="I88" s="4" t="s">
        <v>518</v>
      </c>
      <c r="J88" s="4"/>
      <c r="K88" s="4"/>
      <c r="L88" s="22">
        <v>25620</v>
      </c>
      <c r="M88" s="4" t="s">
        <v>30</v>
      </c>
      <c r="N88" s="26">
        <f>Table134[[#This Row],[QTY
RECIVED]]-Table134[[#This Row],[QTY 
ISSUED]]</f>
        <v>0</v>
      </c>
      <c r="O88" s="11"/>
      <c r="P88" s="4" t="s">
        <v>109</v>
      </c>
      <c r="Q88" s="4">
        <v>25620</v>
      </c>
      <c r="R88" s="4" t="s">
        <v>194</v>
      </c>
      <c r="S88" s="4" t="s">
        <v>134</v>
      </c>
      <c r="T88" s="4"/>
      <c r="U88" s="4" t="s">
        <v>195</v>
      </c>
      <c r="V88" s="2"/>
      <c r="W88" s="4"/>
      <c r="X88" s="4"/>
      <c r="Y88" s="4"/>
    </row>
    <row r="89" spans="1:25" ht="45" x14ac:dyDescent="0.25">
      <c r="A89" s="68">
        <v>86</v>
      </c>
      <c r="B89" s="4" t="s">
        <v>98</v>
      </c>
      <c r="C89" s="4" t="s">
        <v>192</v>
      </c>
      <c r="D89" s="4">
        <v>9961641042</v>
      </c>
      <c r="E89" s="4" t="s">
        <v>324</v>
      </c>
      <c r="F89" s="4" t="s">
        <v>97</v>
      </c>
      <c r="G89" s="4" t="s">
        <v>16</v>
      </c>
      <c r="H89" s="4" t="s">
        <v>163</v>
      </c>
      <c r="I89" s="4" t="s">
        <v>537</v>
      </c>
      <c r="J89" s="4"/>
      <c r="K89" s="4" t="s">
        <v>99</v>
      </c>
      <c r="L89" s="22">
        <v>300</v>
      </c>
      <c r="M89" s="4" t="s">
        <v>30</v>
      </c>
      <c r="N89" s="26">
        <f>Table134[[#This Row],[QTY
RECIVED]]-Table134[[#This Row],[QTY 
ISSUED]]</f>
        <v>0</v>
      </c>
      <c r="O89" s="11"/>
      <c r="P89" s="4" t="s">
        <v>105</v>
      </c>
      <c r="Q89" s="4">
        <v>300</v>
      </c>
      <c r="R89" s="4" t="s">
        <v>124</v>
      </c>
      <c r="S89" s="4" t="s">
        <v>72</v>
      </c>
      <c r="T89" s="4"/>
      <c r="U89" s="4" t="s">
        <v>52</v>
      </c>
      <c r="V89" s="2"/>
      <c r="W89" s="4"/>
      <c r="X89" s="4"/>
      <c r="Y89" s="4"/>
    </row>
    <row r="90" spans="1:25" x14ac:dyDescent="0.25">
      <c r="A90" s="68">
        <v>87</v>
      </c>
      <c r="B90" s="4">
        <v>4030681</v>
      </c>
      <c r="C90" s="4"/>
      <c r="D90" s="4">
        <v>9944537862</v>
      </c>
      <c r="E90" s="4" t="s">
        <v>323</v>
      </c>
      <c r="F90" s="4" t="s">
        <v>101</v>
      </c>
      <c r="G90" s="4" t="s">
        <v>102</v>
      </c>
      <c r="H90" s="4"/>
      <c r="I90" s="4" t="s">
        <v>245</v>
      </c>
      <c r="J90" s="4"/>
      <c r="K90" s="26">
        <v>643</v>
      </c>
      <c r="L90" s="22">
        <v>3</v>
      </c>
      <c r="M90" s="4" t="s">
        <v>103</v>
      </c>
      <c r="N90" s="26">
        <f>Table134[[#This Row],[QTY
RECIVED]]-Table134[[#This Row],[QTY 
ISSUED]]</f>
        <v>0</v>
      </c>
      <c r="O90" s="11"/>
      <c r="P90" s="4" t="s">
        <v>105</v>
      </c>
      <c r="Q90" s="4">
        <v>3</v>
      </c>
      <c r="R90" s="4" t="s">
        <v>157</v>
      </c>
      <c r="S90" s="4" t="s">
        <v>96</v>
      </c>
      <c r="T90" s="4"/>
      <c r="U90" s="4" t="s">
        <v>269</v>
      </c>
      <c r="V90" s="2"/>
      <c r="W90" s="4"/>
      <c r="X90" s="4"/>
      <c r="Y90" s="4"/>
    </row>
    <row r="91" spans="1:25" ht="33.75" x14ac:dyDescent="0.25">
      <c r="A91" s="3">
        <v>88</v>
      </c>
      <c r="B91" s="4" t="s">
        <v>98</v>
      </c>
      <c r="C91" s="4" t="s">
        <v>192</v>
      </c>
      <c r="D91" s="4">
        <v>9961641062</v>
      </c>
      <c r="E91" s="4" t="s">
        <v>324</v>
      </c>
      <c r="F91" s="4" t="s">
        <v>97</v>
      </c>
      <c r="G91" s="12" t="s">
        <v>16</v>
      </c>
      <c r="H91" s="4" t="s">
        <v>166</v>
      </c>
      <c r="I91" s="4" t="s">
        <v>535</v>
      </c>
      <c r="J91" s="4"/>
      <c r="K91" s="4" t="s">
        <v>100</v>
      </c>
      <c r="L91" s="22">
        <v>1200</v>
      </c>
      <c r="M91" s="4" t="s">
        <v>30</v>
      </c>
      <c r="N91" s="26">
        <f>Table134[[#This Row],[QTY
RECIVED]]-Table134[[#This Row],[QTY 
ISSUED]]</f>
        <v>600</v>
      </c>
      <c r="O91" s="11"/>
      <c r="P91" s="4" t="s">
        <v>105</v>
      </c>
      <c r="Q91" s="4">
        <f>400+200</f>
        <v>600</v>
      </c>
      <c r="R91" s="4" t="s">
        <v>786</v>
      </c>
      <c r="S91" s="4" t="s">
        <v>787</v>
      </c>
      <c r="T91" s="4"/>
      <c r="U91" s="4" t="s">
        <v>137</v>
      </c>
      <c r="V91" s="2"/>
      <c r="W91" s="4"/>
      <c r="X91" s="4"/>
      <c r="Y91" s="4"/>
    </row>
    <row r="92" spans="1:25" x14ac:dyDescent="0.25">
      <c r="A92" s="3">
        <v>89</v>
      </c>
      <c r="B92" s="4"/>
      <c r="C92" s="4"/>
      <c r="D92" s="4">
        <v>9987119152</v>
      </c>
      <c r="E92" s="4" t="s">
        <v>321</v>
      </c>
      <c r="F92" s="4" t="s">
        <v>174</v>
      </c>
      <c r="G92" s="4" t="s">
        <v>111</v>
      </c>
      <c r="H92" s="4" t="s">
        <v>386</v>
      </c>
      <c r="I92" s="4" t="s">
        <v>399</v>
      </c>
      <c r="J92" s="4"/>
      <c r="K92" s="4" t="s">
        <v>400</v>
      </c>
      <c r="L92" s="22">
        <v>416</v>
      </c>
      <c r="M92" s="4" t="s">
        <v>68</v>
      </c>
      <c r="N92" s="26">
        <f>Table134[[#This Row],[QTY
RECIVED]]-Table134[[#This Row],[QTY 
ISSUED]]</f>
        <v>208</v>
      </c>
      <c r="O92" s="11">
        <v>0</v>
      </c>
      <c r="P92" s="4" t="s">
        <v>114</v>
      </c>
      <c r="Q92" s="4">
        <v>208</v>
      </c>
      <c r="R92" s="4" t="s">
        <v>122</v>
      </c>
      <c r="S92" s="4" t="s">
        <v>148</v>
      </c>
      <c r="T92" s="4"/>
      <c r="U92" s="4" t="s">
        <v>52</v>
      </c>
      <c r="V92" s="9" t="s">
        <v>272</v>
      </c>
      <c r="W92" s="4"/>
      <c r="X92" s="4"/>
      <c r="Y92" s="4"/>
    </row>
    <row r="93" spans="1:25" x14ac:dyDescent="0.25">
      <c r="A93" s="68">
        <v>90</v>
      </c>
      <c r="B93" s="4">
        <v>4030689</v>
      </c>
      <c r="C93" s="4"/>
      <c r="D93" s="4">
        <v>9944537862</v>
      </c>
      <c r="E93" s="4" t="s">
        <v>323</v>
      </c>
      <c r="F93" s="4" t="s">
        <v>101</v>
      </c>
      <c r="G93" s="4" t="s">
        <v>102</v>
      </c>
      <c r="H93" s="4"/>
      <c r="I93" s="4" t="s">
        <v>245</v>
      </c>
      <c r="J93" s="4"/>
      <c r="K93" s="26">
        <v>12315</v>
      </c>
      <c r="L93" s="22">
        <v>57</v>
      </c>
      <c r="M93" s="4" t="s">
        <v>103</v>
      </c>
      <c r="N93" s="26">
        <f>Table134[[#This Row],[QTY
RECIVED]]-Table134[[#This Row],[QTY 
ISSUED]]</f>
        <v>0</v>
      </c>
      <c r="O93" s="11"/>
      <c r="P93" s="4" t="s">
        <v>114</v>
      </c>
      <c r="Q93" s="4">
        <v>57</v>
      </c>
      <c r="R93" s="4" t="s">
        <v>157</v>
      </c>
      <c r="S93" s="4" t="s">
        <v>96</v>
      </c>
      <c r="T93" s="4"/>
      <c r="U93" s="4" t="s">
        <v>269</v>
      </c>
      <c r="V93" s="2"/>
      <c r="W93" s="4"/>
      <c r="X93" s="4"/>
      <c r="Y93" s="4"/>
    </row>
    <row r="94" spans="1:25" x14ac:dyDescent="0.25">
      <c r="A94" s="68">
        <v>91</v>
      </c>
      <c r="B94" s="4">
        <v>4030699</v>
      </c>
      <c r="C94" s="4"/>
      <c r="D94" s="4">
        <v>9944537862</v>
      </c>
      <c r="E94" s="4" t="s">
        <v>323</v>
      </c>
      <c r="F94" s="4" t="s">
        <v>101</v>
      </c>
      <c r="G94" s="4" t="s">
        <v>102</v>
      </c>
      <c r="H94" s="4"/>
      <c r="I94" s="4" t="s">
        <v>245</v>
      </c>
      <c r="J94" s="4"/>
      <c r="K94" s="26">
        <v>12969</v>
      </c>
      <c r="L94" s="22">
        <v>60</v>
      </c>
      <c r="M94" s="4" t="s">
        <v>103</v>
      </c>
      <c r="N94" s="26">
        <f>Table134[[#This Row],[QTY
RECIVED]]-Table134[[#This Row],[QTY 
ISSUED]]</f>
        <v>0</v>
      </c>
      <c r="O94" s="11"/>
      <c r="P94" s="4" t="s">
        <v>485</v>
      </c>
      <c r="Q94" s="4">
        <v>60</v>
      </c>
      <c r="R94" s="4" t="s">
        <v>157</v>
      </c>
      <c r="S94" s="4" t="s">
        <v>96</v>
      </c>
      <c r="T94" s="4"/>
      <c r="U94" s="4" t="s">
        <v>269</v>
      </c>
      <c r="V94" s="2"/>
      <c r="W94" s="4"/>
      <c r="X94" s="4"/>
      <c r="Y94" s="4"/>
    </row>
    <row r="95" spans="1:25" x14ac:dyDescent="0.25">
      <c r="A95" s="3">
        <v>92</v>
      </c>
      <c r="B95" s="4"/>
      <c r="C95" s="4" t="s">
        <v>350</v>
      </c>
      <c r="D95" s="4">
        <v>9987009302</v>
      </c>
      <c r="E95" s="4" t="s">
        <v>321</v>
      </c>
      <c r="F95" s="4"/>
      <c r="G95" s="4" t="s">
        <v>22</v>
      </c>
      <c r="H95" s="4" t="s">
        <v>382</v>
      </c>
      <c r="I95" s="4" t="s">
        <v>569</v>
      </c>
      <c r="J95" s="4"/>
      <c r="K95" s="4" t="s">
        <v>351</v>
      </c>
      <c r="L95" s="22">
        <v>80</v>
      </c>
      <c r="M95" s="4" t="s">
        <v>68</v>
      </c>
      <c r="N95" s="26">
        <f>Table134[[#This Row],[QTY
RECIVED]]-Table134[[#This Row],[QTY 
ISSUED]]</f>
        <v>0</v>
      </c>
      <c r="O95" s="20">
        <f>Table134[[#This Row],[INVENTORY]]/208</f>
        <v>0</v>
      </c>
      <c r="P95" s="4" t="s">
        <v>352</v>
      </c>
      <c r="Q95" s="4">
        <v>80</v>
      </c>
      <c r="R95" s="4" t="s">
        <v>122</v>
      </c>
      <c r="S95" s="4" t="s">
        <v>148</v>
      </c>
      <c r="T95" s="4"/>
      <c r="U95" s="4" t="s">
        <v>52</v>
      </c>
      <c r="V95" s="2"/>
      <c r="W95" s="4"/>
      <c r="X95" s="4"/>
      <c r="Y95" s="4"/>
    </row>
    <row r="96" spans="1:25" x14ac:dyDescent="0.25">
      <c r="A96" s="3">
        <v>93</v>
      </c>
      <c r="B96" s="4"/>
      <c r="C96" s="4" t="s">
        <v>353</v>
      </c>
      <c r="D96" s="4">
        <v>9987009302</v>
      </c>
      <c r="E96" s="4" t="s">
        <v>321</v>
      </c>
      <c r="F96" s="4"/>
      <c r="G96" s="4" t="s">
        <v>22</v>
      </c>
      <c r="H96" s="4" t="s">
        <v>382</v>
      </c>
      <c r="I96" s="4" t="s">
        <v>569</v>
      </c>
      <c r="J96" s="4"/>
      <c r="K96" s="4" t="s">
        <v>309</v>
      </c>
      <c r="L96" s="22">
        <v>624</v>
      </c>
      <c r="M96" s="4" t="s">
        <v>68</v>
      </c>
      <c r="N96" s="26">
        <f>Table134[[#This Row],[QTY
RECIVED]]-Table134[[#This Row],[QTY 
ISSUED]]</f>
        <v>0</v>
      </c>
      <c r="O96" s="20">
        <f>Table134[[#This Row],[INVENTORY]]/208</f>
        <v>0</v>
      </c>
      <c r="P96" s="4" t="s">
        <v>160</v>
      </c>
      <c r="Q96" s="4">
        <v>624</v>
      </c>
      <c r="R96" s="4"/>
      <c r="S96" s="4"/>
      <c r="T96" s="4"/>
      <c r="U96" s="4"/>
      <c r="V96" s="2"/>
      <c r="W96" s="4"/>
      <c r="X96" s="4"/>
      <c r="Y96" s="4"/>
    </row>
    <row r="97" spans="1:25" x14ac:dyDescent="0.25">
      <c r="A97" s="3">
        <v>94</v>
      </c>
      <c r="B97" s="4"/>
      <c r="C97" s="4"/>
      <c r="D97" s="4">
        <v>9944537902</v>
      </c>
      <c r="E97" s="4" t="s">
        <v>323</v>
      </c>
      <c r="F97" s="4"/>
      <c r="G97" s="4" t="s">
        <v>116</v>
      </c>
      <c r="H97" s="4">
        <v>4481992062</v>
      </c>
      <c r="I97" s="4" t="s">
        <v>217</v>
      </c>
      <c r="J97" s="4"/>
      <c r="K97" s="4"/>
      <c r="L97" s="22">
        <v>50</v>
      </c>
      <c r="M97" s="4" t="s">
        <v>158</v>
      </c>
      <c r="N97" s="26">
        <f>Table134[[#This Row],[QTY
RECIVED]]-Table134[[#This Row],[QTY 
ISSUED]]</f>
        <v>0</v>
      </c>
      <c r="O97" s="11"/>
      <c r="P97" s="4" t="s">
        <v>160</v>
      </c>
      <c r="Q97" s="4">
        <v>50</v>
      </c>
      <c r="R97" s="4" t="s">
        <v>157</v>
      </c>
      <c r="S97" s="4" t="s">
        <v>96</v>
      </c>
      <c r="T97" s="4"/>
      <c r="U97" s="4" t="s">
        <v>52</v>
      </c>
      <c r="V97" s="2"/>
      <c r="W97" s="4"/>
      <c r="X97" s="4"/>
      <c r="Y97" s="4"/>
    </row>
    <row r="98" spans="1:25" ht="22.5" x14ac:dyDescent="0.25">
      <c r="A98" s="3">
        <v>95</v>
      </c>
      <c r="B98" s="4"/>
      <c r="C98" s="4" t="s">
        <v>64</v>
      </c>
      <c r="D98" s="4">
        <v>9989007922</v>
      </c>
      <c r="E98" s="4" t="s">
        <v>324</v>
      </c>
      <c r="F98" s="4" t="s">
        <v>130</v>
      </c>
      <c r="G98" s="4" t="s">
        <v>65</v>
      </c>
      <c r="H98" s="4" t="s">
        <v>63</v>
      </c>
      <c r="I98" s="4" t="s">
        <v>518</v>
      </c>
      <c r="J98" s="4"/>
      <c r="K98" s="4"/>
      <c r="L98" s="22">
        <v>5000</v>
      </c>
      <c r="M98" s="4" t="s">
        <v>30</v>
      </c>
      <c r="N98" s="26">
        <f>Table134[[#This Row],[QTY
RECIVED]]-Table134[[#This Row],[QTY 
ISSUED]]</f>
        <v>0</v>
      </c>
      <c r="O98" s="11"/>
      <c r="P98" s="4" t="s">
        <v>122</v>
      </c>
      <c r="Q98" s="4">
        <v>5000</v>
      </c>
      <c r="R98" s="4" t="s">
        <v>194</v>
      </c>
      <c r="S98" s="4" t="s">
        <v>134</v>
      </c>
      <c r="T98" s="4"/>
      <c r="U98" s="4" t="s">
        <v>195</v>
      </c>
      <c r="V98" s="2"/>
      <c r="W98" s="4"/>
      <c r="X98" s="4"/>
      <c r="Y98" s="4"/>
    </row>
    <row r="99" spans="1:25" x14ac:dyDescent="0.25">
      <c r="A99" s="68">
        <v>96</v>
      </c>
      <c r="B99" s="4"/>
      <c r="C99" s="4" t="s">
        <v>737</v>
      </c>
      <c r="D99" s="4">
        <v>9987009302</v>
      </c>
      <c r="E99" s="4" t="s">
        <v>321</v>
      </c>
      <c r="F99" s="4" t="s">
        <v>307</v>
      </c>
      <c r="G99" s="4" t="s">
        <v>308</v>
      </c>
      <c r="H99" s="4" t="s">
        <v>382</v>
      </c>
      <c r="I99" s="4" t="s">
        <v>568</v>
      </c>
      <c r="J99" s="4"/>
      <c r="K99" s="4" t="s">
        <v>309</v>
      </c>
      <c r="L99" s="22">
        <v>624</v>
      </c>
      <c r="M99" s="4" t="s">
        <v>68</v>
      </c>
      <c r="N99" s="26">
        <f>Table134[[#This Row],[QTY
RECIVED]]-Table134[[#This Row],[QTY 
ISSUED]]</f>
        <v>0</v>
      </c>
      <c r="O99" s="20">
        <f>Table134[[#This Row],[INVENTORY]]/208</f>
        <v>0</v>
      </c>
      <c r="P99" s="4" t="s">
        <v>310</v>
      </c>
      <c r="Q99" s="4">
        <f>40+208+376</f>
        <v>624</v>
      </c>
      <c r="R99" s="4" t="s">
        <v>331</v>
      </c>
      <c r="S99" s="4" t="s">
        <v>332</v>
      </c>
      <c r="T99" s="4"/>
      <c r="U99" s="4"/>
      <c r="V99" s="2"/>
      <c r="W99" s="4"/>
      <c r="X99" s="4"/>
      <c r="Y99" s="4"/>
    </row>
    <row r="100" spans="1:25" ht="22.5" x14ac:dyDescent="0.25">
      <c r="A100" s="3">
        <v>97</v>
      </c>
      <c r="B100" s="4"/>
      <c r="C100" s="4" t="s">
        <v>64</v>
      </c>
      <c r="D100" s="4">
        <v>9989007922</v>
      </c>
      <c r="E100" s="4" t="s">
        <v>324</v>
      </c>
      <c r="F100" s="4" t="s">
        <v>177</v>
      </c>
      <c r="G100" s="4" t="s">
        <v>65</v>
      </c>
      <c r="H100" s="4" t="s">
        <v>63</v>
      </c>
      <c r="I100" s="4" t="s">
        <v>518</v>
      </c>
      <c r="J100" s="4"/>
      <c r="K100" s="4"/>
      <c r="L100" s="22">
        <v>19720</v>
      </c>
      <c r="M100" s="4" t="s">
        <v>30</v>
      </c>
      <c r="N100" s="26">
        <f>Table134[[#This Row],[QTY
RECIVED]]-Table134[[#This Row],[QTY 
ISSUED]]</f>
        <v>0</v>
      </c>
      <c r="O100" s="11"/>
      <c r="P100" s="4" t="s">
        <v>156</v>
      </c>
      <c r="Q100" s="4">
        <v>19720</v>
      </c>
      <c r="R100" s="4" t="s">
        <v>194</v>
      </c>
      <c r="S100" s="4" t="s">
        <v>134</v>
      </c>
      <c r="T100" s="4"/>
      <c r="U100" s="4" t="s">
        <v>195</v>
      </c>
      <c r="V100" s="2"/>
      <c r="W100" s="4"/>
      <c r="X100" s="4"/>
      <c r="Y100" s="4"/>
    </row>
    <row r="101" spans="1:25" x14ac:dyDescent="0.25">
      <c r="A101" s="3">
        <v>98</v>
      </c>
      <c r="B101" s="4"/>
      <c r="C101" s="4"/>
      <c r="D101" s="4">
        <v>9944537902</v>
      </c>
      <c r="E101" s="4" t="s">
        <v>323</v>
      </c>
      <c r="F101" s="4"/>
      <c r="G101" s="4" t="s">
        <v>116</v>
      </c>
      <c r="H101" s="4">
        <v>4481993022</v>
      </c>
      <c r="I101" s="4" t="s">
        <v>217</v>
      </c>
      <c r="J101" s="4"/>
      <c r="K101" s="4"/>
      <c r="L101" s="22">
        <v>100</v>
      </c>
      <c r="M101" s="4" t="s">
        <v>158</v>
      </c>
      <c r="N101" s="26">
        <f>Table134[[#This Row],[QTY
RECIVED]]-Table134[[#This Row],[QTY 
ISSUED]]</f>
        <v>0</v>
      </c>
      <c r="O101" s="11"/>
      <c r="P101" s="4" t="s">
        <v>161</v>
      </c>
      <c r="Q101" s="4">
        <v>100</v>
      </c>
      <c r="R101" s="4" t="s">
        <v>157</v>
      </c>
      <c r="S101" s="4" t="s">
        <v>96</v>
      </c>
      <c r="T101" s="4"/>
      <c r="U101" s="4" t="s">
        <v>52</v>
      </c>
      <c r="V101" s="2"/>
      <c r="W101" s="4"/>
      <c r="X101" s="4"/>
      <c r="Y101" s="4"/>
    </row>
    <row r="102" spans="1:25" ht="22.5" x14ac:dyDescent="0.25">
      <c r="A102" s="3">
        <v>99</v>
      </c>
      <c r="B102" s="4"/>
      <c r="C102" s="4" t="s">
        <v>193</v>
      </c>
      <c r="D102" s="4">
        <v>9961641022</v>
      </c>
      <c r="E102" s="4" t="s">
        <v>324</v>
      </c>
      <c r="F102" s="4" t="s">
        <v>180</v>
      </c>
      <c r="G102" s="4" t="s">
        <v>16</v>
      </c>
      <c r="H102" s="4" t="s">
        <v>165</v>
      </c>
      <c r="I102" s="4" t="s">
        <v>536</v>
      </c>
      <c r="J102" s="4"/>
      <c r="K102" s="4" t="s">
        <v>182</v>
      </c>
      <c r="L102" s="22">
        <v>3000</v>
      </c>
      <c r="M102" s="4" t="s">
        <v>30</v>
      </c>
      <c r="N102" s="26">
        <f>Table134[[#This Row],[QTY
RECIVED]]-Table134[[#This Row],[QTY 
ISSUED]]</f>
        <v>0</v>
      </c>
      <c r="O102" s="11"/>
      <c r="P102" s="4" t="s">
        <v>172</v>
      </c>
      <c r="Q102" s="4">
        <f>1000+800+400+800</f>
        <v>3000</v>
      </c>
      <c r="R102" s="4" t="s">
        <v>204</v>
      </c>
      <c r="S102" s="4" t="s">
        <v>205</v>
      </c>
      <c r="T102" s="4"/>
      <c r="U102" s="4" t="s">
        <v>52</v>
      </c>
      <c r="V102" s="2"/>
      <c r="W102" s="4"/>
      <c r="X102" s="4"/>
      <c r="Y102" s="4"/>
    </row>
    <row r="103" spans="1:25" ht="56.25" x14ac:dyDescent="0.25">
      <c r="A103" s="68">
        <v>100</v>
      </c>
      <c r="B103" s="4"/>
      <c r="C103" s="4" t="s">
        <v>193</v>
      </c>
      <c r="D103" s="4">
        <v>9961641082</v>
      </c>
      <c r="E103" s="4" t="s">
        <v>324</v>
      </c>
      <c r="F103" s="4" t="s">
        <v>180</v>
      </c>
      <c r="G103" s="12" t="s">
        <v>16</v>
      </c>
      <c r="H103" s="12" t="s">
        <v>16</v>
      </c>
      <c r="I103" s="4" t="s">
        <v>618</v>
      </c>
      <c r="J103" s="4"/>
      <c r="K103" s="4" t="s">
        <v>183</v>
      </c>
      <c r="L103" s="22">
        <v>1800</v>
      </c>
      <c r="M103" s="4" t="s">
        <v>30</v>
      </c>
      <c r="N103" s="26">
        <f>Table134[[#This Row],[QTY
RECIVED]]-Table134[[#This Row],[QTY 
ISSUED]]</f>
        <v>0</v>
      </c>
      <c r="O103" s="11"/>
      <c r="P103" s="4" t="s">
        <v>172</v>
      </c>
      <c r="Q103" s="4">
        <f>173+960+480+187</f>
        <v>1800</v>
      </c>
      <c r="R103" s="4" t="s">
        <v>451</v>
      </c>
      <c r="S103" s="4" t="s">
        <v>452</v>
      </c>
      <c r="T103" s="4"/>
      <c r="U103" s="4" t="s">
        <v>25</v>
      </c>
      <c r="V103" s="2"/>
      <c r="W103" s="4"/>
      <c r="X103" s="4"/>
      <c r="Y103" s="4"/>
    </row>
    <row r="104" spans="1:25" ht="33.75" x14ac:dyDescent="0.25">
      <c r="A104" s="3">
        <v>101</v>
      </c>
      <c r="B104" s="4"/>
      <c r="C104" s="4" t="s">
        <v>193</v>
      </c>
      <c r="D104" s="4">
        <v>9961641042</v>
      </c>
      <c r="E104" s="4" t="s">
        <v>324</v>
      </c>
      <c r="F104" s="4" t="s">
        <v>180</v>
      </c>
      <c r="G104" s="12" t="s">
        <v>16</v>
      </c>
      <c r="H104" s="4" t="s">
        <v>163</v>
      </c>
      <c r="I104" s="4" t="s">
        <v>537</v>
      </c>
      <c r="J104" s="4"/>
      <c r="K104" s="4" t="s">
        <v>181</v>
      </c>
      <c r="L104" s="22">
        <v>800</v>
      </c>
      <c r="M104" s="4" t="s">
        <v>30</v>
      </c>
      <c r="N104" s="26">
        <f>Table134[[#This Row],[QTY
RECIVED]]-Table134[[#This Row],[QTY 
ISSUED]]</f>
        <v>0</v>
      </c>
      <c r="O104" s="11">
        <v>1</v>
      </c>
      <c r="P104" s="4" t="s">
        <v>172</v>
      </c>
      <c r="Q104" s="4">
        <f>200+200+400-400+200+200</f>
        <v>800</v>
      </c>
      <c r="R104" s="4" t="s">
        <v>762</v>
      </c>
      <c r="S104" s="4" t="s">
        <v>761</v>
      </c>
      <c r="T104" s="4" t="s">
        <v>450</v>
      </c>
      <c r="U104" s="4"/>
      <c r="V104" s="2"/>
      <c r="W104" s="4"/>
      <c r="X104" s="4"/>
      <c r="Y104" s="4"/>
    </row>
    <row r="105" spans="1:25" x14ac:dyDescent="0.25">
      <c r="A105" s="3">
        <v>102</v>
      </c>
      <c r="B105" s="4"/>
      <c r="C105" s="4"/>
      <c r="D105" s="4">
        <v>9944537902</v>
      </c>
      <c r="E105" s="4" t="s">
        <v>323</v>
      </c>
      <c r="F105" s="4"/>
      <c r="G105" s="4" t="s">
        <v>116</v>
      </c>
      <c r="H105" s="4" t="s">
        <v>116</v>
      </c>
      <c r="I105" s="4" t="s">
        <v>217</v>
      </c>
      <c r="J105" s="4"/>
      <c r="K105" s="4" t="s">
        <v>597</v>
      </c>
      <c r="L105" s="22">
        <v>250</v>
      </c>
      <c r="M105" s="4" t="s">
        <v>158</v>
      </c>
      <c r="N105" s="26">
        <f>Table134[[#This Row],[QTY
RECIVED]]-Table134[[#This Row],[QTY 
ISSUED]]</f>
        <v>0</v>
      </c>
      <c r="O105" s="11"/>
      <c r="P105" s="4" t="s">
        <v>596</v>
      </c>
      <c r="Q105" s="4">
        <f>150+100</f>
        <v>250</v>
      </c>
      <c r="R105" s="4" t="s">
        <v>268</v>
      </c>
      <c r="S105" s="4" t="s">
        <v>267</v>
      </c>
      <c r="T105" s="4"/>
      <c r="U105" s="4" t="s">
        <v>269</v>
      </c>
      <c r="V105" s="2"/>
      <c r="W105" s="4"/>
      <c r="X105" s="4"/>
      <c r="Y105" s="4"/>
    </row>
    <row r="106" spans="1:25" ht="22.5" x14ac:dyDescent="0.25">
      <c r="A106" s="3">
        <v>103</v>
      </c>
      <c r="B106" s="4"/>
      <c r="C106" s="4" t="s">
        <v>64</v>
      </c>
      <c r="D106" s="4">
        <v>9989007922</v>
      </c>
      <c r="E106" s="4" t="s">
        <v>324</v>
      </c>
      <c r="F106" s="4" t="s">
        <v>178</v>
      </c>
      <c r="G106" s="4" t="s">
        <v>65</v>
      </c>
      <c r="H106" s="4" t="s">
        <v>63</v>
      </c>
      <c r="I106" s="4" t="s">
        <v>518</v>
      </c>
      <c r="J106" s="4"/>
      <c r="K106" s="4"/>
      <c r="L106" s="22">
        <v>14940</v>
      </c>
      <c r="M106" s="4" t="s">
        <v>30</v>
      </c>
      <c r="N106" s="26">
        <f>Table134[[#This Row],[QTY
RECIVED]]-Table134[[#This Row],[QTY 
ISSUED]]</f>
        <v>0</v>
      </c>
      <c r="O106" s="11"/>
      <c r="P106" s="4" t="s">
        <v>179</v>
      </c>
      <c r="Q106" s="4">
        <v>14940</v>
      </c>
      <c r="R106" s="4" t="s">
        <v>194</v>
      </c>
      <c r="S106" s="4" t="s">
        <v>134</v>
      </c>
      <c r="T106" s="4"/>
      <c r="U106" s="4" t="s">
        <v>195</v>
      </c>
      <c r="V106" s="2"/>
      <c r="W106" s="4"/>
      <c r="X106" s="4"/>
      <c r="Y106" s="4"/>
    </row>
    <row r="107" spans="1:25" ht="33.75" x14ac:dyDescent="0.25">
      <c r="A107" s="3">
        <v>104</v>
      </c>
      <c r="B107" s="4"/>
      <c r="C107" s="4" t="s">
        <v>193</v>
      </c>
      <c r="D107" s="4">
        <v>9961641102</v>
      </c>
      <c r="E107" s="4" t="s">
        <v>324</v>
      </c>
      <c r="F107" s="4" t="s">
        <v>180</v>
      </c>
      <c r="G107" s="12" t="s">
        <v>16</v>
      </c>
      <c r="H107" s="4">
        <v>9961641042</v>
      </c>
      <c r="I107" s="4" t="s">
        <v>541</v>
      </c>
      <c r="J107" s="4"/>
      <c r="K107" s="4" t="s">
        <v>184</v>
      </c>
      <c r="L107" s="22">
        <v>990</v>
      </c>
      <c r="M107" s="4" t="s">
        <v>30</v>
      </c>
      <c r="N107" s="26">
        <f>Table134[[#This Row],[QTY
RECIVED]]-Table134[[#This Row],[QTY 
ISSUED]]</f>
        <v>45</v>
      </c>
      <c r="O107" s="11"/>
      <c r="P107" s="4" t="s">
        <v>228</v>
      </c>
      <c r="Q107" s="4">
        <f>45+90+180+180+180+270</f>
        <v>945</v>
      </c>
      <c r="R107" s="4" t="s">
        <v>375</v>
      </c>
      <c r="S107" s="4" t="s">
        <v>376</v>
      </c>
      <c r="T107" s="4"/>
      <c r="U107" s="4" t="s">
        <v>25</v>
      </c>
      <c r="V107" s="2"/>
      <c r="W107" s="4"/>
      <c r="X107" s="4"/>
      <c r="Y107" s="4"/>
    </row>
    <row r="108" spans="1:25" x14ac:dyDescent="0.25">
      <c r="A108" s="3">
        <v>105</v>
      </c>
      <c r="B108" s="4"/>
      <c r="C108" s="4"/>
      <c r="D108" s="4">
        <v>9944537882</v>
      </c>
      <c r="E108" s="4" t="s">
        <v>323</v>
      </c>
      <c r="F108" s="4" t="s">
        <v>527</v>
      </c>
      <c r="G108" s="4" t="s">
        <v>116</v>
      </c>
      <c r="H108" s="4" t="s">
        <v>116</v>
      </c>
      <c r="I108" s="4" t="s">
        <v>616</v>
      </c>
      <c r="J108" s="4"/>
      <c r="K108" s="4"/>
      <c r="L108" s="22">
        <v>1000</v>
      </c>
      <c r="M108" s="4" t="s">
        <v>158</v>
      </c>
      <c r="N108" s="26">
        <f>Table134[[#This Row],[QTY
RECIVED]]-Table134[[#This Row],[QTY 
ISSUED]]</f>
        <v>0</v>
      </c>
      <c r="O108" s="11"/>
      <c r="P108" s="4" t="s">
        <v>185</v>
      </c>
      <c r="Q108" s="4">
        <v>1000</v>
      </c>
      <c r="R108" s="4" t="s">
        <v>196</v>
      </c>
      <c r="S108" s="4" t="s">
        <v>177</v>
      </c>
      <c r="T108" s="4"/>
      <c r="U108" s="4" t="s">
        <v>52</v>
      </c>
      <c r="V108" s="2"/>
      <c r="W108" s="4"/>
      <c r="X108" s="4"/>
      <c r="Y108" s="4"/>
    </row>
    <row r="109" spans="1:25" x14ac:dyDescent="0.25">
      <c r="A109" s="3">
        <v>106</v>
      </c>
      <c r="B109" s="4"/>
      <c r="C109" s="4"/>
      <c r="D109" s="12">
        <v>9944537842</v>
      </c>
      <c r="E109" s="4" t="s">
        <v>323</v>
      </c>
      <c r="F109" s="4"/>
      <c r="G109" s="4" t="s">
        <v>116</v>
      </c>
      <c r="H109" s="4"/>
      <c r="I109" s="12" t="s">
        <v>159</v>
      </c>
      <c r="J109" s="12"/>
      <c r="K109" s="4"/>
      <c r="L109" s="22">
        <v>10</v>
      </c>
      <c r="M109" s="4" t="s">
        <v>103</v>
      </c>
      <c r="N109" s="26">
        <f>Table134[[#This Row],[QTY
RECIVED]]-Table134[[#This Row],[QTY 
ISSUED]]</f>
        <v>0</v>
      </c>
      <c r="O109" s="11"/>
      <c r="P109" s="4" t="s">
        <v>185</v>
      </c>
      <c r="Q109" s="4">
        <v>10</v>
      </c>
      <c r="R109" s="4" t="s">
        <v>194</v>
      </c>
      <c r="S109" s="4" t="s">
        <v>177</v>
      </c>
      <c r="T109" s="4"/>
      <c r="U109" s="4" t="s">
        <v>269</v>
      </c>
      <c r="V109" s="2"/>
      <c r="W109" s="4"/>
      <c r="X109" s="4"/>
      <c r="Y109" s="4"/>
    </row>
    <row r="110" spans="1:25" x14ac:dyDescent="0.25">
      <c r="A110" s="68">
        <v>107</v>
      </c>
      <c r="B110" s="6"/>
      <c r="C110" s="6" t="s">
        <v>720</v>
      </c>
      <c r="D110" s="4">
        <v>9944537842</v>
      </c>
      <c r="E110" s="4" t="s">
        <v>323</v>
      </c>
      <c r="F110" s="6" t="s">
        <v>244</v>
      </c>
      <c r="G110" s="6" t="s">
        <v>186</v>
      </c>
      <c r="H110" s="6"/>
      <c r="I110" s="44" t="s">
        <v>159</v>
      </c>
      <c r="J110" s="57"/>
      <c r="K110" s="17">
        <v>728</v>
      </c>
      <c r="L110" s="24">
        <v>2</v>
      </c>
      <c r="M110" s="6" t="s">
        <v>103</v>
      </c>
      <c r="N110" s="27">
        <f>Table134[[#This Row],[QTY
RECIVED]]-Table134[[#This Row],[QTY 
ISSUED]]</f>
        <v>0</v>
      </c>
      <c r="O110" s="19"/>
      <c r="P110" s="6" t="s">
        <v>250</v>
      </c>
      <c r="Q110" s="6">
        <v>2</v>
      </c>
      <c r="R110" s="6" t="s">
        <v>194</v>
      </c>
      <c r="S110" s="6" t="s">
        <v>177</v>
      </c>
      <c r="T110" s="6"/>
      <c r="U110" s="6" t="s">
        <v>269</v>
      </c>
      <c r="V110" s="7"/>
      <c r="W110" s="4"/>
      <c r="X110" s="4"/>
      <c r="Y110" s="4"/>
    </row>
    <row r="111" spans="1:25" x14ac:dyDescent="0.25">
      <c r="A111" s="68">
        <v>108</v>
      </c>
      <c r="B111" s="4"/>
      <c r="C111" s="4" t="s">
        <v>720</v>
      </c>
      <c r="D111" s="4">
        <v>9944537822</v>
      </c>
      <c r="E111" s="4" t="s">
        <v>323</v>
      </c>
      <c r="F111" s="4" t="s">
        <v>244</v>
      </c>
      <c r="G111" s="4" t="s">
        <v>186</v>
      </c>
      <c r="H111" s="4"/>
      <c r="I111" s="4" t="s">
        <v>187</v>
      </c>
      <c r="J111" s="4"/>
      <c r="K111" s="4">
        <v>244</v>
      </c>
      <c r="L111" s="22">
        <v>2</v>
      </c>
      <c r="M111" s="4" t="s">
        <v>103</v>
      </c>
      <c r="N111" s="26">
        <f>Table134[[#This Row],[QTY
RECIVED]]-Table134[[#This Row],[QTY 
ISSUED]]</f>
        <v>0</v>
      </c>
      <c r="O111" s="11"/>
      <c r="P111" s="4" t="s">
        <v>250</v>
      </c>
      <c r="Q111" s="4">
        <v>2</v>
      </c>
      <c r="R111" s="4" t="s">
        <v>194</v>
      </c>
      <c r="S111" s="4" t="s">
        <v>177</v>
      </c>
      <c r="T111" s="4"/>
      <c r="U111" s="4" t="s">
        <v>52</v>
      </c>
      <c r="V111" s="8"/>
      <c r="W111" s="4"/>
      <c r="X111" s="4"/>
      <c r="Y111" s="4"/>
    </row>
    <row r="112" spans="1:25" x14ac:dyDescent="0.25">
      <c r="A112" s="68">
        <v>109</v>
      </c>
      <c r="B112" s="4"/>
      <c r="C112" s="4" t="s">
        <v>720</v>
      </c>
      <c r="D112" s="4">
        <v>9944537902</v>
      </c>
      <c r="E112" s="4" t="s">
        <v>323</v>
      </c>
      <c r="F112" s="4" t="s">
        <v>199</v>
      </c>
      <c r="G112" s="4" t="s">
        <v>200</v>
      </c>
      <c r="H112" s="4"/>
      <c r="I112" s="4" t="s">
        <v>217</v>
      </c>
      <c r="J112" s="4"/>
      <c r="K112" s="4"/>
      <c r="L112" s="22">
        <v>10</v>
      </c>
      <c r="M112" s="4" t="s">
        <v>158</v>
      </c>
      <c r="N112" s="26">
        <f>Table134[[#This Row],[QTY
RECIVED]]-Table134[[#This Row],[QTY 
ISSUED]]</f>
        <v>0</v>
      </c>
      <c r="O112" s="11"/>
      <c r="P112" s="4" t="s">
        <v>201</v>
      </c>
      <c r="Q112" s="4">
        <v>10</v>
      </c>
      <c r="R112" s="4" t="s">
        <v>259</v>
      </c>
      <c r="S112" s="4" t="s">
        <v>267</v>
      </c>
      <c r="T112" s="4"/>
      <c r="U112" s="4"/>
      <c r="V112" s="8"/>
      <c r="W112" s="4"/>
      <c r="X112" s="4"/>
      <c r="Y112" s="4"/>
    </row>
    <row r="113" spans="1:25" x14ac:dyDescent="0.25">
      <c r="A113" s="3">
        <v>110</v>
      </c>
      <c r="B113" s="4"/>
      <c r="C113" s="4"/>
      <c r="D113" s="4">
        <v>9944537882</v>
      </c>
      <c r="E113" s="4" t="s">
        <v>323</v>
      </c>
      <c r="F113" s="4" t="s">
        <v>527</v>
      </c>
      <c r="G113" s="4" t="s">
        <v>240</v>
      </c>
      <c r="H113" s="4" t="s">
        <v>240</v>
      </c>
      <c r="I113" s="4" t="s">
        <v>616</v>
      </c>
      <c r="J113" s="4"/>
      <c r="K113" s="4"/>
      <c r="L113" s="22">
        <v>360</v>
      </c>
      <c r="M113" s="4" t="s">
        <v>158</v>
      </c>
      <c r="N113" s="26">
        <f>Table134[[#This Row],[QTY
RECIVED]]-Table134[[#This Row],[QTY 
ISSUED]]</f>
        <v>0</v>
      </c>
      <c r="O113" s="11"/>
      <c r="P113" s="4" t="s">
        <v>241</v>
      </c>
      <c r="Q113" s="4">
        <v>360</v>
      </c>
      <c r="R113" s="4" t="s">
        <v>259</v>
      </c>
      <c r="S113" s="4" t="s">
        <v>211</v>
      </c>
      <c r="T113" s="4"/>
      <c r="U113" s="4" t="s">
        <v>52</v>
      </c>
      <c r="V113" s="8" t="s">
        <v>239</v>
      </c>
      <c r="W113" s="4"/>
      <c r="X113" s="4"/>
      <c r="Y113" s="4"/>
    </row>
    <row r="114" spans="1:25" ht="31.5" x14ac:dyDescent="0.4">
      <c r="A114" s="68">
        <v>111</v>
      </c>
      <c r="B114" s="4"/>
      <c r="C114" s="4" t="s">
        <v>736</v>
      </c>
      <c r="D114" s="4">
        <v>9987118972</v>
      </c>
      <c r="E114" s="4" t="s">
        <v>321</v>
      </c>
      <c r="F114" s="4" t="s">
        <v>311</v>
      </c>
      <c r="G114" s="4" t="s">
        <v>80</v>
      </c>
      <c r="H114" s="4" t="s">
        <v>383</v>
      </c>
      <c r="I114" s="4" t="s">
        <v>555</v>
      </c>
      <c r="J114" s="79" t="s">
        <v>765</v>
      </c>
      <c r="K114" s="80" t="s">
        <v>764</v>
      </c>
      <c r="L114" s="22">
        <v>624</v>
      </c>
      <c r="M114" s="4" t="s">
        <v>68</v>
      </c>
      <c r="N114" s="83">
        <v>208</v>
      </c>
      <c r="O114" s="61">
        <f>Table134[[#This Row],[INVENTORY]]/208</f>
        <v>1</v>
      </c>
      <c r="P114" s="4" t="s">
        <v>242</v>
      </c>
      <c r="Q114" s="4">
        <f>470+50+104</f>
        <v>624</v>
      </c>
      <c r="R114" s="4" t="s">
        <v>411</v>
      </c>
      <c r="S114" s="4" t="s">
        <v>412</v>
      </c>
      <c r="T114" s="4"/>
      <c r="U114" s="4"/>
      <c r="V114" s="8" t="s">
        <v>766</v>
      </c>
      <c r="W114" s="4">
        <v>624</v>
      </c>
      <c r="X114" s="4">
        <v>3120</v>
      </c>
      <c r="Y114" s="4" t="s">
        <v>785</v>
      </c>
    </row>
    <row r="115" spans="1:25" x14ac:dyDescent="0.25">
      <c r="A115" s="3">
        <v>112</v>
      </c>
      <c r="B115" s="4"/>
      <c r="C115" s="4"/>
      <c r="D115" s="4">
        <v>9944537882</v>
      </c>
      <c r="E115" s="4" t="s">
        <v>323</v>
      </c>
      <c r="F115" s="4" t="s">
        <v>527</v>
      </c>
      <c r="G115" s="4" t="s">
        <v>240</v>
      </c>
      <c r="H115" s="4" t="s">
        <v>240</v>
      </c>
      <c r="I115" s="4" t="s">
        <v>616</v>
      </c>
      <c r="J115" s="4"/>
      <c r="K115" s="4"/>
      <c r="L115" s="22">
        <v>360</v>
      </c>
      <c r="M115" s="4" t="s">
        <v>158</v>
      </c>
      <c r="N115" s="26">
        <f>Table134[[#This Row],[QTY
RECIVED]]-Table134[[#This Row],[QTY 
ISSUED]]</f>
        <v>0</v>
      </c>
      <c r="O115" s="11"/>
      <c r="P115" s="4" t="s">
        <v>242</v>
      </c>
      <c r="Q115" s="4">
        <v>360</v>
      </c>
      <c r="R115" s="4" t="s">
        <v>259</v>
      </c>
      <c r="S115" s="4" t="s">
        <v>211</v>
      </c>
      <c r="T115" s="4"/>
      <c r="U115" s="4" t="s">
        <v>52</v>
      </c>
      <c r="V115" s="8" t="s">
        <v>239</v>
      </c>
      <c r="W115" s="4"/>
      <c r="X115" s="4"/>
      <c r="Y115" s="4"/>
    </row>
    <row r="116" spans="1:25" x14ac:dyDescent="0.25">
      <c r="A116" s="68">
        <v>113</v>
      </c>
      <c r="B116" s="4">
        <v>4031261</v>
      </c>
      <c r="C116" s="4" t="s">
        <v>720</v>
      </c>
      <c r="D116" s="4">
        <v>9944537882</v>
      </c>
      <c r="E116" s="4" t="s">
        <v>323</v>
      </c>
      <c r="F116" s="4" t="s">
        <v>203</v>
      </c>
      <c r="G116" s="4" t="s">
        <v>102</v>
      </c>
      <c r="H116" s="4" t="s">
        <v>102</v>
      </c>
      <c r="I116" s="4" t="s">
        <v>616</v>
      </c>
      <c r="J116" s="4"/>
      <c r="K116" s="4"/>
      <c r="L116" s="22">
        <v>480</v>
      </c>
      <c r="M116" s="4" t="s">
        <v>158</v>
      </c>
      <c r="N116" s="26">
        <f>Table134[[#This Row],[QTY
RECIVED]]-Table134[[#This Row],[QTY 
ISSUED]]</f>
        <v>0</v>
      </c>
      <c r="O116" s="11"/>
      <c r="P116" s="4" t="s">
        <v>202</v>
      </c>
      <c r="Q116" s="4">
        <v>480</v>
      </c>
      <c r="R116" s="4" t="s">
        <v>259</v>
      </c>
      <c r="S116" s="4" t="s">
        <v>211</v>
      </c>
      <c r="T116" s="4"/>
      <c r="U116" s="4" t="s">
        <v>52</v>
      </c>
      <c r="V116" s="8"/>
      <c r="W116" s="4"/>
      <c r="X116" s="4"/>
      <c r="Y116" s="4"/>
    </row>
    <row r="117" spans="1:25" x14ac:dyDescent="0.25">
      <c r="A117" s="3">
        <v>114</v>
      </c>
      <c r="B117" s="4"/>
      <c r="C117" s="4"/>
      <c r="D117" s="4">
        <v>9944537882</v>
      </c>
      <c r="E117" s="4" t="s">
        <v>323</v>
      </c>
      <c r="F117" s="4" t="s">
        <v>527</v>
      </c>
      <c r="G117" s="4" t="s">
        <v>116</v>
      </c>
      <c r="H117" s="4" t="s">
        <v>116</v>
      </c>
      <c r="I117" s="4" t="s">
        <v>616</v>
      </c>
      <c r="J117" s="4"/>
      <c r="K117" s="4"/>
      <c r="L117" s="22">
        <v>280</v>
      </c>
      <c r="M117" s="4" t="s">
        <v>158</v>
      </c>
      <c r="N117" s="26">
        <f>Table134[[#This Row],[QTY
RECIVED]]-Table134[[#This Row],[QTY 
ISSUED]]</f>
        <v>0</v>
      </c>
      <c r="O117" s="11"/>
      <c r="P117" s="4" t="s">
        <v>208</v>
      </c>
      <c r="Q117" s="4">
        <v>280</v>
      </c>
      <c r="R117" s="4" t="s">
        <v>259</v>
      </c>
      <c r="S117" s="4" t="s">
        <v>211</v>
      </c>
      <c r="T117" s="4"/>
      <c r="U117" s="4" t="s">
        <v>52</v>
      </c>
      <c r="V117" s="8" t="s">
        <v>239</v>
      </c>
      <c r="W117" s="4"/>
      <c r="X117" s="4"/>
      <c r="Y117" s="4"/>
    </row>
    <row r="118" spans="1:25" x14ac:dyDescent="0.25">
      <c r="A118" s="68">
        <v>115</v>
      </c>
      <c r="B118" s="4">
        <v>4031313</v>
      </c>
      <c r="C118" s="4" t="s">
        <v>220</v>
      </c>
      <c r="D118" s="4">
        <v>9944537882</v>
      </c>
      <c r="E118" s="4" t="s">
        <v>323</v>
      </c>
      <c r="F118" s="4" t="s">
        <v>206</v>
      </c>
      <c r="G118" s="4" t="s">
        <v>102</v>
      </c>
      <c r="H118" s="4" t="s">
        <v>102</v>
      </c>
      <c r="I118" s="4" t="s">
        <v>616</v>
      </c>
      <c r="J118" s="4"/>
      <c r="K118" s="4"/>
      <c r="L118" s="22">
        <v>480</v>
      </c>
      <c r="M118" s="4" t="s">
        <v>158</v>
      </c>
      <c r="N118" s="26">
        <f>Table134[[#This Row],[QTY
RECIVED]]-Table134[[#This Row],[QTY 
ISSUED]]</f>
        <v>0</v>
      </c>
      <c r="O118" s="11"/>
      <c r="P118" s="4" t="s">
        <v>208</v>
      </c>
      <c r="Q118" s="4">
        <v>480</v>
      </c>
      <c r="R118" s="4" t="s">
        <v>259</v>
      </c>
      <c r="S118" s="4" t="s">
        <v>211</v>
      </c>
      <c r="T118" s="4"/>
      <c r="U118" s="4" t="s">
        <v>52</v>
      </c>
      <c r="V118" s="8"/>
      <c r="W118" s="4"/>
      <c r="X118" s="4"/>
      <c r="Y118" s="4"/>
    </row>
    <row r="119" spans="1:25" ht="45" x14ac:dyDescent="0.25">
      <c r="A119" s="68">
        <v>116</v>
      </c>
      <c r="B119" s="4"/>
      <c r="C119" s="4" t="s">
        <v>735</v>
      </c>
      <c r="D119" s="4">
        <v>9987119142</v>
      </c>
      <c r="E119" s="4" t="s">
        <v>321</v>
      </c>
      <c r="F119" s="4" t="s">
        <v>312</v>
      </c>
      <c r="G119" s="4" t="s">
        <v>313</v>
      </c>
      <c r="H119" s="4" t="s">
        <v>387</v>
      </c>
      <c r="I119" s="4" t="s">
        <v>610</v>
      </c>
      <c r="J119" s="4"/>
      <c r="K119" s="4"/>
      <c r="L119" s="22">
        <v>1080</v>
      </c>
      <c r="M119" s="4" t="s">
        <v>30</v>
      </c>
      <c r="N119" s="26" t="e">
        <f>Table134[[#This Row],[QTY
RECIVED]]-Table134[[#This Row],[QTY 
ISSUED]]</f>
        <v>#VALUE!</v>
      </c>
      <c r="O119" s="61" t="e">
        <f>Table134[[#This Row],[INVENTORY]]/208</f>
        <v>#VALUE!</v>
      </c>
      <c r="P119" s="4" t="s">
        <v>314</v>
      </c>
      <c r="Q119" s="4" t="e">
        <f>180+200+I202+208+200+150</f>
        <v>#VALUE!</v>
      </c>
      <c r="R119" s="4" t="s">
        <v>524</v>
      </c>
      <c r="S119" s="4" t="s">
        <v>523</v>
      </c>
      <c r="T119" s="4"/>
      <c r="U119" s="4"/>
      <c r="V119" s="8" t="s">
        <v>272</v>
      </c>
      <c r="W119" s="4"/>
      <c r="X119" s="4"/>
      <c r="Y119" s="4"/>
    </row>
    <row r="120" spans="1:25" x14ac:dyDescent="0.25">
      <c r="A120" s="68">
        <v>117</v>
      </c>
      <c r="B120" s="4">
        <v>4031355</v>
      </c>
      <c r="C120" s="4" t="s">
        <v>724</v>
      </c>
      <c r="D120" s="4">
        <v>9944537842</v>
      </c>
      <c r="E120" s="4" t="s">
        <v>323</v>
      </c>
      <c r="F120" s="4" t="s">
        <v>207</v>
      </c>
      <c r="G120" s="4" t="s">
        <v>102</v>
      </c>
      <c r="H120" s="12"/>
      <c r="I120" s="12" t="s">
        <v>159</v>
      </c>
      <c r="J120" s="12"/>
      <c r="K120" s="4" t="s">
        <v>209</v>
      </c>
      <c r="L120" s="22">
        <v>32</v>
      </c>
      <c r="M120" s="4" t="s">
        <v>103</v>
      </c>
      <c r="N120" s="26">
        <f>Table134[[#This Row],[QTY
RECIVED]]-Table134[[#This Row],[QTY 
ISSUED]]</f>
        <v>0</v>
      </c>
      <c r="O120" s="11"/>
      <c r="P120" s="4" t="s">
        <v>210</v>
      </c>
      <c r="Q120" s="4">
        <f>6+26</f>
        <v>32</v>
      </c>
      <c r="R120" s="4" t="s">
        <v>270</v>
      </c>
      <c r="S120" s="4" t="s">
        <v>267</v>
      </c>
      <c r="T120" s="4"/>
      <c r="U120" s="4" t="s">
        <v>269</v>
      </c>
      <c r="V120" s="8"/>
      <c r="W120" s="4"/>
      <c r="X120" s="4"/>
      <c r="Y120" s="4"/>
    </row>
    <row r="121" spans="1:25" x14ac:dyDescent="0.25">
      <c r="A121" s="68">
        <v>118</v>
      </c>
      <c r="B121" s="4">
        <v>4031366</v>
      </c>
      <c r="C121" s="4" t="s">
        <v>723</v>
      </c>
      <c r="D121" s="4">
        <v>9944537862</v>
      </c>
      <c r="E121" s="4" t="s">
        <v>323</v>
      </c>
      <c r="F121" s="4" t="s">
        <v>211</v>
      </c>
      <c r="G121" s="4" t="s">
        <v>102</v>
      </c>
      <c r="H121" s="4"/>
      <c r="I121" s="4" t="s">
        <v>245</v>
      </c>
      <c r="J121" s="4"/>
      <c r="K121" s="26">
        <v>13001</v>
      </c>
      <c r="L121" s="22">
        <v>60</v>
      </c>
      <c r="M121" s="4" t="s">
        <v>103</v>
      </c>
      <c r="N121" s="26">
        <f>Table134[[#This Row],[QTY
RECIVED]]-Table134[[#This Row],[QTY 
ISSUED]]</f>
        <v>0</v>
      </c>
      <c r="O121" s="11"/>
      <c r="P121" s="4" t="s">
        <v>212</v>
      </c>
      <c r="Q121" s="4">
        <v>60</v>
      </c>
      <c r="R121" s="4" t="s">
        <v>259</v>
      </c>
      <c r="S121" s="4" t="s">
        <v>211</v>
      </c>
      <c r="T121" s="4"/>
      <c r="U121" s="4" t="s">
        <v>269</v>
      </c>
      <c r="V121" s="8"/>
      <c r="W121" s="4"/>
      <c r="X121" s="4"/>
      <c r="Y121" s="4"/>
    </row>
    <row r="122" spans="1:25" x14ac:dyDescent="0.25">
      <c r="A122" s="68">
        <v>119</v>
      </c>
      <c r="B122" s="4">
        <v>4031376</v>
      </c>
      <c r="C122" s="4" t="s">
        <v>220</v>
      </c>
      <c r="D122" s="4">
        <v>9944537882</v>
      </c>
      <c r="E122" s="4" t="s">
        <v>323</v>
      </c>
      <c r="F122" s="4" t="s">
        <v>219</v>
      </c>
      <c r="G122" s="4" t="s">
        <v>102</v>
      </c>
      <c r="H122" s="4" t="s">
        <v>102</v>
      </c>
      <c r="I122" s="4" t="s">
        <v>616</v>
      </c>
      <c r="J122" s="4"/>
      <c r="K122" s="4"/>
      <c r="L122" s="22">
        <v>480</v>
      </c>
      <c r="M122" s="4" t="s">
        <v>158</v>
      </c>
      <c r="N122" s="26">
        <f>Table134[[#This Row],[QTY
RECIVED]]-Table134[[#This Row],[QTY 
ISSUED]]</f>
        <v>0</v>
      </c>
      <c r="O122" s="11"/>
      <c r="P122" s="4" t="s">
        <v>214</v>
      </c>
      <c r="Q122" s="4">
        <v>480</v>
      </c>
      <c r="R122" s="4" t="s">
        <v>259</v>
      </c>
      <c r="S122" s="4" t="s">
        <v>211</v>
      </c>
      <c r="T122" s="4"/>
      <c r="U122" s="4" t="s">
        <v>52</v>
      </c>
      <c r="V122" s="8"/>
      <c r="W122" s="4"/>
      <c r="X122" s="4"/>
      <c r="Y122" s="4"/>
    </row>
    <row r="123" spans="1:25" x14ac:dyDescent="0.25">
      <c r="A123" s="68">
        <v>120</v>
      </c>
      <c r="B123" s="4">
        <v>4031389</v>
      </c>
      <c r="C123" s="4" t="s">
        <v>220</v>
      </c>
      <c r="D123" s="4">
        <v>9944537882</v>
      </c>
      <c r="E123" s="4" t="s">
        <v>323</v>
      </c>
      <c r="F123" s="4" t="s">
        <v>215</v>
      </c>
      <c r="G123" s="4" t="s">
        <v>102</v>
      </c>
      <c r="H123" s="4" t="s">
        <v>102</v>
      </c>
      <c r="I123" s="4" t="s">
        <v>616</v>
      </c>
      <c r="J123" s="4"/>
      <c r="K123" s="4"/>
      <c r="L123" s="22">
        <v>480</v>
      </c>
      <c r="M123" s="4" t="s">
        <v>158</v>
      </c>
      <c r="N123" s="26">
        <f>Table134[[#This Row],[QTY
RECIVED]]-Table134[[#This Row],[QTY 
ISSUED]]</f>
        <v>0</v>
      </c>
      <c r="O123" s="11"/>
      <c r="P123" s="4" t="s">
        <v>213</v>
      </c>
      <c r="Q123" s="4">
        <v>480</v>
      </c>
      <c r="R123" s="4" t="s">
        <v>259</v>
      </c>
      <c r="S123" s="4" t="s">
        <v>211</v>
      </c>
      <c r="T123" s="4"/>
      <c r="U123" s="4" t="s">
        <v>52</v>
      </c>
      <c r="V123" s="8"/>
      <c r="W123" s="4"/>
      <c r="X123" s="4"/>
      <c r="Y123" s="4"/>
    </row>
    <row r="124" spans="1:25" ht="22.5" x14ac:dyDescent="0.25">
      <c r="A124" s="3">
        <v>121</v>
      </c>
      <c r="B124" s="4">
        <v>35658</v>
      </c>
      <c r="C124" s="4"/>
      <c r="D124" s="4">
        <v>9989008912</v>
      </c>
      <c r="E124" s="4" t="s">
        <v>324</v>
      </c>
      <c r="F124" s="4" t="s">
        <v>227</v>
      </c>
      <c r="G124" s="12" t="s">
        <v>371</v>
      </c>
      <c r="H124" s="4"/>
      <c r="I124" s="4" t="s">
        <v>221</v>
      </c>
      <c r="J124" s="4"/>
      <c r="K124" s="4"/>
      <c r="L124" s="22">
        <v>3000</v>
      </c>
      <c r="M124" s="4" t="s">
        <v>30</v>
      </c>
      <c r="N124" s="26">
        <f>Table134[[#This Row],[QTY
RECIVED]]-Table134[[#This Row],[QTY 
ISSUED]]</f>
        <v>0</v>
      </c>
      <c r="O124" s="11"/>
      <c r="P124" s="4" t="s">
        <v>222</v>
      </c>
      <c r="Q124" s="4">
        <f>500+1000+250+1000+250</f>
        <v>3000</v>
      </c>
      <c r="R124" s="4" t="s">
        <v>453</v>
      </c>
      <c r="S124" s="4" t="s">
        <v>459</v>
      </c>
      <c r="T124" s="4"/>
      <c r="U124" s="4" t="s">
        <v>25</v>
      </c>
      <c r="V124" s="8"/>
      <c r="W124" s="4"/>
      <c r="X124" s="4"/>
      <c r="Y124" s="4"/>
    </row>
    <row r="125" spans="1:25" ht="21" x14ac:dyDescent="0.25">
      <c r="A125" s="3">
        <v>122</v>
      </c>
      <c r="B125" s="4"/>
      <c r="C125" s="4"/>
      <c r="D125" s="4">
        <v>9961641102</v>
      </c>
      <c r="E125" s="4" t="s">
        <v>324</v>
      </c>
      <c r="F125" s="4" t="s">
        <v>227</v>
      </c>
      <c r="G125" s="12" t="s">
        <v>371</v>
      </c>
      <c r="H125" s="4">
        <v>201881</v>
      </c>
      <c r="I125" s="4" t="s">
        <v>541</v>
      </c>
      <c r="J125" s="4"/>
      <c r="K125" s="4"/>
      <c r="L125" s="22">
        <v>1000</v>
      </c>
      <c r="M125" s="4" t="s">
        <v>30</v>
      </c>
      <c r="N125" s="26">
        <f>Table134[[#This Row],[QTY
RECIVED]]-Table134[[#This Row],[QTY 
ISSUED]]</f>
        <v>1000</v>
      </c>
      <c r="O125" s="11"/>
      <c r="P125" s="4" t="s">
        <v>222</v>
      </c>
      <c r="Q125" s="4"/>
      <c r="R125" s="4"/>
      <c r="S125" s="4"/>
      <c r="T125" s="4"/>
      <c r="U125" s="4"/>
      <c r="V125" s="8"/>
      <c r="W125" s="4"/>
      <c r="X125" s="4"/>
      <c r="Y125" s="4"/>
    </row>
    <row r="126" spans="1:25" x14ac:dyDescent="0.25">
      <c r="A126" s="3">
        <v>123</v>
      </c>
      <c r="B126" s="4"/>
      <c r="C126" s="4"/>
      <c r="D126" s="4">
        <v>9944537882</v>
      </c>
      <c r="E126" s="4" t="s">
        <v>323</v>
      </c>
      <c r="F126" s="4" t="s">
        <v>527</v>
      </c>
      <c r="G126" s="4" t="s">
        <v>116</v>
      </c>
      <c r="H126" s="4" t="s">
        <v>116</v>
      </c>
      <c r="I126" s="4" t="s">
        <v>616</v>
      </c>
      <c r="J126" s="4"/>
      <c r="K126" s="4"/>
      <c r="L126" s="22">
        <v>360</v>
      </c>
      <c r="M126" s="4" t="s">
        <v>158</v>
      </c>
      <c r="N126" s="26">
        <f>Table134[[#This Row],[QTY
RECIVED]]-Table134[[#This Row],[QTY 
ISSUED]]</f>
        <v>0</v>
      </c>
      <c r="O126" s="11"/>
      <c r="P126" s="4" t="s">
        <v>222</v>
      </c>
      <c r="Q126" s="4">
        <v>360</v>
      </c>
      <c r="R126" s="4" t="s">
        <v>259</v>
      </c>
      <c r="S126" s="4" t="s">
        <v>211</v>
      </c>
      <c r="T126" s="4"/>
      <c r="U126" s="4" t="s">
        <v>52</v>
      </c>
      <c r="V126" s="8"/>
      <c r="W126" s="4"/>
      <c r="X126" s="4"/>
      <c r="Y126" s="4"/>
    </row>
    <row r="127" spans="1:25" ht="22.5" x14ac:dyDescent="0.25">
      <c r="A127" s="3">
        <v>124</v>
      </c>
      <c r="B127" s="4"/>
      <c r="C127" s="4"/>
      <c r="D127" s="4">
        <v>9989008892</v>
      </c>
      <c r="E127" s="4" t="s">
        <v>324</v>
      </c>
      <c r="F127" s="4" t="s">
        <v>227</v>
      </c>
      <c r="G127" s="4" t="s">
        <v>223</v>
      </c>
      <c r="H127" s="4" t="s">
        <v>223</v>
      </c>
      <c r="I127" s="4" t="s">
        <v>224</v>
      </c>
      <c r="J127" s="4"/>
      <c r="K127" s="4"/>
      <c r="L127" s="22">
        <v>400</v>
      </c>
      <c r="M127" s="4" t="s">
        <v>30</v>
      </c>
      <c r="N127" s="26">
        <f>Table134[[#This Row],[QTY
RECIVED]]-Table134[[#This Row],[QTY 
ISSUED]]</f>
        <v>0</v>
      </c>
      <c r="O127" s="11"/>
      <c r="P127" s="4" t="s">
        <v>222</v>
      </c>
      <c r="Q127" s="4">
        <f>200+200</f>
        <v>400</v>
      </c>
      <c r="R127" s="4" t="s">
        <v>335</v>
      </c>
      <c r="S127" s="4" t="s">
        <v>336</v>
      </c>
      <c r="T127" s="4"/>
      <c r="U127" s="4" t="s">
        <v>238</v>
      </c>
      <c r="V127" s="8"/>
      <c r="W127" s="4"/>
      <c r="X127" s="4"/>
      <c r="Y127" s="4"/>
    </row>
    <row r="128" spans="1:25" ht="22.5" x14ac:dyDescent="0.25">
      <c r="A128" s="3">
        <v>125</v>
      </c>
      <c r="B128" s="4"/>
      <c r="C128" s="4"/>
      <c r="D128" s="4">
        <v>9989008902</v>
      </c>
      <c r="E128" s="4" t="s">
        <v>324</v>
      </c>
      <c r="F128" s="4" t="s">
        <v>227</v>
      </c>
      <c r="G128" s="4" t="s">
        <v>223</v>
      </c>
      <c r="H128" s="4">
        <v>201364</v>
      </c>
      <c r="I128" s="4" t="s">
        <v>225</v>
      </c>
      <c r="J128" s="4"/>
      <c r="K128" s="4"/>
      <c r="L128" s="22">
        <v>400</v>
      </c>
      <c r="M128" s="4" t="s">
        <v>30</v>
      </c>
      <c r="N128" s="26">
        <f>Table134[[#This Row],[QTY
RECIVED]]-Table134[[#This Row],[QTY 
ISSUED]]</f>
        <v>0</v>
      </c>
      <c r="O128" s="11"/>
      <c r="P128" s="4" t="s">
        <v>222</v>
      </c>
      <c r="Q128" s="4">
        <f>200+200</f>
        <v>400</v>
      </c>
      <c r="R128" s="4" t="s">
        <v>333</v>
      </c>
      <c r="S128" s="4" t="s">
        <v>334</v>
      </c>
      <c r="T128" s="4"/>
      <c r="U128" s="4" t="s">
        <v>25</v>
      </c>
      <c r="V128" s="8"/>
      <c r="W128" s="4"/>
      <c r="X128" s="4"/>
      <c r="Y128" s="4"/>
    </row>
    <row r="129" spans="1:25" ht="22.5" x14ac:dyDescent="0.25">
      <c r="A129" s="68">
        <v>126</v>
      </c>
      <c r="B129" s="4"/>
      <c r="C129" s="4"/>
      <c r="D129" s="4">
        <v>9961641082</v>
      </c>
      <c r="E129" s="4" t="s">
        <v>324</v>
      </c>
      <c r="F129" s="4" t="s">
        <v>227</v>
      </c>
      <c r="G129" s="4" t="s">
        <v>223</v>
      </c>
      <c r="H129" s="4" t="s">
        <v>223</v>
      </c>
      <c r="I129" s="4" t="s">
        <v>618</v>
      </c>
      <c r="J129" s="4"/>
      <c r="K129" s="4"/>
      <c r="L129" s="22">
        <v>2400</v>
      </c>
      <c r="M129" s="4" t="s">
        <v>30</v>
      </c>
      <c r="N129" s="26">
        <f>Table134[[#This Row],[QTY
RECIVED]]-Table134[[#This Row],[QTY 
ISSUED]]</f>
        <v>0</v>
      </c>
      <c r="O129" s="11"/>
      <c r="P129" s="4" t="s">
        <v>222</v>
      </c>
      <c r="Q129" s="4">
        <v>2400</v>
      </c>
      <c r="R129" s="4" t="s">
        <v>246</v>
      </c>
      <c r="S129" s="4" t="s">
        <v>247</v>
      </c>
      <c r="T129" s="4"/>
      <c r="U129" s="4"/>
      <c r="V129" s="8"/>
      <c r="W129" s="4"/>
      <c r="X129" s="4"/>
      <c r="Y129" s="4"/>
    </row>
    <row r="130" spans="1:25" x14ac:dyDescent="0.25">
      <c r="A130" s="3">
        <v>127</v>
      </c>
      <c r="B130" s="4"/>
      <c r="C130" s="4"/>
      <c r="D130" s="4">
        <v>9944537882</v>
      </c>
      <c r="E130" s="4" t="s">
        <v>323</v>
      </c>
      <c r="F130" s="4" t="s">
        <v>527</v>
      </c>
      <c r="G130" s="4" t="s">
        <v>116</v>
      </c>
      <c r="H130" s="4" t="s">
        <v>116</v>
      </c>
      <c r="I130" s="4" t="s">
        <v>616</v>
      </c>
      <c r="J130" s="4"/>
      <c r="K130" s="4"/>
      <c r="L130" s="22">
        <v>360</v>
      </c>
      <c r="M130" s="4" t="s">
        <v>158</v>
      </c>
      <c r="N130" s="26">
        <f>Table134[[#This Row],[QTY
RECIVED]]-Table134[[#This Row],[QTY 
ISSUED]]</f>
        <v>0</v>
      </c>
      <c r="O130" s="11"/>
      <c r="P130" s="4" t="s">
        <v>218</v>
      </c>
      <c r="Q130" s="4">
        <v>360</v>
      </c>
      <c r="R130" s="4" t="s">
        <v>259</v>
      </c>
      <c r="S130" s="4" t="s">
        <v>211</v>
      </c>
      <c r="T130" s="4"/>
      <c r="U130" s="4" t="s">
        <v>52</v>
      </c>
      <c r="V130" s="8"/>
      <c r="W130" s="4"/>
      <c r="X130" s="4"/>
      <c r="Y130" s="4"/>
    </row>
    <row r="131" spans="1:25" ht="22.5" x14ac:dyDescent="0.25">
      <c r="A131" s="68">
        <v>128</v>
      </c>
      <c r="B131" s="4"/>
      <c r="C131" s="4" t="s">
        <v>720</v>
      </c>
      <c r="D131" s="4">
        <v>9944537902</v>
      </c>
      <c r="E131" s="4" t="s">
        <v>323</v>
      </c>
      <c r="F131" s="4" t="s">
        <v>264</v>
      </c>
      <c r="G131" s="4" t="s">
        <v>216</v>
      </c>
      <c r="H131" s="4"/>
      <c r="I131" s="4" t="s">
        <v>217</v>
      </c>
      <c r="J131" s="4"/>
      <c r="K131" s="4"/>
      <c r="L131" s="22">
        <v>602</v>
      </c>
      <c r="M131" s="4" t="s">
        <v>158</v>
      </c>
      <c r="N131" s="26">
        <f>Table134[[#This Row],[QTY
RECIVED]]-Table134[[#This Row],[QTY 
ISSUED]]</f>
        <v>0</v>
      </c>
      <c r="O131" s="11"/>
      <c r="P131" s="4" t="s">
        <v>218</v>
      </c>
      <c r="Q131" s="4">
        <v>602</v>
      </c>
      <c r="R131" s="4" t="s">
        <v>259</v>
      </c>
      <c r="S131" s="4" t="s">
        <v>267</v>
      </c>
      <c r="T131" s="4"/>
      <c r="U131" s="4"/>
      <c r="V131" s="8"/>
      <c r="W131" s="4"/>
      <c r="X131" s="4"/>
      <c r="Y131" s="4"/>
    </row>
    <row r="132" spans="1:25" x14ac:dyDescent="0.25">
      <c r="A132" s="3">
        <v>129</v>
      </c>
      <c r="B132" s="4"/>
      <c r="C132" s="4"/>
      <c r="D132" s="4">
        <v>9944537882</v>
      </c>
      <c r="E132" s="4" t="s">
        <v>323</v>
      </c>
      <c r="F132" s="4" t="s">
        <v>527</v>
      </c>
      <c r="G132" s="4" t="s">
        <v>116</v>
      </c>
      <c r="H132" s="4" t="s">
        <v>116</v>
      </c>
      <c r="I132" s="4" t="s">
        <v>616</v>
      </c>
      <c r="J132" s="4"/>
      <c r="K132" s="4"/>
      <c r="L132" s="22">
        <v>280</v>
      </c>
      <c r="M132" s="4" t="s">
        <v>158</v>
      </c>
      <c r="N132" s="26">
        <f>Table134[[#This Row],[QTY
RECIVED]]-Table134[[#This Row],[QTY 
ISSUED]]</f>
        <v>0</v>
      </c>
      <c r="O132" s="11"/>
      <c r="P132" s="4" t="s">
        <v>243</v>
      </c>
      <c r="Q132" s="4">
        <v>280</v>
      </c>
      <c r="R132" s="4" t="s">
        <v>259</v>
      </c>
      <c r="S132" s="4" t="s">
        <v>211</v>
      </c>
      <c r="T132" s="4"/>
      <c r="U132" s="4" t="s">
        <v>52</v>
      </c>
      <c r="V132" s="8"/>
      <c r="W132" s="4"/>
      <c r="X132" s="4"/>
      <c r="Y132" s="4"/>
    </row>
    <row r="133" spans="1:25" ht="22.5" x14ac:dyDescent="0.25">
      <c r="A133" s="3">
        <v>130</v>
      </c>
      <c r="B133" s="4"/>
      <c r="C133" s="4"/>
      <c r="D133" s="4" t="s">
        <v>681</v>
      </c>
      <c r="E133" s="4" t="s">
        <v>324</v>
      </c>
      <c r="F133" s="4"/>
      <c r="G133" s="4" t="s">
        <v>223</v>
      </c>
      <c r="H133" s="4"/>
      <c r="I133" s="4" t="s">
        <v>746</v>
      </c>
      <c r="J133" s="4"/>
      <c r="K133" s="4"/>
      <c r="L133" s="22">
        <v>1</v>
      </c>
      <c r="M133" s="4" t="s">
        <v>133</v>
      </c>
      <c r="N133" s="26">
        <f>Table134[[#This Row],[QTY
RECIVED]]-Table134[[#This Row],[QTY 
ISSUED]]</f>
        <v>0</v>
      </c>
      <c r="O133" s="11"/>
      <c r="P133" s="4" t="s">
        <v>236</v>
      </c>
      <c r="Q133" s="4">
        <v>1</v>
      </c>
      <c r="R133" s="4" t="s">
        <v>237</v>
      </c>
      <c r="S133" s="4" t="s">
        <v>207</v>
      </c>
      <c r="T133" s="4"/>
      <c r="U133" s="4" t="s">
        <v>238</v>
      </c>
      <c r="V133" s="8"/>
      <c r="W133" s="4"/>
      <c r="X133" s="4"/>
      <c r="Y133" s="4"/>
    </row>
    <row r="134" spans="1:25" x14ac:dyDescent="0.25">
      <c r="A134" s="3">
        <v>131</v>
      </c>
      <c r="B134" s="4">
        <v>4031504</v>
      </c>
      <c r="C134" s="4" t="s">
        <v>722</v>
      </c>
      <c r="D134" s="4">
        <v>9944537882</v>
      </c>
      <c r="E134" s="4" t="s">
        <v>323</v>
      </c>
      <c r="F134" s="4" t="s">
        <v>253</v>
      </c>
      <c r="G134" s="4" t="s">
        <v>102</v>
      </c>
      <c r="H134" s="4" t="s">
        <v>102</v>
      </c>
      <c r="I134" s="4" t="s">
        <v>616</v>
      </c>
      <c r="J134" s="4" t="s">
        <v>686</v>
      </c>
      <c r="K134" s="4" t="s">
        <v>531</v>
      </c>
      <c r="L134" s="22">
        <v>480</v>
      </c>
      <c r="M134" s="4" t="s">
        <v>158</v>
      </c>
      <c r="N134" s="26">
        <f>Table134[[#This Row],[QTY
RECIVED]]-Table134[[#This Row],[QTY 
ISSUED]]</f>
        <v>0</v>
      </c>
      <c r="O134" s="11"/>
      <c r="P134" s="4" t="s">
        <v>254</v>
      </c>
      <c r="Q134" s="4">
        <v>480</v>
      </c>
      <c r="R134" s="4" t="s">
        <v>259</v>
      </c>
      <c r="S134" s="4" t="s">
        <v>211</v>
      </c>
      <c r="T134" s="4"/>
      <c r="U134" s="4" t="s">
        <v>52</v>
      </c>
      <c r="V134" s="8"/>
      <c r="W134" s="4"/>
      <c r="X134" s="4"/>
      <c r="Y134" s="4"/>
    </row>
    <row r="135" spans="1:25" x14ac:dyDescent="0.25">
      <c r="A135" s="68">
        <v>132</v>
      </c>
      <c r="B135" s="4">
        <v>4031530</v>
      </c>
      <c r="C135" s="4" t="s">
        <v>256</v>
      </c>
      <c r="D135" s="4">
        <v>9944537942</v>
      </c>
      <c r="E135" s="4" t="s">
        <v>323</v>
      </c>
      <c r="F135" s="4" t="s">
        <v>255</v>
      </c>
      <c r="G135" s="4" t="s">
        <v>251</v>
      </c>
      <c r="H135" s="4"/>
      <c r="I135" s="4" t="s">
        <v>245</v>
      </c>
      <c r="J135" s="4"/>
      <c r="K135" s="26">
        <v>12818</v>
      </c>
      <c r="L135" s="22">
        <v>60</v>
      </c>
      <c r="M135" s="4" t="s">
        <v>103</v>
      </c>
      <c r="N135" s="26">
        <f>Table134[[#This Row],[QTY
RECIVED]]-Table134[[#This Row],[QTY 
ISSUED]]</f>
        <v>0</v>
      </c>
      <c r="O135" s="11"/>
      <c r="P135" s="4" t="s">
        <v>258</v>
      </c>
      <c r="Q135" s="4">
        <v>60</v>
      </c>
      <c r="R135" s="4" t="s">
        <v>259</v>
      </c>
      <c r="S135" s="4" t="s">
        <v>211</v>
      </c>
      <c r="T135" s="4"/>
      <c r="U135" s="4" t="s">
        <v>269</v>
      </c>
      <c r="V135" s="8"/>
      <c r="W135" s="4"/>
      <c r="X135" s="4"/>
      <c r="Y135" s="4"/>
    </row>
    <row r="136" spans="1:25" x14ac:dyDescent="0.25">
      <c r="A136" s="68">
        <v>133</v>
      </c>
      <c r="B136" s="4">
        <v>4031538</v>
      </c>
      <c r="C136" s="4" t="s">
        <v>721</v>
      </c>
      <c r="D136" s="4">
        <v>9944537882</v>
      </c>
      <c r="E136" s="4" t="s">
        <v>323</v>
      </c>
      <c r="F136" s="4" t="s">
        <v>252</v>
      </c>
      <c r="G136" s="4" t="s">
        <v>251</v>
      </c>
      <c r="H136" s="4" t="s">
        <v>251</v>
      </c>
      <c r="I136" s="4" t="s">
        <v>616</v>
      </c>
      <c r="J136" s="4" t="s">
        <v>687</v>
      </c>
      <c r="K136" s="4" t="s">
        <v>531</v>
      </c>
      <c r="L136" s="22">
        <v>480</v>
      </c>
      <c r="M136" s="4" t="s">
        <v>158</v>
      </c>
      <c r="N136" s="26">
        <f>Table134[[#This Row],[QTY
RECIVED]]-Table134[[#This Row],[QTY 
ISSUED]]</f>
        <v>0</v>
      </c>
      <c r="O136" s="11"/>
      <c r="P136" s="4" t="s">
        <v>257</v>
      </c>
      <c r="Q136" s="4">
        <v>480</v>
      </c>
      <c r="R136" s="4" t="s">
        <v>259</v>
      </c>
      <c r="S136" s="4" t="s">
        <v>211</v>
      </c>
      <c r="T136" s="4"/>
      <c r="U136" s="4" t="s">
        <v>52</v>
      </c>
      <c r="V136" s="8"/>
      <c r="W136" s="4"/>
      <c r="X136" s="4"/>
      <c r="Y136" s="4"/>
    </row>
    <row r="137" spans="1:25" x14ac:dyDescent="0.25">
      <c r="A137" s="68">
        <v>134</v>
      </c>
      <c r="B137" s="4"/>
      <c r="C137" s="4" t="s">
        <v>734</v>
      </c>
      <c r="D137" s="4">
        <v>9987119272</v>
      </c>
      <c r="E137" s="4" t="s">
        <v>321</v>
      </c>
      <c r="F137" s="4" t="s">
        <v>294</v>
      </c>
      <c r="G137" s="4" t="s">
        <v>313</v>
      </c>
      <c r="H137" s="4" t="s">
        <v>383</v>
      </c>
      <c r="I137" s="4" t="s">
        <v>564</v>
      </c>
      <c r="J137" s="4"/>
      <c r="K137" s="4" t="s">
        <v>636</v>
      </c>
      <c r="L137" s="22">
        <v>208</v>
      </c>
      <c r="M137" s="4" t="s">
        <v>68</v>
      </c>
      <c r="N137" s="83">
        <f>Table134[[#This Row],[QTY
RECIVED]]-Table134[[#This Row],[QTY 
ISSUED]]</f>
        <v>0</v>
      </c>
      <c r="O137" s="20">
        <f>Table134[[#This Row],[INVENTORY]]/208</f>
        <v>0</v>
      </c>
      <c r="P137" s="4" t="s">
        <v>315</v>
      </c>
      <c r="Q137" s="13">
        <v>208</v>
      </c>
      <c r="R137" s="4"/>
      <c r="S137" s="4"/>
      <c r="T137" s="4"/>
      <c r="U137" s="4"/>
      <c r="V137" s="5" t="s">
        <v>272</v>
      </c>
      <c r="W137" s="4">
        <v>208</v>
      </c>
      <c r="X137" s="4">
        <v>624</v>
      </c>
      <c r="Y137" s="4"/>
    </row>
    <row r="138" spans="1:25" x14ac:dyDescent="0.25">
      <c r="A138" s="68">
        <v>135</v>
      </c>
      <c r="B138" s="4">
        <v>4031574</v>
      </c>
      <c r="C138" s="4" t="s">
        <v>721</v>
      </c>
      <c r="D138" s="4">
        <v>9944537882</v>
      </c>
      <c r="E138" s="4" t="s">
        <v>323</v>
      </c>
      <c r="F138" s="4" t="s">
        <v>262</v>
      </c>
      <c r="G138" s="4" t="s">
        <v>251</v>
      </c>
      <c r="H138" s="4" t="s">
        <v>251</v>
      </c>
      <c r="I138" s="4" t="s">
        <v>616</v>
      </c>
      <c r="J138" s="4" t="s">
        <v>688</v>
      </c>
      <c r="K138" s="4" t="s">
        <v>531</v>
      </c>
      <c r="L138" s="22">
        <v>480</v>
      </c>
      <c r="M138" s="4" t="s">
        <v>158</v>
      </c>
      <c r="N138" s="26">
        <f>Table134[[#This Row],[QTY
RECIVED]]-Table134[[#This Row],[QTY 
ISSUED]]</f>
        <v>0</v>
      </c>
      <c r="O138" s="11"/>
      <c r="P138" s="4" t="s">
        <v>263</v>
      </c>
      <c r="Q138" s="4">
        <v>480</v>
      </c>
      <c r="R138" s="4" t="s">
        <v>263</v>
      </c>
      <c r="S138" s="4" t="s">
        <v>227</v>
      </c>
      <c r="T138" s="4"/>
      <c r="U138" s="4"/>
      <c r="V138" s="5"/>
      <c r="W138" s="4"/>
      <c r="X138" s="4"/>
      <c r="Y138" s="4"/>
    </row>
    <row r="139" spans="1:25" ht="22.5" x14ac:dyDescent="0.25">
      <c r="A139" s="68">
        <v>136</v>
      </c>
      <c r="B139" s="4" t="s">
        <v>733</v>
      </c>
      <c r="C139" s="4" t="s">
        <v>732</v>
      </c>
      <c r="D139" s="4">
        <v>9987119092</v>
      </c>
      <c r="E139" s="4" t="s">
        <v>321</v>
      </c>
      <c r="F139" s="4" t="s">
        <v>316</v>
      </c>
      <c r="G139" s="4" t="s">
        <v>75</v>
      </c>
      <c r="H139" s="4" t="s">
        <v>383</v>
      </c>
      <c r="I139" s="4" t="s">
        <v>861</v>
      </c>
      <c r="J139" s="4"/>
      <c r="K139" s="4" t="s">
        <v>326</v>
      </c>
      <c r="L139" s="56">
        <v>1456</v>
      </c>
      <c r="M139" s="4" t="s">
        <v>317</v>
      </c>
      <c r="N139" s="83">
        <f>Table134[[#This Row],[QTY
RECIVED]]-Table134[[#This Row],[QTY 
ISSUED]]</f>
        <v>206</v>
      </c>
      <c r="O139" s="61">
        <f>Table134[[#This Row],[INVENTORY]]/208</f>
        <v>0.99038461538461542</v>
      </c>
      <c r="P139" s="4" t="s">
        <v>318</v>
      </c>
      <c r="Q139" s="4">
        <f>208+2+1040</f>
        <v>1250</v>
      </c>
      <c r="R139" s="4" t="s">
        <v>630</v>
      </c>
      <c r="S139" s="4" t="s">
        <v>631</v>
      </c>
      <c r="T139" s="4"/>
      <c r="U139" s="4"/>
      <c r="V139" s="5" t="s">
        <v>272</v>
      </c>
      <c r="W139" s="4">
        <v>832</v>
      </c>
      <c r="X139" s="4">
        <v>1664</v>
      </c>
      <c r="Y139" s="4" t="s">
        <v>785</v>
      </c>
    </row>
    <row r="140" spans="1:25" ht="22.5" x14ac:dyDescent="0.25">
      <c r="A140" s="3">
        <v>137</v>
      </c>
      <c r="B140" s="4"/>
      <c r="C140" s="4"/>
      <c r="D140" s="4">
        <v>9987119302</v>
      </c>
      <c r="E140" s="4" t="s">
        <v>321</v>
      </c>
      <c r="F140" s="4" t="s">
        <v>319</v>
      </c>
      <c r="G140" s="4" t="s">
        <v>320</v>
      </c>
      <c r="H140" s="4" t="s">
        <v>382</v>
      </c>
      <c r="I140" s="4" t="s">
        <v>570</v>
      </c>
      <c r="J140" s="4"/>
      <c r="K140" s="4" t="s">
        <v>325</v>
      </c>
      <c r="L140" s="22">
        <v>16929</v>
      </c>
      <c r="M140" s="4" t="s">
        <v>68</v>
      </c>
      <c r="N140" s="83">
        <f>Table134[[#This Row],[QTY
RECIVED]]-Table134[[#This Row],[QTY 
ISSUED]]</f>
        <v>1398</v>
      </c>
      <c r="O140" s="61">
        <f>Table134[[#This Row],[INVENTORY]]/208</f>
        <v>6.7211538461538458</v>
      </c>
      <c r="P140" s="4" t="s">
        <v>265</v>
      </c>
      <c r="Q140" s="4">
        <f>5016+5016+5016+208+67+208</f>
        <v>15531</v>
      </c>
      <c r="R140" s="4" t="s">
        <v>702</v>
      </c>
      <c r="S140" s="4" t="s">
        <v>703</v>
      </c>
      <c r="T140" s="4"/>
      <c r="U140" s="4"/>
      <c r="V140" s="5"/>
      <c r="W140" s="4">
        <v>6240</v>
      </c>
      <c r="X140" s="4">
        <v>1640</v>
      </c>
      <c r="Y140" s="4" t="s">
        <v>785</v>
      </c>
    </row>
    <row r="141" spans="1:25" x14ac:dyDescent="0.25">
      <c r="A141" s="68">
        <v>138</v>
      </c>
      <c r="B141" s="4">
        <v>4031610</v>
      </c>
      <c r="C141" s="4" t="s">
        <v>721</v>
      </c>
      <c r="D141" s="4">
        <v>9944537882</v>
      </c>
      <c r="E141" s="4" t="s">
        <v>323</v>
      </c>
      <c r="F141" s="4" t="s">
        <v>266</v>
      </c>
      <c r="G141" s="4" t="s">
        <v>251</v>
      </c>
      <c r="H141" s="4" t="s">
        <v>251</v>
      </c>
      <c r="I141" s="4" t="s">
        <v>616</v>
      </c>
      <c r="J141" s="4" t="s">
        <v>689</v>
      </c>
      <c r="K141" s="4" t="s">
        <v>531</v>
      </c>
      <c r="L141" s="22">
        <v>480</v>
      </c>
      <c r="M141" s="4" t="s">
        <v>158</v>
      </c>
      <c r="N141" s="26">
        <f>Table134[[#This Row],[QTY
RECIVED]]-Table134[[#This Row],[QTY 
ISSUED]]</f>
        <v>0</v>
      </c>
      <c r="O141" s="11"/>
      <c r="P141" s="4" t="s">
        <v>265</v>
      </c>
      <c r="Q141" s="4">
        <v>480</v>
      </c>
      <c r="R141" s="4" t="s">
        <v>271</v>
      </c>
      <c r="S141" s="4" t="s">
        <v>255</v>
      </c>
      <c r="T141" s="4"/>
      <c r="U141" s="4" t="s">
        <v>269</v>
      </c>
      <c r="V141" s="5"/>
      <c r="W141" s="4"/>
      <c r="X141" s="4"/>
      <c r="Y141" s="4"/>
    </row>
    <row r="142" spans="1:25" x14ac:dyDescent="0.25">
      <c r="A142" s="68">
        <v>139</v>
      </c>
      <c r="B142" s="4">
        <v>4031616</v>
      </c>
      <c r="C142" s="4" t="s">
        <v>256</v>
      </c>
      <c r="D142" s="4">
        <v>9944537942</v>
      </c>
      <c r="E142" s="4" t="s">
        <v>323</v>
      </c>
      <c r="F142" s="4" t="s">
        <v>274</v>
      </c>
      <c r="G142" s="4" t="s">
        <v>251</v>
      </c>
      <c r="H142" s="4"/>
      <c r="I142" s="4" t="s">
        <v>245</v>
      </c>
      <c r="J142" s="4"/>
      <c r="K142" s="26">
        <v>13042</v>
      </c>
      <c r="L142" s="22">
        <v>60</v>
      </c>
      <c r="M142" s="4" t="s">
        <v>103</v>
      </c>
      <c r="N142" s="26">
        <f>Table134[[#This Row],[QTY
RECIVED]]-Table134[[#This Row],[QTY 
ISSUED]]</f>
        <v>0</v>
      </c>
      <c r="O142" s="11"/>
      <c r="P142" s="4" t="s">
        <v>271</v>
      </c>
      <c r="Q142" s="4">
        <v>60</v>
      </c>
      <c r="R142" s="4" t="s">
        <v>275</v>
      </c>
      <c r="S142" s="4" t="s">
        <v>253</v>
      </c>
      <c r="T142" s="4"/>
      <c r="U142" s="4" t="s">
        <v>269</v>
      </c>
      <c r="V142" s="5"/>
      <c r="W142" s="4"/>
      <c r="X142" s="4"/>
      <c r="Y142" s="4"/>
    </row>
    <row r="143" spans="1:25" x14ac:dyDescent="0.25">
      <c r="A143" s="68">
        <v>140</v>
      </c>
      <c r="B143" s="4">
        <v>4031634</v>
      </c>
      <c r="C143" s="4" t="s">
        <v>256</v>
      </c>
      <c r="D143" s="4">
        <v>9944537942</v>
      </c>
      <c r="E143" s="4" t="s">
        <v>323</v>
      </c>
      <c r="F143" s="4" t="s">
        <v>330</v>
      </c>
      <c r="G143" s="4" t="s">
        <v>251</v>
      </c>
      <c r="H143" s="4"/>
      <c r="I143" s="4" t="s">
        <v>245</v>
      </c>
      <c r="J143" s="4"/>
      <c r="K143" s="26">
        <v>11958</v>
      </c>
      <c r="L143" s="22">
        <v>56</v>
      </c>
      <c r="M143" s="4" t="s">
        <v>103</v>
      </c>
      <c r="N143" s="26">
        <f>Table134[[#This Row],[QTY
RECIVED]]-Table134[[#This Row],[QTY 
ISSUED]]</f>
        <v>0</v>
      </c>
      <c r="O143" s="11"/>
      <c r="P143" s="4" t="s">
        <v>704</v>
      </c>
      <c r="Q143" s="4">
        <v>56</v>
      </c>
      <c r="R143" s="4" t="s">
        <v>328</v>
      </c>
      <c r="S143" s="4" t="s">
        <v>329</v>
      </c>
      <c r="T143" s="4"/>
      <c r="U143" s="4" t="s">
        <v>269</v>
      </c>
      <c r="V143" s="5"/>
      <c r="W143" s="4"/>
      <c r="X143" s="4"/>
      <c r="Y143" s="4"/>
    </row>
    <row r="144" spans="1:25" ht="22.5" x14ac:dyDescent="0.25">
      <c r="A144" s="3">
        <v>141</v>
      </c>
      <c r="B144" s="4">
        <v>36034</v>
      </c>
      <c r="C144" s="4" t="s">
        <v>373</v>
      </c>
      <c r="D144" s="4">
        <v>9961641102</v>
      </c>
      <c r="E144" s="4" t="s">
        <v>324</v>
      </c>
      <c r="F144" s="4" t="s">
        <v>372</v>
      </c>
      <c r="G144" s="12" t="s">
        <v>371</v>
      </c>
      <c r="H144" s="4"/>
      <c r="I144" s="4" t="s">
        <v>541</v>
      </c>
      <c r="J144" s="4"/>
      <c r="K144" s="15" t="s">
        <v>369</v>
      </c>
      <c r="L144" s="22">
        <v>1500</v>
      </c>
      <c r="M144" s="4" t="s">
        <v>30</v>
      </c>
      <c r="N144" s="26">
        <f>Table134[[#This Row],[QTY
RECIVED]]-Table134[[#This Row],[QTY 
ISSUED]]</f>
        <v>1500</v>
      </c>
      <c r="O144" s="11"/>
      <c r="P144" s="4" t="s">
        <v>337</v>
      </c>
      <c r="Q144" s="4"/>
      <c r="R144" s="4"/>
      <c r="S144" s="4"/>
      <c r="T144" s="4"/>
      <c r="U144" s="4"/>
      <c r="V144" s="5"/>
      <c r="W144" s="4"/>
      <c r="X144" s="4"/>
      <c r="Y144" s="4"/>
    </row>
    <row r="145" spans="1:25" ht="22.5" x14ac:dyDescent="0.25">
      <c r="A145" s="3">
        <v>142</v>
      </c>
      <c r="B145" s="4">
        <v>36032</v>
      </c>
      <c r="C145" s="4" t="s">
        <v>373</v>
      </c>
      <c r="D145" s="4">
        <v>9989008892</v>
      </c>
      <c r="E145" s="4" t="s">
        <v>324</v>
      </c>
      <c r="F145" s="4" t="s">
        <v>372</v>
      </c>
      <c r="G145" s="12" t="s">
        <v>371</v>
      </c>
      <c r="H145" s="12" t="s">
        <v>371</v>
      </c>
      <c r="I145" s="4" t="s">
        <v>224</v>
      </c>
      <c r="J145" s="4"/>
      <c r="K145" s="15" t="s">
        <v>368</v>
      </c>
      <c r="L145" s="22" t="s">
        <v>366</v>
      </c>
      <c r="M145" s="4" t="s">
        <v>30</v>
      </c>
      <c r="N145" s="26">
        <f>Table134[[#This Row],[QTY
RECIVED]]-Table134[[#This Row],[QTY 
ISSUED]]</f>
        <v>0</v>
      </c>
      <c r="O145" s="11"/>
      <c r="P145" s="4" t="s">
        <v>337</v>
      </c>
      <c r="Q145" s="4">
        <f>200+400+400+200</f>
        <v>1200</v>
      </c>
      <c r="R145" s="4" t="s">
        <v>643</v>
      </c>
      <c r="S145" s="4" t="s">
        <v>644</v>
      </c>
      <c r="T145" s="4"/>
      <c r="U145" s="4"/>
      <c r="V145" s="5"/>
      <c r="W145" s="4"/>
      <c r="X145" s="4"/>
      <c r="Y145" s="4"/>
    </row>
    <row r="146" spans="1:25" ht="33.75" x14ac:dyDescent="0.25">
      <c r="A146" s="3">
        <v>143</v>
      </c>
      <c r="B146" s="4">
        <v>36033</v>
      </c>
      <c r="C146" s="4" t="s">
        <v>373</v>
      </c>
      <c r="D146" s="4">
        <v>9989008902</v>
      </c>
      <c r="E146" s="4" t="s">
        <v>324</v>
      </c>
      <c r="F146" s="4" t="s">
        <v>372</v>
      </c>
      <c r="G146" s="12" t="s">
        <v>371</v>
      </c>
      <c r="H146" s="4"/>
      <c r="I146" s="4" t="s">
        <v>225</v>
      </c>
      <c r="J146" s="4"/>
      <c r="K146" s="4" t="s">
        <v>493</v>
      </c>
      <c r="L146" s="22">
        <v>1200</v>
      </c>
      <c r="M146" s="4" t="s">
        <v>30</v>
      </c>
      <c r="N146" s="26">
        <f>Table134[[#This Row],[QTY
RECIVED]]-Table134[[#This Row],[QTY 
ISSUED]]</f>
        <v>0</v>
      </c>
      <c r="O146" s="11"/>
      <c r="P146" s="4" t="s">
        <v>337</v>
      </c>
      <c r="Q146" s="4">
        <f>200+400+200+200+200</f>
        <v>1200</v>
      </c>
      <c r="R146" s="4" t="s">
        <v>839</v>
      </c>
      <c r="S146" s="4" t="s">
        <v>840</v>
      </c>
      <c r="T146" s="4"/>
      <c r="U146" s="4"/>
      <c r="V146" s="5"/>
      <c r="W146" s="4"/>
      <c r="X146" s="4"/>
      <c r="Y146" s="4"/>
    </row>
    <row r="147" spans="1:25" ht="33.75" x14ac:dyDescent="0.25">
      <c r="A147" s="3">
        <v>144</v>
      </c>
      <c r="B147" s="4">
        <v>36031</v>
      </c>
      <c r="C147" s="4" t="s">
        <v>373</v>
      </c>
      <c r="D147" s="4">
        <v>9989008912</v>
      </c>
      <c r="E147" s="4" t="s">
        <v>324</v>
      </c>
      <c r="F147" s="4" t="s">
        <v>372</v>
      </c>
      <c r="G147" s="12" t="s">
        <v>371</v>
      </c>
      <c r="H147" s="4"/>
      <c r="I147" s="4" t="s">
        <v>221</v>
      </c>
      <c r="J147" s="4"/>
      <c r="K147" s="15" t="s">
        <v>367</v>
      </c>
      <c r="L147" s="22" t="s">
        <v>365</v>
      </c>
      <c r="M147" s="4" t="s">
        <v>30</v>
      </c>
      <c r="N147" s="26">
        <f>Table134[[#This Row],[QTY
RECIVED]]-Table134[[#This Row],[QTY 
ISSUED]]</f>
        <v>2050</v>
      </c>
      <c r="O147" s="20">
        <f>Table134[[#This Row],[INVENTORY]]/250.4</f>
        <v>8.1869009584664543</v>
      </c>
      <c r="P147" s="4" t="s">
        <v>337</v>
      </c>
      <c r="Q147" s="4">
        <f>750+1000+1000+1000+1000+200</f>
        <v>4950</v>
      </c>
      <c r="R147" s="4" t="s">
        <v>802</v>
      </c>
      <c r="S147" s="4" t="s">
        <v>803</v>
      </c>
      <c r="T147" s="4"/>
      <c r="U147" s="4"/>
      <c r="V147" s="5"/>
      <c r="W147" s="4"/>
      <c r="X147" s="4"/>
      <c r="Y147" s="4"/>
    </row>
    <row r="148" spans="1:25" ht="22.5" x14ac:dyDescent="0.25">
      <c r="A148" s="3">
        <v>145</v>
      </c>
      <c r="B148" s="4">
        <v>36035</v>
      </c>
      <c r="C148" s="4" t="s">
        <v>373</v>
      </c>
      <c r="D148" s="4">
        <v>9961641112</v>
      </c>
      <c r="E148" s="4" t="s">
        <v>324</v>
      </c>
      <c r="F148" s="4" t="s">
        <v>372</v>
      </c>
      <c r="G148" s="12" t="s">
        <v>371</v>
      </c>
      <c r="H148" s="4" t="s">
        <v>223</v>
      </c>
      <c r="I148" s="4" t="s">
        <v>617</v>
      </c>
      <c r="J148" s="4"/>
      <c r="K148" s="15" t="s">
        <v>370</v>
      </c>
      <c r="L148" s="39">
        <v>3000</v>
      </c>
      <c r="M148" s="4" t="s">
        <v>30</v>
      </c>
      <c r="N148" s="26">
        <f>Table134[[#This Row],[QTY
RECIVED]]-Table134[[#This Row],[QTY 
ISSUED]]</f>
        <v>0</v>
      </c>
      <c r="O148" s="11"/>
      <c r="P148" s="4" t="s">
        <v>337</v>
      </c>
      <c r="Q148" s="4">
        <f>1000+500+500+750+250</f>
        <v>3000</v>
      </c>
      <c r="R148" s="4" t="s">
        <v>454</v>
      </c>
      <c r="S148" s="4" t="s">
        <v>455</v>
      </c>
      <c r="T148" s="4"/>
      <c r="U148" s="4" t="s">
        <v>374</v>
      </c>
      <c r="V148" s="5"/>
      <c r="W148" s="4"/>
      <c r="X148" s="4"/>
      <c r="Y148" s="4"/>
    </row>
    <row r="149" spans="1:25" x14ac:dyDescent="0.25">
      <c r="A149" s="68">
        <v>146</v>
      </c>
      <c r="B149" s="4">
        <v>4031708</v>
      </c>
      <c r="C149" s="4" t="s">
        <v>721</v>
      </c>
      <c r="D149" s="4">
        <v>9944537882</v>
      </c>
      <c r="E149" s="4" t="s">
        <v>323</v>
      </c>
      <c r="F149" s="4" t="s">
        <v>338</v>
      </c>
      <c r="G149" s="4" t="s">
        <v>251</v>
      </c>
      <c r="H149" s="4" t="s">
        <v>251</v>
      </c>
      <c r="I149" s="4" t="s">
        <v>616</v>
      </c>
      <c r="J149" s="4" t="s">
        <v>690</v>
      </c>
      <c r="K149" s="4" t="s">
        <v>531</v>
      </c>
      <c r="L149" s="22">
        <v>480</v>
      </c>
      <c r="M149" s="4" t="s">
        <v>158</v>
      </c>
      <c r="N149" s="26">
        <f>Table134[[#This Row],[QTY
RECIVED]]-Table134[[#This Row],[QTY 
ISSUED]]</f>
        <v>0</v>
      </c>
      <c r="O149" s="11"/>
      <c r="P149" s="4" t="s">
        <v>337</v>
      </c>
      <c r="Q149" s="4">
        <v>480</v>
      </c>
      <c r="R149" s="4" t="s">
        <v>377</v>
      </c>
      <c r="S149" s="4" t="s">
        <v>378</v>
      </c>
      <c r="T149" s="4"/>
      <c r="U149" s="4" t="s">
        <v>269</v>
      </c>
      <c r="V149" s="5"/>
      <c r="W149" s="4"/>
      <c r="X149" s="4"/>
      <c r="Y149" s="4"/>
    </row>
    <row r="150" spans="1:25" x14ac:dyDescent="0.25">
      <c r="A150" s="68">
        <v>147</v>
      </c>
      <c r="B150" s="4">
        <v>4031717</v>
      </c>
      <c r="C150" s="4" t="s">
        <v>256</v>
      </c>
      <c r="D150" s="4">
        <v>9944537942</v>
      </c>
      <c r="E150" s="4" t="s">
        <v>323</v>
      </c>
      <c r="F150" s="4" t="s">
        <v>340</v>
      </c>
      <c r="G150" s="4" t="s">
        <v>251</v>
      </c>
      <c r="H150" s="4"/>
      <c r="I150" s="4" t="s">
        <v>245</v>
      </c>
      <c r="J150" s="4"/>
      <c r="K150" s="26">
        <v>12998</v>
      </c>
      <c r="L150" s="22">
        <v>60</v>
      </c>
      <c r="M150" s="4" t="s">
        <v>103</v>
      </c>
      <c r="N150" s="26">
        <f>Table134[[#This Row],[QTY
RECIVED]]-Table134[[#This Row],[QTY 
ISSUED]]</f>
        <v>0</v>
      </c>
      <c r="O150" s="11"/>
      <c r="P150" s="4" t="s">
        <v>339</v>
      </c>
      <c r="Q150" s="4">
        <v>60</v>
      </c>
      <c r="R150" s="4" t="s">
        <v>377</v>
      </c>
      <c r="S150" s="4" t="s">
        <v>380</v>
      </c>
      <c r="T150" s="4"/>
      <c r="U150" s="4" t="s">
        <v>269</v>
      </c>
      <c r="V150" s="5"/>
      <c r="W150" s="4"/>
      <c r="X150" s="4"/>
      <c r="Y150" s="4"/>
    </row>
    <row r="151" spans="1:25" x14ac:dyDescent="0.25">
      <c r="A151" s="68">
        <v>148</v>
      </c>
      <c r="B151" s="4">
        <v>4031715</v>
      </c>
      <c r="C151" s="4" t="s">
        <v>721</v>
      </c>
      <c r="D151" s="4">
        <v>9944537882</v>
      </c>
      <c r="E151" s="4" t="s">
        <v>323</v>
      </c>
      <c r="F151" s="4" t="s">
        <v>343</v>
      </c>
      <c r="G151" s="4" t="s">
        <v>251</v>
      </c>
      <c r="H151" s="4" t="s">
        <v>251</v>
      </c>
      <c r="I151" s="4" t="s">
        <v>616</v>
      </c>
      <c r="J151" s="4" t="s">
        <v>691</v>
      </c>
      <c r="K151" s="4" t="s">
        <v>531</v>
      </c>
      <c r="L151" s="22">
        <v>480</v>
      </c>
      <c r="M151" s="4" t="s">
        <v>158</v>
      </c>
      <c r="N151" s="26">
        <f>Table134[[#This Row],[QTY
RECIVED]]-Table134[[#This Row],[QTY 
ISSUED]]</f>
        <v>0</v>
      </c>
      <c r="O151" s="11"/>
      <c r="P151" s="4" t="s">
        <v>339</v>
      </c>
      <c r="Q151" s="4">
        <v>480</v>
      </c>
      <c r="R151" s="4" t="s">
        <v>377</v>
      </c>
      <c r="S151" s="4" t="s">
        <v>381</v>
      </c>
      <c r="T151" s="4"/>
      <c r="U151" s="4" t="s">
        <v>269</v>
      </c>
      <c r="V151" s="5"/>
      <c r="W151" s="4"/>
      <c r="X151" s="4"/>
      <c r="Y151" s="4"/>
    </row>
    <row r="152" spans="1:25" x14ac:dyDescent="0.25">
      <c r="A152" s="68">
        <v>149</v>
      </c>
      <c r="B152" s="4">
        <v>4031720</v>
      </c>
      <c r="C152" s="4" t="s">
        <v>256</v>
      </c>
      <c r="D152" s="4">
        <v>9944537942</v>
      </c>
      <c r="E152" s="4" t="s">
        <v>323</v>
      </c>
      <c r="F152" s="4" t="s">
        <v>341</v>
      </c>
      <c r="G152" s="4" t="s">
        <v>251</v>
      </c>
      <c r="H152" s="4"/>
      <c r="I152" s="4" t="s">
        <v>245</v>
      </c>
      <c r="J152" s="4"/>
      <c r="K152" s="26">
        <v>12947</v>
      </c>
      <c r="L152" s="22">
        <v>60</v>
      </c>
      <c r="M152" s="4" t="s">
        <v>103</v>
      </c>
      <c r="N152" s="26">
        <f>Table134[[#This Row],[QTY
RECIVED]]-Table134[[#This Row],[QTY 
ISSUED]]</f>
        <v>0</v>
      </c>
      <c r="O152" s="11"/>
      <c r="P152" s="4" t="s">
        <v>342</v>
      </c>
      <c r="Q152" s="4">
        <v>60</v>
      </c>
      <c r="R152" s="4" t="s">
        <v>377</v>
      </c>
      <c r="S152" s="4" t="s">
        <v>379</v>
      </c>
      <c r="T152" s="4"/>
      <c r="U152" s="4" t="s">
        <v>269</v>
      </c>
      <c r="V152" s="5"/>
      <c r="W152" s="4"/>
      <c r="X152" s="4"/>
      <c r="Y152" s="4"/>
    </row>
    <row r="153" spans="1:25" x14ac:dyDescent="0.25">
      <c r="A153" s="68">
        <v>150</v>
      </c>
      <c r="B153" s="4">
        <v>4031731</v>
      </c>
      <c r="C153" s="4" t="s">
        <v>724</v>
      </c>
      <c r="D153" s="4">
        <v>9944537842</v>
      </c>
      <c r="E153" s="4" t="s">
        <v>323</v>
      </c>
      <c r="F153" s="4" t="s">
        <v>673</v>
      </c>
      <c r="G153" s="4" t="s">
        <v>102</v>
      </c>
      <c r="H153" s="4" t="s">
        <v>251</v>
      </c>
      <c r="I153" s="12" t="s">
        <v>159</v>
      </c>
      <c r="J153" s="12"/>
      <c r="K153" s="4" t="s">
        <v>674</v>
      </c>
      <c r="L153" s="22">
        <v>32</v>
      </c>
      <c r="M153" s="4" t="s">
        <v>103</v>
      </c>
      <c r="N153" s="26">
        <f>Table134[[#This Row],[QTY
RECIVED]]-Table134[[#This Row],[QTY 
ISSUED]]</f>
        <v>0</v>
      </c>
      <c r="O153" s="11"/>
      <c r="P153" s="4" t="s">
        <v>675</v>
      </c>
      <c r="Q153" s="4">
        <v>32</v>
      </c>
      <c r="R153" s="4" t="s">
        <v>769</v>
      </c>
      <c r="S153" s="6" t="s">
        <v>773</v>
      </c>
      <c r="T153" s="4"/>
      <c r="U153" s="4"/>
      <c r="V153" s="8"/>
      <c r="W153" s="4"/>
      <c r="X153" s="4"/>
      <c r="Y153" s="4"/>
    </row>
    <row r="154" spans="1:25" ht="22.5" x14ac:dyDescent="0.25">
      <c r="A154" s="3">
        <v>151</v>
      </c>
      <c r="B154" s="4">
        <v>2024525</v>
      </c>
      <c r="C154" s="4"/>
      <c r="D154" s="4">
        <v>9987119332</v>
      </c>
      <c r="E154" s="4" t="s">
        <v>321</v>
      </c>
      <c r="F154" s="4" t="s">
        <v>403</v>
      </c>
      <c r="G154" s="4" t="s">
        <v>404</v>
      </c>
      <c r="H154" s="4" t="s">
        <v>404</v>
      </c>
      <c r="I154" s="4" t="s">
        <v>586</v>
      </c>
      <c r="J154" s="4"/>
      <c r="K154" s="4" t="s">
        <v>594</v>
      </c>
      <c r="L154" s="22">
        <v>500332</v>
      </c>
      <c r="M154" s="4" t="s">
        <v>30</v>
      </c>
      <c r="N154" s="26">
        <f>Table134[[#This Row],[QTY
RECIVED]]-Table134[[#This Row],[QTY 
ISSUED]]</f>
        <v>500332</v>
      </c>
      <c r="O154" s="64">
        <f>Table134[[#This Row],[INVENTORY]]/214</f>
        <v>2338</v>
      </c>
      <c r="P154" s="4" t="s">
        <v>595</v>
      </c>
      <c r="Q154" s="4"/>
      <c r="R154" s="4"/>
      <c r="S154" s="4"/>
      <c r="T154" s="4"/>
      <c r="U154" s="4"/>
      <c r="V154" s="5"/>
      <c r="W154" s="4"/>
      <c r="X154" s="4"/>
      <c r="Y154" s="4"/>
    </row>
    <row r="155" spans="1:25" x14ac:dyDescent="0.25">
      <c r="A155" s="68">
        <v>152</v>
      </c>
      <c r="B155" s="4"/>
      <c r="C155" s="4" t="s">
        <v>720</v>
      </c>
      <c r="D155" s="4">
        <v>9944537902</v>
      </c>
      <c r="E155" s="4" t="s">
        <v>323</v>
      </c>
      <c r="F155" s="4" t="s">
        <v>439</v>
      </c>
      <c r="G155" s="4" t="s">
        <v>200</v>
      </c>
      <c r="H155" s="4" t="s">
        <v>200</v>
      </c>
      <c r="I155" s="4" t="s">
        <v>217</v>
      </c>
      <c r="J155" s="4"/>
      <c r="K155" s="4" t="s">
        <v>441</v>
      </c>
      <c r="L155" s="22">
        <v>20</v>
      </c>
      <c r="M155" s="4" t="s">
        <v>158</v>
      </c>
      <c r="N155" s="26">
        <f>Table134[[#This Row],[QTY
RECIVED]]-Table134[[#This Row],[QTY 
ISSUED]]</f>
        <v>0</v>
      </c>
      <c r="O155" s="11">
        <v>0</v>
      </c>
      <c r="P155" s="4" t="s">
        <v>440</v>
      </c>
      <c r="Q155" s="4">
        <v>20</v>
      </c>
      <c r="R155" s="4" t="s">
        <v>484</v>
      </c>
      <c r="S155" s="4" t="s">
        <v>475</v>
      </c>
      <c r="T155" s="4"/>
      <c r="U155" s="4"/>
      <c r="V155" s="5"/>
      <c r="W155" s="4"/>
      <c r="X155" s="4"/>
      <c r="Y155" s="4"/>
    </row>
    <row r="156" spans="1:25" x14ac:dyDescent="0.25">
      <c r="A156" s="68">
        <v>153</v>
      </c>
      <c r="B156" s="4">
        <v>4031819</v>
      </c>
      <c r="C156" s="4" t="s">
        <v>680</v>
      </c>
      <c r="D156" s="4">
        <v>9944537882</v>
      </c>
      <c r="E156" s="4" t="s">
        <v>323</v>
      </c>
      <c r="F156" s="4" t="s">
        <v>476</v>
      </c>
      <c r="G156" s="4" t="s">
        <v>251</v>
      </c>
      <c r="H156" s="4" t="s">
        <v>251</v>
      </c>
      <c r="I156" s="4" t="s">
        <v>616</v>
      </c>
      <c r="J156" s="4" t="s">
        <v>692</v>
      </c>
      <c r="K156" s="4" t="s">
        <v>531</v>
      </c>
      <c r="L156" s="22">
        <v>480</v>
      </c>
      <c r="M156" s="4" t="s">
        <v>158</v>
      </c>
      <c r="N156" s="26">
        <f>Table134[[#This Row],[QTY
RECIVED]]-Table134[[#This Row],[QTY 
ISSUED]]</f>
        <v>0</v>
      </c>
      <c r="O156" s="11">
        <v>0</v>
      </c>
      <c r="P156" s="4" t="s">
        <v>480</v>
      </c>
      <c r="Q156" s="4">
        <v>480</v>
      </c>
      <c r="R156" s="4" t="s">
        <v>484</v>
      </c>
      <c r="S156" s="4" t="s">
        <v>475</v>
      </c>
      <c r="T156" s="4"/>
      <c r="U156" s="4"/>
      <c r="V156" s="5"/>
      <c r="W156" s="4"/>
      <c r="X156" s="4"/>
      <c r="Y156" s="4"/>
    </row>
    <row r="157" spans="1:25" x14ac:dyDescent="0.25">
      <c r="A157" s="68">
        <v>154</v>
      </c>
      <c r="B157" s="4">
        <v>4031828</v>
      </c>
      <c r="C157" s="4" t="s">
        <v>680</v>
      </c>
      <c r="D157" s="4">
        <v>9944537882</v>
      </c>
      <c r="E157" s="4" t="s">
        <v>323</v>
      </c>
      <c r="F157" s="4" t="s">
        <v>477</v>
      </c>
      <c r="G157" s="4" t="s">
        <v>251</v>
      </c>
      <c r="H157" s="4" t="s">
        <v>251</v>
      </c>
      <c r="I157" s="4" t="s">
        <v>616</v>
      </c>
      <c r="J157" s="4" t="s">
        <v>693</v>
      </c>
      <c r="K157" s="4" t="s">
        <v>531</v>
      </c>
      <c r="L157" s="22">
        <v>480</v>
      </c>
      <c r="M157" s="4" t="s">
        <v>158</v>
      </c>
      <c r="N157" s="26">
        <f>Table134[[#This Row],[QTY
RECIVED]]-Table134[[#This Row],[QTY 
ISSUED]]</f>
        <v>0</v>
      </c>
      <c r="O157" s="11">
        <v>0</v>
      </c>
      <c r="P157" s="4" t="s">
        <v>481</v>
      </c>
      <c r="Q157" s="4">
        <v>480</v>
      </c>
      <c r="R157" s="4" t="s">
        <v>484</v>
      </c>
      <c r="S157" s="4" t="s">
        <v>475</v>
      </c>
      <c r="T157" s="4"/>
      <c r="U157" s="4"/>
      <c r="V157" s="5"/>
      <c r="W157" s="4"/>
      <c r="X157" s="4"/>
      <c r="Y157" s="4"/>
    </row>
    <row r="158" spans="1:25" x14ac:dyDescent="0.25">
      <c r="A158" s="68">
        <v>155</v>
      </c>
      <c r="B158" s="4">
        <v>4031909</v>
      </c>
      <c r="C158" s="4" t="s">
        <v>680</v>
      </c>
      <c r="D158" s="4">
        <v>9944537882</v>
      </c>
      <c r="E158" s="4" t="s">
        <v>323</v>
      </c>
      <c r="F158" s="4" t="s">
        <v>478</v>
      </c>
      <c r="G158" s="4" t="s">
        <v>251</v>
      </c>
      <c r="H158" s="4" t="s">
        <v>251</v>
      </c>
      <c r="I158" s="4" t="s">
        <v>616</v>
      </c>
      <c r="J158" s="4" t="s">
        <v>694</v>
      </c>
      <c r="K158" s="4" t="s">
        <v>531</v>
      </c>
      <c r="L158" s="22">
        <v>480</v>
      </c>
      <c r="M158" s="4" t="s">
        <v>158</v>
      </c>
      <c r="N158" s="26">
        <f>Table134[[#This Row],[QTY
RECIVED]]-Table134[[#This Row],[QTY 
ISSUED]]</f>
        <v>0</v>
      </c>
      <c r="O158" s="11">
        <v>0</v>
      </c>
      <c r="P158" s="4" t="s">
        <v>482</v>
      </c>
      <c r="Q158" s="4">
        <v>480</v>
      </c>
      <c r="R158" s="4" t="s">
        <v>484</v>
      </c>
      <c r="S158" s="4" t="s">
        <v>475</v>
      </c>
      <c r="T158" s="4"/>
      <c r="U158" s="4"/>
      <c r="V158" s="5"/>
      <c r="W158" s="4"/>
      <c r="X158" s="4"/>
      <c r="Y158" s="4"/>
    </row>
    <row r="159" spans="1:25" x14ac:dyDescent="0.25">
      <c r="A159" s="68">
        <v>156</v>
      </c>
      <c r="B159" s="4">
        <v>4031929</v>
      </c>
      <c r="C159" s="4" t="s">
        <v>680</v>
      </c>
      <c r="D159" s="4">
        <v>9944537882</v>
      </c>
      <c r="E159" s="4" t="s">
        <v>323</v>
      </c>
      <c r="F159" s="4" t="s">
        <v>479</v>
      </c>
      <c r="G159" s="4" t="s">
        <v>251</v>
      </c>
      <c r="H159" s="4" t="s">
        <v>251</v>
      </c>
      <c r="I159" s="4" t="s">
        <v>616</v>
      </c>
      <c r="J159" s="4" t="s">
        <v>695</v>
      </c>
      <c r="K159" s="4" t="s">
        <v>531</v>
      </c>
      <c r="L159" s="22">
        <v>480</v>
      </c>
      <c r="M159" s="4" t="s">
        <v>158</v>
      </c>
      <c r="N159" s="26">
        <f>Table134[[#This Row],[QTY
RECIVED]]-Table134[[#This Row],[QTY 
ISSUED]]</f>
        <v>0</v>
      </c>
      <c r="O159" s="11">
        <v>0</v>
      </c>
      <c r="P159" s="4" t="s">
        <v>483</v>
      </c>
      <c r="Q159" s="4">
        <v>480</v>
      </c>
      <c r="R159" s="4" t="s">
        <v>484</v>
      </c>
      <c r="S159" s="4" t="s">
        <v>475</v>
      </c>
      <c r="T159" s="4"/>
      <c r="U159" s="4"/>
      <c r="V159" s="5"/>
      <c r="W159" s="4"/>
      <c r="X159" s="4"/>
      <c r="Y159" s="4"/>
    </row>
    <row r="160" spans="1:25" ht="10.5" customHeight="1" x14ac:dyDescent="0.25">
      <c r="A160" s="68">
        <v>157</v>
      </c>
      <c r="B160" s="70" t="s">
        <v>718</v>
      </c>
      <c r="C160" s="4" t="s">
        <v>680</v>
      </c>
      <c r="D160" s="4">
        <v>9944537882</v>
      </c>
      <c r="E160" s="4" t="s">
        <v>323</v>
      </c>
      <c r="F160" s="30" t="s">
        <v>529</v>
      </c>
      <c r="G160" s="4" t="s">
        <v>251</v>
      </c>
      <c r="H160" s="6" t="s">
        <v>251</v>
      </c>
      <c r="I160" s="4" t="s">
        <v>616</v>
      </c>
      <c r="J160" s="4" t="s">
        <v>696</v>
      </c>
      <c r="K160" s="4" t="s">
        <v>530</v>
      </c>
      <c r="L160" s="22">
        <v>960</v>
      </c>
      <c r="M160" s="4" t="s">
        <v>158</v>
      </c>
      <c r="N160" s="26">
        <f>Table134[[#This Row],[QTY
RECIVED]]-Table134[[#This Row],[QTY 
ISSUED]]</f>
        <v>0</v>
      </c>
      <c r="O160" s="11">
        <v>0</v>
      </c>
      <c r="P160" s="4" t="s">
        <v>483</v>
      </c>
      <c r="Q160" s="4">
        <v>960</v>
      </c>
      <c r="R160" s="4" t="s">
        <v>545</v>
      </c>
      <c r="S160" s="4" t="s">
        <v>546</v>
      </c>
      <c r="T160" s="4"/>
      <c r="U160" s="4"/>
      <c r="V160" s="5"/>
      <c r="W160" s="4"/>
      <c r="X160" s="4"/>
      <c r="Y160" s="4"/>
    </row>
    <row r="161" spans="1:25" ht="22.5" x14ac:dyDescent="0.25">
      <c r="A161" s="68">
        <v>158</v>
      </c>
      <c r="B161" s="4"/>
      <c r="C161" s="4" t="s">
        <v>731</v>
      </c>
      <c r="D161" s="4">
        <v>9987119262</v>
      </c>
      <c r="E161" s="4" t="s">
        <v>321</v>
      </c>
      <c r="F161" s="4" t="s">
        <v>445</v>
      </c>
      <c r="G161" s="40" t="s">
        <v>446</v>
      </c>
      <c r="H161" s="40" t="s">
        <v>446</v>
      </c>
      <c r="I161" s="4" t="s">
        <v>573</v>
      </c>
      <c r="J161" s="4"/>
      <c r="K161" s="4" t="s">
        <v>447</v>
      </c>
      <c r="L161" s="22">
        <v>832</v>
      </c>
      <c r="M161" s="4" t="s">
        <v>30</v>
      </c>
      <c r="N161" s="83">
        <f>Table134[[#This Row],[QTY
RECIVED]]-Table134[[#This Row],[QTY 
ISSUED]]</f>
        <v>208</v>
      </c>
      <c r="O161" s="61">
        <f>Table134[[#This Row],[INVENTORY]]/208</f>
        <v>1</v>
      </c>
      <c r="P161" s="4" t="s">
        <v>448</v>
      </c>
      <c r="Q161" s="4">
        <f>416+208</f>
        <v>624</v>
      </c>
      <c r="R161" s="4" t="s">
        <v>780</v>
      </c>
      <c r="S161" s="4" t="s">
        <v>781</v>
      </c>
      <c r="T161" s="4"/>
      <c r="U161" s="4"/>
      <c r="V161" s="5"/>
      <c r="W161" s="4">
        <v>624</v>
      </c>
      <c r="X161" s="4">
        <v>1248</v>
      </c>
      <c r="Y161" s="4" t="s">
        <v>785</v>
      </c>
    </row>
    <row r="162" spans="1:25" ht="22.5" x14ac:dyDescent="0.25">
      <c r="A162" s="68">
        <v>159</v>
      </c>
      <c r="B162" s="4"/>
      <c r="C162" s="4" t="s">
        <v>719</v>
      </c>
      <c r="D162" s="4">
        <v>9944537902</v>
      </c>
      <c r="E162" s="4" t="s">
        <v>323</v>
      </c>
      <c r="F162" s="4" t="s">
        <v>329</v>
      </c>
      <c r="G162" s="4" t="s">
        <v>200</v>
      </c>
      <c r="H162" s="4" t="s">
        <v>200</v>
      </c>
      <c r="I162" s="4" t="s">
        <v>217</v>
      </c>
      <c r="J162" s="4"/>
      <c r="K162" s="4" t="s">
        <v>442</v>
      </c>
      <c r="L162" s="22">
        <v>400</v>
      </c>
      <c r="M162" s="4" t="s">
        <v>158</v>
      </c>
      <c r="N162" s="26">
        <f>Table134[[#This Row],[QTY
RECIVED]]-Table134[[#This Row],[QTY 
ISSUED]]</f>
        <v>100</v>
      </c>
      <c r="O162" s="11">
        <v>1</v>
      </c>
      <c r="P162" s="4" t="s">
        <v>474</v>
      </c>
      <c r="Q162" s="4">
        <f>200+100</f>
        <v>300</v>
      </c>
      <c r="R162" s="4" t="s">
        <v>771</v>
      </c>
      <c r="S162" s="4" t="s">
        <v>772</v>
      </c>
      <c r="T162" s="4"/>
      <c r="U162" s="4"/>
      <c r="V162" s="5"/>
      <c r="W162" s="4"/>
      <c r="X162" s="4"/>
      <c r="Y162" s="4"/>
    </row>
    <row r="163" spans="1:25" ht="22.5" x14ac:dyDescent="0.25">
      <c r="A163" s="68">
        <v>160</v>
      </c>
      <c r="B163" s="4"/>
      <c r="C163" s="4"/>
      <c r="D163" s="4">
        <v>9961641082</v>
      </c>
      <c r="E163" s="4" t="s">
        <v>324</v>
      </c>
      <c r="F163" s="4" t="s">
        <v>461</v>
      </c>
      <c r="G163" s="4" t="s">
        <v>223</v>
      </c>
      <c r="H163" s="4" t="s">
        <v>223</v>
      </c>
      <c r="I163" s="4" t="s">
        <v>618</v>
      </c>
      <c r="J163" s="4"/>
      <c r="K163" s="4" t="s">
        <v>603</v>
      </c>
      <c r="L163" s="22">
        <v>1200</v>
      </c>
      <c r="M163" s="4" t="s">
        <v>30</v>
      </c>
      <c r="N163" s="26">
        <f>Table134[[#This Row],[QTY
RECIVED]]-Table134[[#This Row],[QTY 
ISSUED]]</f>
        <v>0</v>
      </c>
      <c r="O163" s="11"/>
      <c r="P163" s="4" t="s">
        <v>604</v>
      </c>
      <c r="Q163" s="4">
        <v>1200</v>
      </c>
      <c r="R163" s="4" t="s">
        <v>462</v>
      </c>
      <c r="S163" s="4" t="s">
        <v>463</v>
      </c>
      <c r="T163" s="4"/>
      <c r="U163" s="4"/>
      <c r="V163" s="5"/>
      <c r="W163" s="4"/>
      <c r="X163" s="4"/>
      <c r="Y163" s="4"/>
    </row>
    <row r="164" spans="1:25" x14ac:dyDescent="0.25">
      <c r="A164" s="3">
        <v>161</v>
      </c>
      <c r="B164" s="4"/>
      <c r="C164" s="4"/>
      <c r="D164" s="4">
        <v>9989008912</v>
      </c>
      <c r="E164" s="4" t="s">
        <v>324</v>
      </c>
      <c r="F164" s="4" t="s">
        <v>513</v>
      </c>
      <c r="G164" s="4" t="s">
        <v>514</v>
      </c>
      <c r="H164" s="4" t="s">
        <v>514</v>
      </c>
      <c r="I164" s="4" t="s">
        <v>745</v>
      </c>
      <c r="J164" s="4"/>
      <c r="K164" s="4" t="s">
        <v>515</v>
      </c>
      <c r="L164" s="22">
        <v>500</v>
      </c>
      <c r="M164" s="4"/>
      <c r="N164" s="26">
        <f>Table134[[#This Row],[QTY
RECIVED]]-Table134[[#This Row],[QTY 
ISSUED]]</f>
        <v>500</v>
      </c>
      <c r="O164" s="11"/>
      <c r="P164" s="4" t="s">
        <v>516</v>
      </c>
      <c r="Q164" s="4"/>
      <c r="R164" s="4"/>
      <c r="S164" s="4"/>
      <c r="T164" s="4"/>
      <c r="U164" s="4"/>
      <c r="V164" s="5"/>
      <c r="W164" s="4"/>
      <c r="X164" s="4"/>
      <c r="Y164" s="4"/>
    </row>
    <row r="165" spans="1:25" ht="22.5" x14ac:dyDescent="0.25">
      <c r="A165" s="68">
        <v>162</v>
      </c>
      <c r="B165" s="4"/>
      <c r="C165" s="4" t="s">
        <v>726</v>
      </c>
      <c r="D165" s="4">
        <v>9989008912</v>
      </c>
      <c r="E165" s="4" t="s">
        <v>324</v>
      </c>
      <c r="F165" s="4" t="s">
        <v>496</v>
      </c>
      <c r="G165" s="4" t="s">
        <v>223</v>
      </c>
      <c r="H165" s="4" t="s">
        <v>223</v>
      </c>
      <c r="I165" s="4" t="s">
        <v>221</v>
      </c>
      <c r="J165" s="4"/>
      <c r="K165" s="4" t="s">
        <v>492</v>
      </c>
      <c r="L165" s="22">
        <v>4000</v>
      </c>
      <c r="M165" s="4" t="s">
        <v>30</v>
      </c>
      <c r="N165" s="26">
        <f>Table134[[#This Row],[QTY
RECIVED]]-Table134[[#This Row],[QTY 
ISSUED]]</f>
        <v>3750</v>
      </c>
      <c r="O165" s="20">
        <f>Table134[[#This Row],[INVENTORY]]/250.4</f>
        <v>14.976038338658146</v>
      </c>
      <c r="P165" s="4" t="s">
        <v>494</v>
      </c>
      <c r="Q165" s="4">
        <v>250</v>
      </c>
      <c r="R165" s="4" t="s">
        <v>653</v>
      </c>
      <c r="S165" s="4" t="s">
        <v>650</v>
      </c>
      <c r="T165" s="4"/>
      <c r="U165" s="4"/>
      <c r="V165" s="5"/>
      <c r="W165" s="4"/>
      <c r="X165" s="4"/>
      <c r="Y165" s="4"/>
    </row>
    <row r="166" spans="1:25" ht="22.5" x14ac:dyDescent="0.25">
      <c r="A166" s="3">
        <v>163</v>
      </c>
      <c r="B166" s="4"/>
      <c r="C166" s="4" t="s">
        <v>726</v>
      </c>
      <c r="D166" s="4">
        <v>9989008892</v>
      </c>
      <c r="E166" s="4" t="s">
        <v>324</v>
      </c>
      <c r="F166" s="4" t="s">
        <v>496</v>
      </c>
      <c r="G166" s="4" t="s">
        <v>223</v>
      </c>
      <c r="H166" s="4" t="s">
        <v>223</v>
      </c>
      <c r="I166" s="4" t="s">
        <v>224</v>
      </c>
      <c r="J166" s="4"/>
      <c r="K166" s="4" t="s">
        <v>493</v>
      </c>
      <c r="L166" s="22">
        <v>1200</v>
      </c>
      <c r="M166" s="4" t="s">
        <v>30</v>
      </c>
      <c r="N166" s="26">
        <f>Table134[[#This Row],[QTY
RECIVED]]-Table134[[#This Row],[QTY 
ISSUED]]</f>
        <v>0</v>
      </c>
      <c r="O166" s="11"/>
      <c r="P166" s="4" t="s">
        <v>494</v>
      </c>
      <c r="Q166" s="4">
        <f>200+200+400+400</f>
        <v>1200</v>
      </c>
      <c r="R166" s="4" t="s">
        <v>830</v>
      </c>
      <c r="S166" s="4" t="s">
        <v>831</v>
      </c>
      <c r="T166" s="4"/>
      <c r="U166" s="4"/>
      <c r="V166" s="5"/>
      <c r="W166" s="4"/>
      <c r="X166" s="4"/>
      <c r="Y166" s="4"/>
    </row>
    <row r="167" spans="1:25" ht="22.5" x14ac:dyDescent="0.25">
      <c r="A167" s="68">
        <v>164</v>
      </c>
      <c r="B167" s="4"/>
      <c r="C167" s="4" t="s">
        <v>726</v>
      </c>
      <c r="D167" s="4">
        <v>9989008902</v>
      </c>
      <c r="E167" s="4" t="s">
        <v>324</v>
      </c>
      <c r="F167" s="4" t="s">
        <v>496</v>
      </c>
      <c r="G167" s="4" t="s">
        <v>223</v>
      </c>
      <c r="H167" s="4" t="s">
        <v>223</v>
      </c>
      <c r="I167" s="4" t="s">
        <v>225</v>
      </c>
      <c r="J167" s="4"/>
      <c r="K167" s="4" t="s">
        <v>493</v>
      </c>
      <c r="L167" s="22">
        <v>1200</v>
      </c>
      <c r="M167" s="4" t="s">
        <v>30</v>
      </c>
      <c r="N167" s="26">
        <f>Table134[[#This Row],[QTY
RECIVED]]-Table134[[#This Row],[QTY 
ISSUED]]</f>
        <v>1000</v>
      </c>
      <c r="O167" s="11"/>
      <c r="P167" s="4" t="s">
        <v>494</v>
      </c>
      <c r="Q167" s="4">
        <v>200</v>
      </c>
      <c r="R167" s="4" t="s">
        <v>498</v>
      </c>
      <c r="S167" s="4" t="s">
        <v>499</v>
      </c>
      <c r="T167" s="4"/>
      <c r="U167" s="4"/>
      <c r="V167" s="5"/>
      <c r="W167" s="4"/>
      <c r="X167" s="4"/>
      <c r="Y167" s="4"/>
    </row>
    <row r="168" spans="1:25" ht="45" x14ac:dyDescent="0.25">
      <c r="A168" s="68">
        <v>165</v>
      </c>
      <c r="B168" s="4"/>
      <c r="C168" s="4" t="s">
        <v>726</v>
      </c>
      <c r="D168" s="4">
        <v>9961641112</v>
      </c>
      <c r="E168" s="4" t="s">
        <v>324</v>
      </c>
      <c r="F168" s="4" t="s">
        <v>496</v>
      </c>
      <c r="G168" s="12" t="s">
        <v>371</v>
      </c>
      <c r="H168" s="4" t="s">
        <v>223</v>
      </c>
      <c r="I168" s="4" t="s">
        <v>617</v>
      </c>
      <c r="J168" s="4"/>
      <c r="K168" s="4" t="s">
        <v>651</v>
      </c>
      <c r="L168" s="22">
        <v>10000</v>
      </c>
      <c r="M168" s="4" t="s">
        <v>30</v>
      </c>
      <c r="N168" s="26">
        <f>Table134[[#This Row],[QTY
RECIVED]]-Table134[[#This Row],[QTY 
ISSUED]]</f>
        <v>5200</v>
      </c>
      <c r="O168" s="20">
        <f>Table134[[#This Row],[INVENTORY]]/250</f>
        <v>20.8</v>
      </c>
      <c r="P168" s="4" t="s">
        <v>494</v>
      </c>
      <c r="Q168" s="4">
        <f>500+800+500+500+500+1000+500+500</f>
        <v>4800</v>
      </c>
      <c r="R168" s="4" t="s">
        <v>832</v>
      </c>
      <c r="S168" s="4" t="s">
        <v>833</v>
      </c>
      <c r="T168" s="4"/>
      <c r="U168" s="4"/>
      <c r="V168" s="5"/>
      <c r="W168" s="4"/>
      <c r="X168" s="4"/>
      <c r="Y168" s="4"/>
    </row>
    <row r="169" spans="1:25" ht="33.75" x14ac:dyDescent="0.25">
      <c r="A169" s="68">
        <v>166</v>
      </c>
      <c r="B169" s="4"/>
      <c r="C169" s="4" t="s">
        <v>726</v>
      </c>
      <c r="D169" s="4">
        <v>9961641082</v>
      </c>
      <c r="E169" s="4" t="s">
        <v>324</v>
      </c>
      <c r="F169" s="4" t="s">
        <v>496</v>
      </c>
      <c r="G169" s="4" t="s">
        <v>223</v>
      </c>
      <c r="H169" s="4" t="s">
        <v>223</v>
      </c>
      <c r="I169" s="4" t="s">
        <v>618</v>
      </c>
      <c r="J169" s="4"/>
      <c r="K169" s="4" t="s">
        <v>532</v>
      </c>
      <c r="L169" s="22">
        <v>6000</v>
      </c>
      <c r="M169" s="4" t="s">
        <v>30</v>
      </c>
      <c r="N169" s="26">
        <f>Table134[[#This Row],[QTY
RECIVED]]-Table134[[#This Row],[QTY 
ISSUED]]</f>
        <v>0</v>
      </c>
      <c r="O169" s="11"/>
      <c r="P169" s="4" t="s">
        <v>494</v>
      </c>
      <c r="Q169" s="4">
        <f>1200+1200+1200+1200+200+1000</f>
        <v>6000</v>
      </c>
      <c r="R169" s="4" t="s">
        <v>801</v>
      </c>
      <c r="S169" s="4" t="s">
        <v>800</v>
      </c>
      <c r="T169" s="4"/>
      <c r="U169" s="4"/>
      <c r="V169" s="5"/>
      <c r="W169" s="4"/>
      <c r="X169" s="4"/>
      <c r="Y169" s="4"/>
    </row>
    <row r="170" spans="1:25" ht="45" x14ac:dyDescent="0.25">
      <c r="A170" s="68">
        <v>167</v>
      </c>
      <c r="B170" s="4"/>
      <c r="C170" s="4" t="s">
        <v>730</v>
      </c>
      <c r="D170" s="4">
        <v>9987119352</v>
      </c>
      <c r="E170" s="4" t="s">
        <v>321</v>
      </c>
      <c r="F170" s="4" t="s">
        <v>521</v>
      </c>
      <c r="G170" s="4" t="s">
        <v>495</v>
      </c>
      <c r="H170" s="4" t="s">
        <v>495</v>
      </c>
      <c r="I170" s="4" t="s">
        <v>588</v>
      </c>
      <c r="J170" s="4"/>
      <c r="K170" s="4" t="s">
        <v>520</v>
      </c>
      <c r="L170" s="22">
        <v>2080</v>
      </c>
      <c r="M170" s="4" t="s">
        <v>68</v>
      </c>
      <c r="N170" s="26">
        <f>Table134[[#This Row],[QTY
RECIVED]]-Table134[[#This Row],[QTY 
ISSUED]]</f>
        <v>1198</v>
      </c>
      <c r="O170" s="61">
        <f>Table134[[#This Row],[INVENTORY]]/208</f>
        <v>5.759615384615385</v>
      </c>
      <c r="P170" s="4" t="s">
        <v>497</v>
      </c>
      <c r="Q170" s="4">
        <f>208+208+208+30+10+10+208</f>
        <v>882</v>
      </c>
      <c r="R170" s="4" t="s">
        <v>822</v>
      </c>
      <c r="S170" s="4" t="s">
        <v>823</v>
      </c>
      <c r="T170" s="4"/>
      <c r="U170" s="4"/>
      <c r="V170" s="5"/>
      <c r="W170" s="4">
        <v>1040</v>
      </c>
      <c r="X170" s="4">
        <v>3120</v>
      </c>
      <c r="Y170" s="4" t="s">
        <v>785</v>
      </c>
    </row>
    <row r="171" spans="1:25" x14ac:dyDescent="0.25">
      <c r="A171" s="72">
        <v>168</v>
      </c>
      <c r="B171" s="4"/>
      <c r="C171" s="4"/>
      <c r="D171" s="4">
        <v>9987119292</v>
      </c>
      <c r="E171" s="4" t="s">
        <v>321</v>
      </c>
      <c r="F171" s="65" t="s">
        <v>500</v>
      </c>
      <c r="G171" s="4" t="s">
        <v>501</v>
      </c>
      <c r="H171" s="4" t="s">
        <v>501</v>
      </c>
      <c r="I171" s="4" t="s">
        <v>580</v>
      </c>
      <c r="J171" s="4"/>
      <c r="K171" s="4" t="s">
        <v>502</v>
      </c>
      <c r="L171" s="22">
        <v>80</v>
      </c>
      <c r="M171" s="4" t="s">
        <v>68</v>
      </c>
      <c r="N171" s="26">
        <f>Table134[[#This Row],[QTY
RECIVED]]-Table134[[#This Row],[QTY 
ISSUED]]</f>
        <v>0</v>
      </c>
      <c r="O171" s="11"/>
      <c r="P171" s="4" t="s">
        <v>497</v>
      </c>
      <c r="Q171" s="4">
        <v>80</v>
      </c>
      <c r="R171" s="4" t="s">
        <v>509</v>
      </c>
      <c r="S171" s="30" t="s">
        <v>510</v>
      </c>
      <c r="T171" s="4"/>
      <c r="U171" s="4"/>
      <c r="V171" s="5"/>
      <c r="W171" s="4"/>
      <c r="X171" s="4"/>
      <c r="Y171" s="4"/>
    </row>
    <row r="172" spans="1:25" x14ac:dyDescent="0.25">
      <c r="A172" s="68">
        <v>169</v>
      </c>
      <c r="B172" s="4"/>
      <c r="C172" s="4" t="s">
        <v>725</v>
      </c>
      <c r="D172" s="4">
        <v>9989266812</v>
      </c>
      <c r="E172" s="4" t="s">
        <v>324</v>
      </c>
      <c r="F172" s="4" t="s">
        <v>380</v>
      </c>
      <c r="G172" s="4" t="s">
        <v>54</v>
      </c>
      <c r="H172" s="4" t="s">
        <v>261</v>
      </c>
      <c r="I172" s="4" t="s">
        <v>503</v>
      </c>
      <c r="J172" s="4"/>
      <c r="K172" s="4" t="s">
        <v>522</v>
      </c>
      <c r="L172" s="22">
        <v>25100</v>
      </c>
      <c r="M172" s="4" t="s">
        <v>30</v>
      </c>
      <c r="N172" s="26">
        <f>Table134[[#This Row],[QTY
RECIVED]]-Table134[[#This Row],[QTY 
ISSUED]]</f>
        <v>3570</v>
      </c>
      <c r="O172" s="11"/>
      <c r="P172" s="4" t="s">
        <v>505</v>
      </c>
      <c r="Q172" s="4">
        <f>15580+5950</f>
        <v>21530</v>
      </c>
      <c r="R172" s="4" t="s">
        <v>533</v>
      </c>
      <c r="S172" s="4" t="s">
        <v>534</v>
      </c>
      <c r="T172" s="4"/>
      <c r="U172" s="4"/>
      <c r="V172" s="5"/>
      <c r="W172" s="4"/>
      <c r="X172" s="4"/>
      <c r="Y172" s="4"/>
    </row>
    <row r="173" spans="1:25" ht="22.5" x14ac:dyDescent="0.25">
      <c r="A173" s="68">
        <v>170</v>
      </c>
      <c r="B173" s="4"/>
      <c r="C173" s="4" t="s">
        <v>728</v>
      </c>
      <c r="D173" s="4">
        <v>9987112552</v>
      </c>
      <c r="E173" s="4" t="s">
        <v>321</v>
      </c>
      <c r="F173" s="65" t="s">
        <v>378</v>
      </c>
      <c r="G173" s="4" t="s">
        <v>506</v>
      </c>
      <c r="H173" s="4" t="s">
        <v>383</v>
      </c>
      <c r="I173" s="4" t="s">
        <v>609</v>
      </c>
      <c r="J173" s="4"/>
      <c r="K173" s="4" t="s">
        <v>504</v>
      </c>
      <c r="L173" s="22">
        <v>99840</v>
      </c>
      <c r="M173" s="4" t="s">
        <v>68</v>
      </c>
      <c r="N173" s="26">
        <f>Table134[[#This Row],[QTY
RECIVED]]-Table134[[#This Row],[QTY 
ISSUED]]</f>
        <v>49088</v>
      </c>
      <c r="O173" s="64">
        <f>Table134[[#This Row],[INVENTORY]]/208</f>
        <v>236</v>
      </c>
      <c r="P173" s="4" t="s">
        <v>505</v>
      </c>
      <c r="Q173" s="4">
        <f>14976+8320+8320+19136</f>
        <v>50752</v>
      </c>
      <c r="R173" s="4" t="s">
        <v>748</v>
      </c>
      <c r="S173" s="4" t="s">
        <v>747</v>
      </c>
      <c r="T173" s="4"/>
      <c r="U173" s="4"/>
      <c r="V173" s="5"/>
      <c r="W173" s="4"/>
      <c r="X173" s="4"/>
      <c r="Y173" s="4"/>
    </row>
    <row r="174" spans="1:25" x14ac:dyDescent="0.25">
      <c r="A174" s="3">
        <v>171</v>
      </c>
      <c r="B174" s="4"/>
      <c r="C174" s="4"/>
      <c r="D174" s="4">
        <v>9989007922</v>
      </c>
      <c r="E174" s="4" t="s">
        <v>324</v>
      </c>
      <c r="F174" s="65" t="s">
        <v>379</v>
      </c>
      <c r="G174" s="4" t="s">
        <v>106</v>
      </c>
      <c r="H174" s="4" t="s">
        <v>106</v>
      </c>
      <c r="I174" s="4" t="s">
        <v>518</v>
      </c>
      <c r="J174" s="4"/>
      <c r="K174" s="4" t="s">
        <v>519</v>
      </c>
      <c r="L174" s="22">
        <v>24980</v>
      </c>
      <c r="M174" s="4" t="s">
        <v>30</v>
      </c>
      <c r="N174" s="26">
        <f>Table134[[#This Row],[QTY
RECIVED]]-Table134[[#This Row],[QTY 
ISSUED]]</f>
        <v>0</v>
      </c>
      <c r="O174" s="11"/>
      <c r="P174" s="4" t="s">
        <v>505</v>
      </c>
      <c r="Q174" s="4">
        <v>24980</v>
      </c>
      <c r="R174" s="4" t="s">
        <v>547</v>
      </c>
      <c r="S174" s="4" t="s">
        <v>593</v>
      </c>
      <c r="T174" s="4"/>
      <c r="U174" s="4" t="s">
        <v>195</v>
      </c>
      <c r="V174" s="5"/>
      <c r="W174" s="4"/>
      <c r="X174" s="4"/>
      <c r="Y174" s="4"/>
    </row>
    <row r="175" spans="1:25" x14ac:dyDescent="0.25">
      <c r="A175" s="3">
        <v>172</v>
      </c>
      <c r="B175" s="4"/>
      <c r="C175" s="4"/>
      <c r="D175" s="4" t="s">
        <v>701</v>
      </c>
      <c r="E175" s="4" t="s">
        <v>321</v>
      </c>
      <c r="F175" s="4" t="s">
        <v>527</v>
      </c>
      <c r="G175" s="4" t="s">
        <v>517</v>
      </c>
      <c r="H175" s="4" t="s">
        <v>116</v>
      </c>
      <c r="I175" s="4" t="s">
        <v>608</v>
      </c>
      <c r="J175" s="4"/>
      <c r="K175" s="4" t="s">
        <v>507</v>
      </c>
      <c r="L175" s="22">
        <v>416</v>
      </c>
      <c r="M175" s="4" t="s">
        <v>68</v>
      </c>
      <c r="N175" s="26">
        <f>Table134[[#This Row],[QTY
RECIVED]]-Table134[[#This Row],[QTY 
ISSUED]]</f>
        <v>416</v>
      </c>
      <c r="O175" s="64">
        <f>Table134[[#This Row],[INVENTORY]]/208</f>
        <v>2</v>
      </c>
      <c r="P175" s="4" t="s">
        <v>508</v>
      </c>
      <c r="Q175" s="4"/>
      <c r="R175" s="4"/>
      <c r="S175" s="4"/>
      <c r="T175" s="4"/>
      <c r="U175" s="4"/>
      <c r="V175" s="5"/>
      <c r="W175" s="4"/>
      <c r="X175" s="4"/>
      <c r="Y175" s="4"/>
    </row>
    <row r="176" spans="1:25" x14ac:dyDescent="0.25">
      <c r="A176" s="3">
        <v>173</v>
      </c>
      <c r="B176" s="4"/>
      <c r="C176" s="4"/>
      <c r="D176" s="4" t="s">
        <v>701</v>
      </c>
      <c r="E176" s="4" t="s">
        <v>321</v>
      </c>
      <c r="F176" s="4" t="s">
        <v>527</v>
      </c>
      <c r="G176" s="4" t="s">
        <v>517</v>
      </c>
      <c r="H176" s="4" t="s">
        <v>116</v>
      </c>
      <c r="I176" s="4" t="s">
        <v>550</v>
      </c>
      <c r="J176" s="4"/>
      <c r="K176" s="4" t="s">
        <v>507</v>
      </c>
      <c r="L176" s="22">
        <v>416</v>
      </c>
      <c r="M176" s="4" t="s">
        <v>68</v>
      </c>
      <c r="N176" s="26">
        <f>Table134[[#This Row],[QTY
RECIVED]]-Table134[[#This Row],[QTY 
ISSUED]]</f>
        <v>416</v>
      </c>
      <c r="O176" s="61">
        <f>Table134[[#This Row],[INVENTORY]]/208</f>
        <v>2</v>
      </c>
      <c r="P176" s="4" t="s">
        <v>508</v>
      </c>
      <c r="Q176" s="4"/>
      <c r="R176" s="4"/>
      <c r="S176" s="4"/>
      <c r="T176" s="4"/>
      <c r="U176" s="4"/>
      <c r="V176" s="5"/>
      <c r="W176" s="4">
        <v>110</v>
      </c>
      <c r="X176" s="4">
        <v>416</v>
      </c>
      <c r="Y176" s="4"/>
    </row>
    <row r="177" spans="1:25" x14ac:dyDescent="0.25">
      <c r="A177" s="3">
        <v>174</v>
      </c>
      <c r="B177" s="4"/>
      <c r="C177" s="4"/>
      <c r="D177" s="4" t="s">
        <v>701</v>
      </c>
      <c r="E177" s="4" t="s">
        <v>321</v>
      </c>
      <c r="F177" s="4" t="s">
        <v>527</v>
      </c>
      <c r="G177" s="4" t="s">
        <v>517</v>
      </c>
      <c r="H177" s="4" t="s">
        <v>116</v>
      </c>
      <c r="I177" s="41" t="s">
        <v>574</v>
      </c>
      <c r="J177" s="4"/>
      <c r="K177" s="4" t="s">
        <v>507</v>
      </c>
      <c r="L177" s="22">
        <v>416</v>
      </c>
      <c r="M177" s="4" t="s">
        <v>68</v>
      </c>
      <c r="N177" s="26">
        <f>Table134[[#This Row],[QTY
RECIVED]]-Table134[[#This Row],[QTY 
ISSUED]]</f>
        <v>416</v>
      </c>
      <c r="O177" s="64">
        <f>Table134[[#This Row],[INVENTORY]]/208</f>
        <v>2</v>
      </c>
      <c r="P177" s="4" t="s">
        <v>508</v>
      </c>
      <c r="Q177" s="4"/>
      <c r="R177" s="4"/>
      <c r="S177" s="4"/>
      <c r="T177" s="4"/>
      <c r="U177" s="4"/>
      <c r="V177" s="5"/>
      <c r="W177" s="4"/>
      <c r="X177" s="4"/>
      <c r="Y177" s="4"/>
    </row>
    <row r="178" spans="1:25" x14ac:dyDescent="0.25">
      <c r="A178" s="3">
        <v>175</v>
      </c>
      <c r="B178" s="4"/>
      <c r="C178" s="4"/>
      <c r="D178" s="4">
        <v>9944537882</v>
      </c>
      <c r="E178" s="4" t="s">
        <v>323</v>
      </c>
      <c r="F178" s="4" t="s">
        <v>527</v>
      </c>
      <c r="G178" s="4" t="s">
        <v>116</v>
      </c>
      <c r="H178" s="4" t="s">
        <v>116</v>
      </c>
      <c r="I178" s="4" t="s">
        <v>616</v>
      </c>
      <c r="J178" s="4" t="s">
        <v>701</v>
      </c>
      <c r="K178" s="12" t="s">
        <v>543</v>
      </c>
      <c r="L178" s="22">
        <v>1000</v>
      </c>
      <c r="M178" s="4" t="s">
        <v>158</v>
      </c>
      <c r="N178" s="26">
        <f>Table134[[#This Row],[QTY
RECIVED]]-Table134[[#This Row],[QTY 
ISSUED]]</f>
        <v>0</v>
      </c>
      <c r="O178" s="11"/>
      <c r="P178" s="4" t="s">
        <v>700</v>
      </c>
      <c r="Q178" s="4">
        <v>1000</v>
      </c>
      <c r="R178" s="4" t="s">
        <v>545</v>
      </c>
      <c r="S178" s="4" t="s">
        <v>546</v>
      </c>
      <c r="T178" s="4"/>
      <c r="U178" s="4"/>
      <c r="V178" s="5"/>
      <c r="W178" s="4"/>
      <c r="X178" s="4"/>
      <c r="Y178" s="4"/>
    </row>
    <row r="179" spans="1:25" x14ac:dyDescent="0.25">
      <c r="A179" s="68">
        <v>176</v>
      </c>
      <c r="B179" s="4"/>
      <c r="C179" s="4" t="s">
        <v>729</v>
      </c>
      <c r="D179" s="4">
        <v>9987119282</v>
      </c>
      <c r="E179" s="4" t="s">
        <v>321</v>
      </c>
      <c r="F179" s="4" t="s">
        <v>381</v>
      </c>
      <c r="G179" s="4" t="s">
        <v>542</v>
      </c>
      <c r="H179" s="4" t="s">
        <v>542</v>
      </c>
      <c r="I179" s="4" t="s">
        <v>605</v>
      </c>
      <c r="J179" s="4"/>
      <c r="K179" s="4" t="s">
        <v>575</v>
      </c>
      <c r="L179" s="22">
        <v>4160</v>
      </c>
      <c r="M179" s="4" t="s">
        <v>68</v>
      </c>
      <c r="N179" s="83">
        <f>Table134[[#This Row],[QTY
RECIVED]]-Table134[[#This Row],[QTY 
ISSUED]]</f>
        <v>4160</v>
      </c>
      <c r="O179" s="64">
        <f>Table134[[#This Row],[INVENTORY]]/208</f>
        <v>20</v>
      </c>
      <c r="P179" s="4" t="s">
        <v>544</v>
      </c>
      <c r="Q179" s="4"/>
      <c r="R179" s="4"/>
      <c r="S179" s="4"/>
      <c r="T179" s="4"/>
      <c r="U179" s="4"/>
      <c r="V179" s="5"/>
      <c r="W179" s="4">
        <v>4160</v>
      </c>
      <c r="X179" s="4">
        <v>9360</v>
      </c>
      <c r="Y179" s="4"/>
    </row>
    <row r="180" spans="1:25" ht="22.5" x14ac:dyDescent="0.25">
      <c r="A180" s="68">
        <v>177</v>
      </c>
      <c r="B180" s="6" t="s">
        <v>717</v>
      </c>
      <c r="C180" s="4" t="s">
        <v>680</v>
      </c>
      <c r="D180" s="4">
        <v>9944537882</v>
      </c>
      <c r="E180" s="6" t="s">
        <v>323</v>
      </c>
      <c r="F180" s="4" t="s">
        <v>612</v>
      </c>
      <c r="G180" s="4" t="s">
        <v>251</v>
      </c>
      <c r="H180" s="6" t="s">
        <v>251</v>
      </c>
      <c r="I180" s="4" t="s">
        <v>616</v>
      </c>
      <c r="J180" s="4" t="s">
        <v>697</v>
      </c>
      <c r="K180" s="12" t="s">
        <v>613</v>
      </c>
      <c r="L180" s="24">
        <v>960</v>
      </c>
      <c r="M180" s="6" t="s">
        <v>158</v>
      </c>
      <c r="N180" s="27">
        <f>Table134[[#This Row],[QTY
RECIVED]]-Table134[[#This Row],[QTY 
ISSUED]]</f>
        <v>0</v>
      </c>
      <c r="O180" s="19"/>
      <c r="P180" s="4" t="s">
        <v>614</v>
      </c>
      <c r="Q180" s="4">
        <v>960</v>
      </c>
      <c r="R180" s="4" t="s">
        <v>769</v>
      </c>
      <c r="S180" s="4" t="s">
        <v>770</v>
      </c>
      <c r="T180" s="6"/>
      <c r="U180" s="6"/>
      <c r="V180" s="45"/>
      <c r="W180" s="4"/>
      <c r="X180" s="4"/>
      <c r="Y180" s="4"/>
    </row>
    <row r="181" spans="1:25" ht="33.75" x14ac:dyDescent="0.25">
      <c r="A181" s="77">
        <v>178</v>
      </c>
      <c r="B181" s="6" t="s">
        <v>716</v>
      </c>
      <c r="C181" s="4" t="s">
        <v>680</v>
      </c>
      <c r="D181" s="4">
        <v>9944537882</v>
      </c>
      <c r="E181" s="6" t="s">
        <v>323</v>
      </c>
      <c r="F181" s="66" t="s">
        <v>619</v>
      </c>
      <c r="G181" s="4" t="s">
        <v>251</v>
      </c>
      <c r="H181" s="6" t="s">
        <v>251</v>
      </c>
      <c r="I181" s="4" t="s">
        <v>616</v>
      </c>
      <c r="J181" s="4" t="s">
        <v>669</v>
      </c>
      <c r="K181" s="12" t="s">
        <v>672</v>
      </c>
      <c r="L181" s="24">
        <v>1200</v>
      </c>
      <c r="M181" s="6" t="s">
        <v>158</v>
      </c>
      <c r="N181" s="27">
        <f>Table134[[#This Row],[QTY
RECIVED]]-Table134[[#This Row],[QTY 
ISSUED]]</f>
        <v>0</v>
      </c>
      <c r="O181" s="19"/>
      <c r="P181" s="4" t="s">
        <v>699</v>
      </c>
      <c r="Q181" s="4">
        <v>1200</v>
      </c>
      <c r="R181" s="4" t="s">
        <v>769</v>
      </c>
      <c r="S181" s="4" t="s">
        <v>770</v>
      </c>
      <c r="T181" s="6"/>
      <c r="U181" s="6"/>
      <c r="V181" s="45"/>
      <c r="W181" s="4"/>
      <c r="X181" s="4"/>
      <c r="Y181" s="4"/>
    </row>
    <row r="182" spans="1:25" x14ac:dyDescent="0.25">
      <c r="A182" s="77">
        <v>179</v>
      </c>
      <c r="B182" s="4"/>
      <c r="C182" s="4" t="s">
        <v>727</v>
      </c>
      <c r="D182" s="4">
        <v>9987119352</v>
      </c>
      <c r="E182" s="4" t="s">
        <v>321</v>
      </c>
      <c r="F182" s="65" t="s">
        <v>621</v>
      </c>
      <c r="G182" s="4" t="s">
        <v>622</v>
      </c>
      <c r="H182" s="4" t="s">
        <v>622</v>
      </c>
      <c r="I182" s="4" t="s">
        <v>664</v>
      </c>
      <c r="J182" s="4"/>
      <c r="K182" s="4" t="s">
        <v>623</v>
      </c>
      <c r="L182" s="22">
        <v>100</v>
      </c>
      <c r="M182" s="4" t="s">
        <v>68</v>
      </c>
      <c r="N182" s="26">
        <f>Table134[[#This Row],[QTY
RECIVED]]-Table134[[#This Row],[QTY 
ISSUED]]</f>
        <v>100</v>
      </c>
      <c r="O182" s="64">
        <f>Table134[[#This Row],[INVENTORY]]/208</f>
        <v>0.48076923076923078</v>
      </c>
      <c r="P182" s="4" t="s">
        <v>620</v>
      </c>
      <c r="Q182" s="4"/>
      <c r="R182" s="4"/>
      <c r="S182" s="4"/>
      <c r="T182" s="4"/>
      <c r="U182" s="4"/>
      <c r="V182" s="5"/>
      <c r="W182" s="4"/>
      <c r="X182" s="4"/>
      <c r="Y182" s="4"/>
    </row>
    <row r="183" spans="1:25" x14ac:dyDescent="0.25">
      <c r="A183" s="77">
        <v>180</v>
      </c>
      <c r="B183" s="4"/>
      <c r="C183" s="4" t="s">
        <v>727</v>
      </c>
      <c r="D183" s="4">
        <v>9987118852</v>
      </c>
      <c r="E183" s="4" t="s">
        <v>321</v>
      </c>
      <c r="F183" s="30" t="s">
        <v>621</v>
      </c>
      <c r="G183" s="4" t="s">
        <v>622</v>
      </c>
      <c r="H183" s="4" t="s">
        <v>622</v>
      </c>
      <c r="I183" s="4" t="s">
        <v>665</v>
      </c>
      <c r="J183" s="4"/>
      <c r="K183" s="4" t="s">
        <v>624</v>
      </c>
      <c r="L183" s="22">
        <v>400</v>
      </c>
      <c r="M183" s="4" t="s">
        <v>625</v>
      </c>
      <c r="N183" s="26">
        <f>Table134[[#This Row],[QTY
RECIVED]]-Table134[[#This Row],[QTY 
ISSUED]]</f>
        <v>400</v>
      </c>
      <c r="O183" s="64">
        <f>Table134[[#This Row],[INVENTORY]]/208</f>
        <v>1.9230769230769231</v>
      </c>
      <c r="P183" s="4" t="s">
        <v>620</v>
      </c>
      <c r="Q183" s="4"/>
      <c r="R183" s="4"/>
      <c r="S183" s="4"/>
      <c r="T183" s="4"/>
      <c r="U183" s="4"/>
      <c r="V183" s="5"/>
      <c r="W183" s="4"/>
      <c r="X183" s="4"/>
      <c r="Y183" s="4"/>
    </row>
    <row r="184" spans="1:25" ht="16.5" customHeight="1" x14ac:dyDescent="0.25">
      <c r="A184" s="77">
        <v>181</v>
      </c>
      <c r="B184" s="4"/>
      <c r="C184" s="4"/>
      <c r="D184" s="4">
        <v>9989000292</v>
      </c>
      <c r="E184" s="4" t="s">
        <v>324</v>
      </c>
      <c r="F184" s="4" t="s">
        <v>649</v>
      </c>
      <c r="G184" s="4" t="s">
        <v>646</v>
      </c>
      <c r="H184" s="4" t="s">
        <v>646</v>
      </c>
      <c r="I184" s="4" t="s">
        <v>654</v>
      </c>
      <c r="J184" s="4"/>
      <c r="K184" s="4" t="s">
        <v>655</v>
      </c>
      <c r="L184" s="22">
        <v>20</v>
      </c>
      <c r="M184" s="4" t="s">
        <v>30</v>
      </c>
      <c r="N184" s="26">
        <f>Table134[[#This Row],[QTY
RECIVED]]-Table134[[#This Row],[QTY 
ISSUED]]</f>
        <v>10</v>
      </c>
      <c r="O184" s="11"/>
      <c r="P184" s="4" t="s">
        <v>647</v>
      </c>
      <c r="Q184" s="4">
        <v>10</v>
      </c>
      <c r="R184" s="4" t="s">
        <v>648</v>
      </c>
      <c r="S184" s="4" t="s">
        <v>652</v>
      </c>
      <c r="T184" s="4"/>
      <c r="U184" s="4"/>
      <c r="V184" s="5"/>
      <c r="W184" s="4"/>
      <c r="X184" s="4"/>
      <c r="Y184" s="4"/>
    </row>
    <row r="185" spans="1:25" ht="18.75" customHeight="1" x14ac:dyDescent="0.25">
      <c r="A185" s="77">
        <v>182</v>
      </c>
      <c r="B185" s="6"/>
      <c r="C185" s="6"/>
      <c r="D185" s="4">
        <v>9989008042</v>
      </c>
      <c r="E185" s="4" t="s">
        <v>324</v>
      </c>
      <c r="F185" s="60" t="s">
        <v>656</v>
      </c>
      <c r="G185" s="4" t="s">
        <v>645</v>
      </c>
      <c r="H185" s="4" t="s">
        <v>645</v>
      </c>
      <c r="I185" s="4" t="s">
        <v>127</v>
      </c>
      <c r="J185" s="6"/>
      <c r="K185" s="6" t="s">
        <v>657</v>
      </c>
      <c r="L185" s="24">
        <v>5000</v>
      </c>
      <c r="M185" s="6" t="s">
        <v>658</v>
      </c>
      <c r="N185" s="27">
        <f>Table134[[#This Row],[QTY
RECIVED]]-Table134[[#This Row],[QTY 
ISSUED]]</f>
        <v>5000</v>
      </c>
      <c r="O185" s="19"/>
      <c r="P185" s="6" t="s">
        <v>659</v>
      </c>
      <c r="Q185" s="4"/>
      <c r="R185" s="6"/>
      <c r="S185" s="6"/>
      <c r="T185" s="6"/>
      <c r="U185" s="6"/>
      <c r="V185" s="45"/>
      <c r="W185" s="4"/>
      <c r="X185" s="4"/>
      <c r="Y185" s="4"/>
    </row>
    <row r="186" spans="1:25" ht="22.5" x14ac:dyDescent="0.25">
      <c r="A186" s="77">
        <v>183</v>
      </c>
      <c r="B186" s="6" t="s">
        <v>715</v>
      </c>
      <c r="C186" s="4" t="s">
        <v>680</v>
      </c>
      <c r="D186" s="4">
        <v>9944537882</v>
      </c>
      <c r="E186" s="6" t="s">
        <v>323</v>
      </c>
      <c r="F186" s="30" t="s">
        <v>668</v>
      </c>
      <c r="G186" s="4" t="s">
        <v>251</v>
      </c>
      <c r="H186" s="6" t="s">
        <v>251</v>
      </c>
      <c r="I186" s="4" t="s">
        <v>616</v>
      </c>
      <c r="J186" s="4" t="s">
        <v>670</v>
      </c>
      <c r="K186" s="12" t="s">
        <v>671</v>
      </c>
      <c r="L186" s="24">
        <v>1200</v>
      </c>
      <c r="M186" s="6" t="s">
        <v>158</v>
      </c>
      <c r="N186" s="27">
        <f>Table134[[#This Row],[QTY
RECIVED]]-Table134[[#This Row],[QTY 
ISSUED]]</f>
        <v>0</v>
      </c>
      <c r="O186" s="19"/>
      <c r="P186" s="4" t="s">
        <v>698</v>
      </c>
      <c r="Q186" s="4">
        <v>1200</v>
      </c>
      <c r="R186" s="4" t="s">
        <v>769</v>
      </c>
      <c r="S186" s="4" t="s">
        <v>770</v>
      </c>
      <c r="T186" s="6"/>
      <c r="U186" s="6"/>
      <c r="V186" s="45"/>
      <c r="W186" s="4"/>
      <c r="X186" s="4"/>
      <c r="Y186" s="4"/>
    </row>
    <row r="187" spans="1:25" ht="22.5" x14ac:dyDescent="0.25">
      <c r="A187" s="77">
        <v>184</v>
      </c>
      <c r="B187" s="4" t="s">
        <v>804</v>
      </c>
      <c r="C187" s="4" t="s">
        <v>791</v>
      </c>
      <c r="D187" s="4">
        <v>9944537862</v>
      </c>
      <c r="E187" s="6" t="s">
        <v>323</v>
      </c>
      <c r="F187" s="6" t="s">
        <v>676</v>
      </c>
      <c r="G187" s="6" t="s">
        <v>677</v>
      </c>
      <c r="H187" s="6" t="s">
        <v>677</v>
      </c>
      <c r="I187" s="4" t="s">
        <v>245</v>
      </c>
      <c r="J187" s="6"/>
      <c r="K187" s="6">
        <v>425</v>
      </c>
      <c r="L187" s="24">
        <v>2</v>
      </c>
      <c r="M187" s="4" t="s">
        <v>103</v>
      </c>
      <c r="N187" s="27">
        <f>Table134[[#This Row],[QTY
RECIVED]]-Table134[[#This Row],[QTY 
ISSUED]]</f>
        <v>0</v>
      </c>
      <c r="O187" s="19"/>
      <c r="P187" s="6" t="s">
        <v>678</v>
      </c>
      <c r="Q187" s="4">
        <v>2</v>
      </c>
      <c r="R187" s="6" t="s">
        <v>769</v>
      </c>
      <c r="S187" s="4" t="s">
        <v>770</v>
      </c>
      <c r="T187" s="6"/>
      <c r="U187" s="6"/>
      <c r="V187" s="45"/>
      <c r="W187" s="4"/>
      <c r="X187" s="4"/>
      <c r="Y187" s="4"/>
    </row>
    <row r="188" spans="1:25" x14ac:dyDescent="0.25">
      <c r="A188" s="77">
        <v>185</v>
      </c>
      <c r="B188" s="6">
        <v>4040021</v>
      </c>
      <c r="C188" s="6" t="s">
        <v>758</v>
      </c>
      <c r="D188" s="4">
        <v>9944537842</v>
      </c>
      <c r="E188" s="6" t="s">
        <v>323</v>
      </c>
      <c r="F188" s="6" t="s">
        <v>679</v>
      </c>
      <c r="G188" s="4" t="s">
        <v>251</v>
      </c>
      <c r="H188" s="4" t="s">
        <v>251</v>
      </c>
      <c r="I188" s="12" t="s">
        <v>159</v>
      </c>
      <c r="J188" s="6"/>
      <c r="K188" s="6" t="s">
        <v>683</v>
      </c>
      <c r="L188" s="24">
        <v>32</v>
      </c>
      <c r="M188" s="6" t="s">
        <v>103</v>
      </c>
      <c r="N188" s="27">
        <f>Table134[[#This Row],[QTY
RECIVED]]-Table134[[#This Row],[QTY 
ISSUED]]</f>
        <v>0</v>
      </c>
      <c r="O188" s="19"/>
      <c r="P188" s="6" t="s">
        <v>653</v>
      </c>
      <c r="Q188" s="4">
        <v>32</v>
      </c>
      <c r="R188" s="4" t="s">
        <v>769</v>
      </c>
      <c r="S188" s="6" t="s">
        <v>773</v>
      </c>
      <c r="T188" s="6"/>
      <c r="U188" s="6"/>
      <c r="V188" s="45"/>
      <c r="W188" s="4"/>
      <c r="X188" s="4"/>
      <c r="Y188" s="4"/>
    </row>
    <row r="189" spans="1:25" ht="22.5" x14ac:dyDescent="0.25">
      <c r="A189" s="77">
        <v>186</v>
      </c>
      <c r="B189" s="4" t="s">
        <v>805</v>
      </c>
      <c r="C189" s="4" t="s">
        <v>791</v>
      </c>
      <c r="D189" s="4">
        <v>9944537862</v>
      </c>
      <c r="E189" s="6" t="s">
        <v>323</v>
      </c>
      <c r="F189" s="6" t="s">
        <v>790</v>
      </c>
      <c r="G189" s="6" t="s">
        <v>677</v>
      </c>
      <c r="H189" s="6" t="s">
        <v>677</v>
      </c>
      <c r="I189" s="4" t="s">
        <v>245</v>
      </c>
      <c r="J189" s="4" t="s">
        <v>808</v>
      </c>
      <c r="K189" s="26" t="s">
        <v>707</v>
      </c>
      <c r="L189" s="22">
        <v>108</v>
      </c>
      <c r="M189" s="6" t="s">
        <v>103</v>
      </c>
      <c r="N189" s="26">
        <f>Table134[[#This Row],[QTY
RECIVED]]-Table134[[#This Row],[QTY 
ISSUED]]</f>
        <v>0</v>
      </c>
      <c r="O189" s="11"/>
      <c r="P189" s="6" t="s">
        <v>708</v>
      </c>
      <c r="Q189" s="4">
        <v>108</v>
      </c>
      <c r="R189" s="6" t="s">
        <v>769</v>
      </c>
      <c r="S189" s="4" t="s">
        <v>770</v>
      </c>
      <c r="T189" s="4"/>
      <c r="U189" s="4"/>
      <c r="V189" s="5"/>
      <c r="W189" s="4"/>
      <c r="X189" s="4"/>
      <c r="Y189" s="4"/>
    </row>
    <row r="190" spans="1:25" ht="22.5" x14ac:dyDescent="0.25">
      <c r="A190" s="77">
        <v>187</v>
      </c>
      <c r="B190" s="4" t="s">
        <v>806</v>
      </c>
      <c r="C190" s="4" t="s">
        <v>791</v>
      </c>
      <c r="D190" s="4">
        <v>9944537862</v>
      </c>
      <c r="E190" s="4" t="s">
        <v>323</v>
      </c>
      <c r="F190" s="6" t="s">
        <v>790</v>
      </c>
      <c r="G190" s="6" t="s">
        <v>677</v>
      </c>
      <c r="H190" s="6" t="s">
        <v>677</v>
      </c>
      <c r="I190" s="4" t="s">
        <v>245</v>
      </c>
      <c r="J190" s="6">
        <v>3.4</v>
      </c>
      <c r="K190" s="4" t="s">
        <v>682</v>
      </c>
      <c r="L190" s="22">
        <v>108</v>
      </c>
      <c r="M190" s="4" t="s">
        <v>103</v>
      </c>
      <c r="N190" s="26">
        <f>Table134[[#This Row],[QTY
RECIVED]]-Table134[[#This Row],[QTY 
ISSUED]]</f>
        <v>0</v>
      </c>
      <c r="O190" s="11"/>
      <c r="P190" s="4" t="s">
        <v>684</v>
      </c>
      <c r="Q190" s="4">
        <v>108</v>
      </c>
      <c r="R190" s="6" t="s">
        <v>769</v>
      </c>
      <c r="S190" s="4" t="s">
        <v>770</v>
      </c>
      <c r="T190" s="4"/>
      <c r="U190" s="4"/>
      <c r="V190" s="5"/>
      <c r="W190" s="4"/>
      <c r="X190" s="4"/>
      <c r="Y190" s="4"/>
    </row>
    <row r="191" spans="1:25" ht="33.75" x14ac:dyDescent="0.25">
      <c r="A191" s="77">
        <v>188</v>
      </c>
      <c r="B191" s="4" t="s">
        <v>712</v>
      </c>
      <c r="C191" s="4" t="s">
        <v>680</v>
      </c>
      <c r="D191" s="4">
        <v>9944537882</v>
      </c>
      <c r="E191" s="4" t="s">
        <v>323</v>
      </c>
      <c r="F191" s="69" t="s">
        <v>685</v>
      </c>
      <c r="G191" s="4" t="s">
        <v>251</v>
      </c>
      <c r="H191" s="6" t="s">
        <v>251</v>
      </c>
      <c r="I191" s="4" t="s">
        <v>616</v>
      </c>
      <c r="J191" s="4" t="s">
        <v>711</v>
      </c>
      <c r="K191" s="12" t="s">
        <v>705</v>
      </c>
      <c r="L191" s="24">
        <v>1200</v>
      </c>
      <c r="M191" s="6" t="s">
        <v>158</v>
      </c>
      <c r="N191" s="27">
        <f>Table134[[#This Row],[QTY
RECIVED]]-Table134[[#This Row],[QTY 
ISSUED]]</f>
        <v>0</v>
      </c>
      <c r="O191" s="19"/>
      <c r="P191" s="4" t="s">
        <v>706</v>
      </c>
      <c r="Q191" s="4">
        <v>1200</v>
      </c>
      <c r="R191" s="4" t="s">
        <v>769</v>
      </c>
      <c r="S191" s="4" t="s">
        <v>770</v>
      </c>
      <c r="T191" s="4"/>
      <c r="U191" s="4"/>
      <c r="V191" s="5"/>
      <c r="W191" s="4"/>
      <c r="X191" s="4"/>
      <c r="Y191" s="4"/>
    </row>
    <row r="192" spans="1:25" ht="22.5" x14ac:dyDescent="0.25">
      <c r="A192" s="77">
        <v>189</v>
      </c>
      <c r="B192" s="4" t="s">
        <v>807</v>
      </c>
      <c r="C192" s="4" t="s">
        <v>791</v>
      </c>
      <c r="D192" s="4">
        <v>9944537862</v>
      </c>
      <c r="E192" s="4" t="s">
        <v>323</v>
      </c>
      <c r="F192" s="4" t="s">
        <v>789</v>
      </c>
      <c r="G192" s="6" t="s">
        <v>677</v>
      </c>
      <c r="H192" s="6" t="s">
        <v>677</v>
      </c>
      <c r="I192" s="4" t="s">
        <v>245</v>
      </c>
      <c r="J192" s="6">
        <v>5</v>
      </c>
      <c r="K192" s="4" t="s">
        <v>682</v>
      </c>
      <c r="L192" s="22">
        <v>54</v>
      </c>
      <c r="M192" s="4" t="s">
        <v>103</v>
      </c>
      <c r="N192" s="26">
        <f>Table134[[#This Row],[QTY
RECIVED]]-Table134[[#This Row],[QTY 
ISSUED]]</f>
        <v>0</v>
      </c>
      <c r="O192" s="11"/>
      <c r="P192" s="4" t="s">
        <v>763</v>
      </c>
      <c r="Q192" s="4">
        <v>54</v>
      </c>
      <c r="R192" s="6" t="s">
        <v>769</v>
      </c>
      <c r="S192" s="4" t="s">
        <v>770</v>
      </c>
      <c r="T192" s="4"/>
      <c r="U192" s="4"/>
      <c r="V192" s="5"/>
      <c r="W192" s="4"/>
      <c r="X192" s="4"/>
      <c r="Y192" s="4"/>
    </row>
    <row r="193" spans="1:25" ht="22.5" x14ac:dyDescent="0.25">
      <c r="A193" s="77">
        <v>190</v>
      </c>
      <c r="B193" s="4"/>
      <c r="C193" s="4" t="s">
        <v>778</v>
      </c>
      <c r="D193" s="4">
        <v>9987112562</v>
      </c>
      <c r="E193" s="4" t="s">
        <v>321</v>
      </c>
      <c r="F193" s="30" t="s">
        <v>779</v>
      </c>
      <c r="G193" s="4" t="s">
        <v>642</v>
      </c>
      <c r="H193" s="4" t="s">
        <v>384</v>
      </c>
      <c r="I193" s="4" t="s">
        <v>666</v>
      </c>
      <c r="J193" s="4"/>
      <c r="K193" s="4" t="s">
        <v>776</v>
      </c>
      <c r="L193" s="22">
        <v>836</v>
      </c>
      <c r="M193" s="4" t="s">
        <v>68</v>
      </c>
      <c r="N193" s="26">
        <f>Table134[[#This Row],[QTY
RECIVED]]-Table134[[#This Row],[QTY 
ISSUED]]</f>
        <v>806</v>
      </c>
      <c r="O193" s="61">
        <f>Table134[[#This Row],[INVENTORY]]/208</f>
        <v>3.875</v>
      </c>
      <c r="P193" s="4" t="s">
        <v>777</v>
      </c>
      <c r="Q193" s="4">
        <v>30</v>
      </c>
      <c r="R193" s="4" t="s">
        <v>660</v>
      </c>
      <c r="S193" s="4" t="s">
        <v>661</v>
      </c>
      <c r="T193" s="4"/>
      <c r="U193" s="4"/>
      <c r="V193" s="5"/>
      <c r="W193" s="4">
        <v>208</v>
      </c>
      <c r="X193" s="4">
        <v>624</v>
      </c>
      <c r="Y193" s="6"/>
    </row>
    <row r="194" spans="1:25" x14ac:dyDescent="0.25">
      <c r="A194" s="77">
        <v>191</v>
      </c>
      <c r="B194" s="4"/>
      <c r="C194" s="4"/>
      <c r="D194" s="4">
        <v>9989266812</v>
      </c>
      <c r="E194" s="4" t="s">
        <v>324</v>
      </c>
      <c r="F194" s="29" t="s">
        <v>527</v>
      </c>
      <c r="G194" s="4" t="s">
        <v>794</v>
      </c>
      <c r="H194" s="4" t="s">
        <v>794</v>
      </c>
      <c r="I194" s="4" t="s">
        <v>503</v>
      </c>
      <c r="J194" s="4"/>
      <c r="K194" s="4"/>
      <c r="L194" s="22">
        <v>25070</v>
      </c>
      <c r="M194" s="4" t="s">
        <v>30</v>
      </c>
      <c r="N194" s="26">
        <f>Table134[[#This Row],[QTY
RECIVED]]-Table134[[#This Row],[QTY 
ISSUED]]</f>
        <v>8070</v>
      </c>
      <c r="O194" s="61"/>
      <c r="P194" s="4" t="s">
        <v>795</v>
      </c>
      <c r="Q194" s="4">
        <f>17000</f>
        <v>17000</v>
      </c>
      <c r="R194" s="4" t="s">
        <v>796</v>
      </c>
      <c r="S194" s="4" t="s">
        <v>797</v>
      </c>
      <c r="T194" s="4"/>
      <c r="U194" s="4" t="s">
        <v>456</v>
      </c>
      <c r="V194" s="5"/>
      <c r="W194" s="4"/>
      <c r="X194" s="4"/>
      <c r="Y194" s="6"/>
    </row>
    <row r="195" spans="1:25" ht="33.75" x14ac:dyDescent="0.25">
      <c r="A195" s="77">
        <v>192</v>
      </c>
      <c r="B195" s="4" t="s">
        <v>827</v>
      </c>
      <c r="C195" s="4" t="s">
        <v>680</v>
      </c>
      <c r="D195" s="4">
        <v>9944537882</v>
      </c>
      <c r="E195" s="4" t="s">
        <v>323</v>
      </c>
      <c r="F195" s="69" t="s">
        <v>824</v>
      </c>
      <c r="G195" s="4" t="s">
        <v>251</v>
      </c>
      <c r="H195" s="6" t="s">
        <v>251</v>
      </c>
      <c r="I195" s="4" t="s">
        <v>616</v>
      </c>
      <c r="J195" s="4" t="s">
        <v>825</v>
      </c>
      <c r="K195" s="12" t="s">
        <v>671</v>
      </c>
      <c r="L195" s="24">
        <v>1440</v>
      </c>
      <c r="M195" s="6" t="s">
        <v>158</v>
      </c>
      <c r="N195" s="27">
        <f>Table134[[#This Row],[QTY
RECIVED]]-Table134[[#This Row],[QTY 
ISSUED]]</f>
        <v>0</v>
      </c>
      <c r="O195" s="19"/>
      <c r="P195" s="4" t="s">
        <v>826</v>
      </c>
      <c r="Q195" s="4">
        <v>1440</v>
      </c>
      <c r="R195" s="4" t="s">
        <v>815</v>
      </c>
      <c r="S195" s="4" t="s">
        <v>816</v>
      </c>
      <c r="T195" s="4"/>
      <c r="U195" s="4"/>
      <c r="V195" s="5"/>
      <c r="W195" s="4"/>
      <c r="X195" s="4"/>
      <c r="Y195" s="4"/>
    </row>
    <row r="196" spans="1:25" x14ac:dyDescent="0.25">
      <c r="A196" s="77">
        <v>192</v>
      </c>
      <c r="B196" s="4"/>
      <c r="C196" s="4" t="s">
        <v>701</v>
      </c>
      <c r="D196" s="4"/>
      <c r="E196" s="4" t="s">
        <v>323</v>
      </c>
      <c r="F196" s="4" t="s">
        <v>809</v>
      </c>
      <c r="G196" s="4" t="s">
        <v>809</v>
      </c>
      <c r="H196" s="4" t="s">
        <v>116</v>
      </c>
      <c r="I196" s="4" t="s">
        <v>810</v>
      </c>
      <c r="J196" s="4" t="s">
        <v>811</v>
      </c>
      <c r="K196" s="4"/>
      <c r="L196" s="22">
        <v>600</v>
      </c>
      <c r="M196" s="4" t="s">
        <v>30</v>
      </c>
      <c r="N196" s="81">
        <v>600</v>
      </c>
      <c r="O196" s="61"/>
      <c r="P196" s="4" t="s">
        <v>812</v>
      </c>
      <c r="Q196" s="4"/>
      <c r="R196" s="4"/>
      <c r="S196" s="4"/>
      <c r="T196" s="4"/>
      <c r="U196" s="4"/>
      <c r="V196" s="5"/>
      <c r="W196" s="4"/>
      <c r="X196" s="4"/>
      <c r="Y196" s="6"/>
    </row>
    <row r="197" spans="1:25" ht="21" x14ac:dyDescent="0.25">
      <c r="A197" s="77">
        <v>195</v>
      </c>
      <c r="B197" s="4"/>
      <c r="C197" s="4">
        <v>37684</v>
      </c>
      <c r="D197" s="4"/>
      <c r="E197" s="4" t="s">
        <v>324</v>
      </c>
      <c r="F197" s="4" t="s">
        <v>615</v>
      </c>
      <c r="G197" s="12" t="s">
        <v>817</v>
      </c>
      <c r="H197" s="12" t="s">
        <v>817</v>
      </c>
      <c r="I197" s="29" t="s">
        <v>224</v>
      </c>
      <c r="J197" s="4" t="s">
        <v>818</v>
      </c>
      <c r="K197" s="4" t="s">
        <v>819</v>
      </c>
      <c r="L197" s="22">
        <v>2000</v>
      </c>
      <c r="M197" s="4" t="s">
        <v>30</v>
      </c>
      <c r="N197" s="81">
        <f>Table134[[#This Row],[QTY
RECIVED]]-Table134[[#This Row],[QTY 
ISSUED]]</f>
        <v>2000</v>
      </c>
      <c r="O197" s="61">
        <v>10</v>
      </c>
      <c r="P197" s="4" t="s">
        <v>821</v>
      </c>
      <c r="Q197" s="4"/>
      <c r="R197" s="4"/>
      <c r="S197" s="4"/>
      <c r="T197" s="4"/>
      <c r="U197" s="4"/>
      <c r="V197" s="5"/>
      <c r="W197" s="4"/>
      <c r="X197" s="4"/>
      <c r="Y197" s="6"/>
    </row>
    <row r="198" spans="1:25" ht="21" x14ac:dyDescent="0.25">
      <c r="A198" s="77">
        <v>196</v>
      </c>
      <c r="B198" s="4"/>
      <c r="C198" s="4">
        <v>37684</v>
      </c>
      <c r="D198" s="4">
        <v>9989008902</v>
      </c>
      <c r="E198" s="4" t="s">
        <v>324</v>
      </c>
      <c r="F198" s="4" t="s">
        <v>615</v>
      </c>
      <c r="G198" s="12" t="s">
        <v>817</v>
      </c>
      <c r="H198" s="12" t="s">
        <v>817</v>
      </c>
      <c r="I198" s="29" t="s">
        <v>225</v>
      </c>
      <c r="J198" s="4" t="s">
        <v>818</v>
      </c>
      <c r="K198" s="4" t="s">
        <v>819</v>
      </c>
      <c r="L198" s="22">
        <v>2000</v>
      </c>
      <c r="M198" s="4" t="s">
        <v>30</v>
      </c>
      <c r="N198" s="81">
        <f>Table134[[#This Row],[QTY
RECIVED]]-Table134[[#This Row],[QTY 
ISSUED]]</f>
        <v>2000</v>
      </c>
      <c r="O198" s="61">
        <v>10</v>
      </c>
      <c r="P198" s="4" t="s">
        <v>821</v>
      </c>
      <c r="Q198" s="4"/>
      <c r="R198" s="4"/>
      <c r="S198" s="4"/>
      <c r="T198" s="4"/>
      <c r="U198" s="4"/>
      <c r="V198" s="5"/>
      <c r="W198" s="4"/>
      <c r="X198" s="4"/>
      <c r="Y198" s="6"/>
    </row>
    <row r="199" spans="1:25" ht="21" x14ac:dyDescent="0.25">
      <c r="A199" s="77">
        <v>197</v>
      </c>
      <c r="B199" s="4"/>
      <c r="C199" s="4">
        <v>37684</v>
      </c>
      <c r="D199" s="4"/>
      <c r="E199" s="4" t="s">
        <v>324</v>
      </c>
      <c r="F199" s="4" t="s">
        <v>615</v>
      </c>
      <c r="G199" s="12" t="s">
        <v>817</v>
      </c>
      <c r="H199" s="12" t="s">
        <v>817</v>
      </c>
      <c r="I199" s="29" t="s">
        <v>618</v>
      </c>
      <c r="J199" s="4" t="s">
        <v>818</v>
      </c>
      <c r="K199" s="4" t="s">
        <v>820</v>
      </c>
      <c r="L199" s="22">
        <v>8400</v>
      </c>
      <c r="M199" s="4" t="s">
        <v>30</v>
      </c>
      <c r="N199" s="81">
        <f>Table134[[#This Row],[QTY
RECIVED]]-Table134[[#This Row],[QTY 
ISSUED]]</f>
        <v>8400</v>
      </c>
      <c r="O199" s="61">
        <v>28</v>
      </c>
      <c r="P199" s="4" t="s">
        <v>821</v>
      </c>
      <c r="Q199" s="4"/>
      <c r="R199" s="4"/>
      <c r="S199" s="4"/>
      <c r="T199" s="4"/>
      <c r="U199" s="4"/>
      <c r="V199" s="5"/>
      <c r="W199" s="4"/>
      <c r="X199" s="4"/>
      <c r="Y199" s="6"/>
    </row>
    <row r="200" spans="1:25" ht="21" x14ac:dyDescent="0.25">
      <c r="A200" s="77">
        <v>198</v>
      </c>
      <c r="B200" s="4">
        <v>3779637797</v>
      </c>
      <c r="C200" s="4"/>
      <c r="D200" s="4"/>
      <c r="E200" s="4" t="s">
        <v>324</v>
      </c>
      <c r="F200" s="4" t="s">
        <v>615</v>
      </c>
      <c r="G200" s="12" t="s">
        <v>817</v>
      </c>
      <c r="H200" s="12" t="s">
        <v>817</v>
      </c>
      <c r="I200" s="87" t="s">
        <v>834</v>
      </c>
      <c r="J200" s="4"/>
      <c r="K200" s="4" t="s">
        <v>836</v>
      </c>
      <c r="L200" s="22">
        <v>200</v>
      </c>
      <c r="M200" s="4" t="s">
        <v>30</v>
      </c>
      <c r="N200" s="26">
        <f>Table134[[#This Row],[QTY
RECIVED]]-Table134[[#This Row],[QTY 
ISSUED]]</f>
        <v>200</v>
      </c>
      <c r="O200" s="61">
        <v>1</v>
      </c>
      <c r="P200" s="4" t="s">
        <v>835</v>
      </c>
      <c r="Q200" s="4"/>
      <c r="R200" s="4"/>
      <c r="S200" s="4"/>
      <c r="T200" s="4"/>
      <c r="U200" s="4"/>
      <c r="V200" s="5"/>
      <c r="W200" s="4"/>
      <c r="X200" s="4"/>
      <c r="Y200" s="4"/>
    </row>
    <row r="201" spans="1:25" ht="21" x14ac:dyDescent="0.25">
      <c r="A201" s="77">
        <v>199</v>
      </c>
      <c r="B201" s="4">
        <v>3779637797</v>
      </c>
      <c r="C201" s="4"/>
      <c r="D201" s="4">
        <v>9961641112</v>
      </c>
      <c r="E201" s="4" t="s">
        <v>324</v>
      </c>
      <c r="F201" s="4" t="s">
        <v>615</v>
      </c>
      <c r="G201" s="12" t="s">
        <v>817</v>
      </c>
      <c r="H201" s="12" t="s">
        <v>817</v>
      </c>
      <c r="I201" s="87" t="s">
        <v>617</v>
      </c>
      <c r="J201" s="4"/>
      <c r="K201" s="4" t="s">
        <v>837</v>
      </c>
      <c r="L201" s="22">
        <v>16000</v>
      </c>
      <c r="M201" s="4" t="s">
        <v>30</v>
      </c>
      <c r="N201" s="26">
        <f>Table134[[#This Row],[QTY
RECIVED]]-Table134[[#This Row],[QTY 
ISSUED]]</f>
        <v>16000</v>
      </c>
      <c r="O201" s="61">
        <v>64</v>
      </c>
      <c r="P201" s="4" t="s">
        <v>835</v>
      </c>
      <c r="Q201" s="4"/>
      <c r="R201" s="4"/>
      <c r="S201" s="4"/>
      <c r="T201" s="4"/>
      <c r="U201" s="4"/>
      <c r="V201" s="5"/>
      <c r="W201" s="4"/>
      <c r="X201" s="4"/>
      <c r="Y201" s="4"/>
    </row>
    <row r="202" spans="1:25" ht="21" x14ac:dyDescent="0.25">
      <c r="A202" s="77">
        <v>200</v>
      </c>
      <c r="B202" s="4">
        <v>3779637797</v>
      </c>
      <c r="C202" s="4"/>
      <c r="D202" s="4">
        <v>9989008912</v>
      </c>
      <c r="E202" s="4" t="s">
        <v>324</v>
      </c>
      <c r="F202" s="4" t="s">
        <v>615</v>
      </c>
      <c r="G202" s="12" t="s">
        <v>817</v>
      </c>
      <c r="H202" s="12" t="s">
        <v>817</v>
      </c>
      <c r="I202" s="88" t="s">
        <v>221</v>
      </c>
      <c r="J202" s="4"/>
      <c r="K202" s="4" t="s">
        <v>838</v>
      </c>
      <c r="L202" s="22">
        <v>6000</v>
      </c>
      <c r="M202" s="4" t="s">
        <v>30</v>
      </c>
      <c r="N202" s="26">
        <f>Table134[[#This Row],[QTY
RECIVED]]-Table134[[#This Row],[QTY 
ISSUED]]</f>
        <v>6000</v>
      </c>
      <c r="O202" s="61">
        <v>24</v>
      </c>
      <c r="P202" s="4" t="s">
        <v>835</v>
      </c>
      <c r="Q202" s="4"/>
      <c r="R202" s="4"/>
      <c r="S202" s="4"/>
      <c r="T202" s="4"/>
      <c r="U202" s="4"/>
      <c r="V202" s="5"/>
      <c r="W202" s="4"/>
      <c r="X202" s="4"/>
      <c r="Y202" s="4"/>
    </row>
    <row r="203" spans="1:25" x14ac:dyDescent="0.25">
      <c r="G203" s="1" t="s">
        <v>528</v>
      </c>
    </row>
    <row r="205" spans="1:25" x14ac:dyDescent="0.25">
      <c r="G205" s="1" t="s">
        <v>528</v>
      </c>
    </row>
  </sheetData>
  <mergeCells count="5">
    <mergeCell ref="A1:U1"/>
    <mergeCell ref="A2:K2"/>
    <mergeCell ref="L2:O2"/>
    <mergeCell ref="Q2:U2"/>
    <mergeCell ref="V2:Y2"/>
  </mergeCells>
  <conditionalFormatting sqref="N6">
    <cfRule type="cellIs" dxfId="53" priority="21" operator="lessThan">
      <formula>12</formula>
    </cfRule>
  </conditionalFormatting>
  <conditionalFormatting sqref="N9">
    <cfRule type="cellIs" dxfId="52" priority="20" operator="lessThan">
      <formula>45</formula>
    </cfRule>
  </conditionalFormatting>
  <conditionalFormatting sqref="N10">
    <cfRule type="cellIs" dxfId="51" priority="24" operator="lessThan">
      <formula>50</formula>
    </cfRule>
  </conditionalFormatting>
  <conditionalFormatting sqref="N12">
    <cfRule type="cellIs" dxfId="50" priority="22" operator="lessThan">
      <formula>50</formula>
    </cfRule>
  </conditionalFormatting>
  <conditionalFormatting sqref="N13">
    <cfRule type="cellIs" dxfId="49" priority="19" operator="lessThan">
      <formula>45</formula>
    </cfRule>
  </conditionalFormatting>
  <conditionalFormatting sqref="N14">
    <cfRule type="cellIs" dxfId="48" priority="18" operator="lessThan">
      <formula>416</formula>
    </cfRule>
  </conditionalFormatting>
  <conditionalFormatting sqref="N15">
    <cfRule type="cellIs" dxfId="47" priority="17" operator="lessThan">
      <formula>832</formula>
    </cfRule>
  </conditionalFormatting>
  <conditionalFormatting sqref="N16">
    <cfRule type="cellIs" dxfId="46" priority="16" operator="lessThan">
      <formula>416</formula>
    </cfRule>
  </conditionalFormatting>
  <conditionalFormatting sqref="N17">
    <cfRule type="cellIs" dxfId="45" priority="15" operator="lessThan">
      <formula>208</formula>
    </cfRule>
  </conditionalFormatting>
  <conditionalFormatting sqref="N20">
    <cfRule type="cellIs" dxfId="44" priority="14" operator="lessThan">
      <formula>110</formula>
    </cfRule>
  </conditionalFormatting>
  <conditionalFormatting sqref="N21">
    <cfRule type="cellIs" dxfId="43" priority="13" operator="lessThan">
      <formula>45</formula>
    </cfRule>
  </conditionalFormatting>
  <conditionalFormatting sqref="N24">
    <cfRule type="cellIs" dxfId="42" priority="12" operator="lessThan">
      <formula>110</formula>
    </cfRule>
  </conditionalFormatting>
  <conditionalFormatting sqref="N35:N36 N73">
    <cfRule type="cellIs" dxfId="41" priority="23" operator="lessThan">
      <formula>416</formula>
    </cfRule>
  </conditionalFormatting>
  <conditionalFormatting sqref="N74">
    <cfRule type="cellIs" dxfId="40" priority="11" operator="lessThan">
      <formula>110</formula>
    </cfRule>
  </conditionalFormatting>
  <conditionalFormatting sqref="N114">
    <cfRule type="cellIs" dxfId="39" priority="10" operator="lessThan">
      <formula>624</formula>
    </cfRule>
  </conditionalFormatting>
  <conditionalFormatting sqref="N137">
    <cfRule type="cellIs" dxfId="38" priority="9" operator="lessThan">
      <formula>208</formula>
    </cfRule>
  </conditionalFormatting>
  <conditionalFormatting sqref="N139">
    <cfRule type="cellIs" dxfId="37" priority="8" operator="lessThan">
      <formula>832</formula>
    </cfRule>
  </conditionalFormatting>
  <conditionalFormatting sqref="N140">
    <cfRule type="cellIs" dxfId="36" priority="7" operator="lessThan">
      <formula>6240</formula>
    </cfRule>
  </conditionalFormatting>
  <conditionalFormatting sqref="N161">
    <cfRule type="cellIs" dxfId="35" priority="6" operator="lessThan">
      <formula>624</formula>
    </cfRule>
  </conditionalFormatting>
  <conditionalFormatting sqref="N170">
    <cfRule type="cellIs" dxfId="34" priority="5" operator="lessThan">
      <formula>1040</formula>
    </cfRule>
  </conditionalFormatting>
  <conditionalFormatting sqref="N176">
    <cfRule type="cellIs" dxfId="33" priority="4" operator="lessThan">
      <formula>110</formula>
    </cfRule>
  </conditionalFormatting>
  <conditionalFormatting sqref="N179">
    <cfRule type="cellIs" dxfId="32" priority="2" operator="lessThan">
      <formula>4161</formula>
    </cfRule>
    <cfRule type="cellIs" dxfId="31" priority="3" operator="lessThan">
      <formula>4159</formula>
    </cfRule>
  </conditionalFormatting>
  <conditionalFormatting sqref="N193:N194">
    <cfRule type="cellIs" dxfId="30" priority="1" operator="lessThan">
      <formula>208</formula>
    </cfRule>
  </conditionalFormatting>
  <printOptions horizontalCentered="1"/>
  <pageMargins left="0" right="0" top="0" bottom="0" header="0.3" footer="0.3"/>
  <pageSetup scale="41" fitToHeight="0" orientation="landscape" r:id="rId1"/>
  <drawing r:id="rId2"/>
  <legacy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0F5A44-5073-4819-B30F-70045AA37B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9</vt:i4>
      </vt:variant>
    </vt:vector>
  </HeadingPairs>
  <TitlesOfParts>
    <vt:vector size="16" baseType="lpstr">
      <vt:lpstr>Oil </vt:lpstr>
      <vt:lpstr>Chemical</vt:lpstr>
      <vt:lpstr>Bagging</vt:lpstr>
      <vt:lpstr>Grease</vt:lpstr>
      <vt:lpstr>Safety</vt:lpstr>
      <vt:lpstr>MAX&amp;MIN Pivot oil </vt:lpstr>
      <vt:lpstr>original data base</vt:lpstr>
      <vt:lpstr>Bagging!Print_Area</vt:lpstr>
      <vt:lpstr>Chemical!Print_Area</vt:lpstr>
      <vt:lpstr>'MAX&amp;MIN Pivot oil '!Print_Area</vt:lpstr>
      <vt:lpstr>'Oil '!Print_Area</vt:lpstr>
      <vt:lpstr>'original data base'!Print_Area</vt:lpstr>
      <vt:lpstr>Bagging!Print_Titles</vt:lpstr>
      <vt:lpstr>Chemical!Print_Titles</vt:lpstr>
      <vt:lpstr>'Oil '!Print_Titles</vt:lpstr>
      <vt:lpstr>'original data base'!Print_Titles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صفدر حسینی راد</dc:creator>
  <cp:lastModifiedBy>علیرضا همایونی</cp:lastModifiedBy>
  <cp:lastPrinted>2026-02-22T06:50:53Z</cp:lastPrinted>
  <dcterms:created xsi:type="dcterms:W3CDTF">2015-06-05T18:17:20Z</dcterms:created>
  <dcterms:modified xsi:type="dcterms:W3CDTF">2026-05-27T13:02:39Z</dcterms:modified>
</cp:coreProperties>
</file>