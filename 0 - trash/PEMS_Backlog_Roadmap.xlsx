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ad Me" sheetId="2" state="visible" r:id="rId2"/>
    <sheet xmlns:r="http://schemas.openxmlformats.org/officeDocument/2006/relationships" name="Instructions" sheetId="3" state="visible" r:id="rId3"/>
    <sheet xmlns:r="http://schemas.openxmlformats.org/officeDocument/2006/relationships" name="Backlog" sheetId="4" state="visible" r:id="rId4"/>
    <sheet xmlns:r="http://schemas.openxmlformats.org/officeDocument/2006/relationships" name="Test Plan" sheetId="5" state="visible" r:id="rId5"/>
    <sheet xmlns:r="http://schemas.openxmlformats.org/officeDocument/2006/relationships" name="Roadmap" sheetId="6" state="visible" r:id="rId6"/>
    <sheet xmlns:r="http://schemas.openxmlformats.org/officeDocument/2006/relationships" name="Sprint 1" sheetId="7" state="visible" r:id="rId7"/>
    <sheet xmlns:r="http://schemas.openxmlformats.org/officeDocument/2006/relationships" name="Licensing Design" sheetId="8" state="visible" r:id="rId8"/>
    <sheet xmlns:r="http://schemas.openxmlformats.org/officeDocument/2006/relationships" name="Capability Checklist" sheetId="9" state="visible" r:id="rId9"/>
    <sheet xmlns:r="http://schemas.openxmlformats.org/officeDocument/2006/relationships" name="Lessons" sheetId="10" state="visible" r:id="rId10"/>
    <sheet xmlns:r="http://schemas.openxmlformats.org/officeDocument/2006/relationships" name="Supportability Matrix" sheetId="11" state="visible" r:id="rId11"/>
    <sheet xmlns:r="http://schemas.openxmlformats.org/officeDocument/2006/relationships" name="Old to New Map" sheetId="12" state="visible" r:id="rId12"/>
    <sheet xmlns:r="http://schemas.openxmlformats.org/officeDocument/2006/relationships" name="Summary" sheetId="13" state="visible" r:id="rId13"/>
  </sheets>
  <definedNames>
    <definedName name="_xlnm._FilterDatabase" localSheetId="3" hidden="1">'Backlog'!$A$1:$U$350</definedName>
    <definedName name="_xlnm._FilterDatabase" localSheetId="4" hidden="1">'Test Plan'!$A$1:$H$34</definedName>
    <definedName name="_xlnm._FilterDatabase" localSheetId="5" hidden="1">'Roadmap'!$A$1:$F$8</definedName>
    <definedName name="_xlnm._FilterDatabase" localSheetId="8" hidden="1">'Capability Checklist'!$A$1:$H$37</definedName>
    <definedName name="_xlnm._FilterDatabase" localSheetId="9" hidden="1">'Lessons'!$A$10:$E$39</definedName>
    <definedName name="_xlnm._FilterDatabase" localSheetId="10" hidden="1">'Supportability Matrix'!$A$4:$I$36</definedName>
    <definedName name="_xlnm._FilterDatabase" localSheetId="11" hidden="1">'Old to New Map'!$A$1:$H$131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4"/>
    </font>
    <font>
      <name val="Calibri"/>
      <sz val="10"/>
    </font>
    <font>
      <name val="Calibri"/>
      <b val="1"/>
      <color rgb="001F4E78"/>
      <sz val="11"/>
    </font>
    <font>
      <name val="Calibri"/>
      <b val="1"/>
      <color rgb="00FFFFFF"/>
      <sz val="11"/>
    </font>
    <font>
      <name val="Calibri"/>
      <b val="1"/>
      <sz val="10"/>
    </font>
  </fonts>
  <fills count="3">
    <fill>
      <patternFill/>
    </fill>
    <fill>
      <patternFill patternType="gray125"/>
    </fill>
    <fill>
      <patternFill patternType="solid">
        <fgColor rgb="001F4E7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top" wrapText="1"/>
    </xf>
    <xf numFmtId="0" fontId="2" fillId="0" borderId="1" applyAlignment="1" pivotButton="0" quotePrefix="0" xfId="0">
      <alignment horizontal="left" vertical="top" wrapText="1"/>
    </xf>
    <xf numFmtId="0" fontId="4" fillId="2" borderId="0" applyAlignment="1" pivotButton="0" quotePrefix="0" xfId="0">
      <alignment horizontal="center" vertical="top" wrapText="1"/>
    </xf>
    <xf numFmtId="0" fontId="2" fillId="0" borderId="1" applyAlignment="1" pivotButton="0" quotePrefix="0" xfId="0">
      <alignment horizontal="center" vertical="top" wrapText="1"/>
    </xf>
    <xf numFmtId="0" fontId="5" fillId="0" borderId="1" applyAlignment="1" pivotButton="0" quotePrefix="0" xfId="0">
      <alignment horizontal="left" vertical="top" wrapText="1"/>
    </xf>
    <xf numFmtId="0" fontId="0" fillId="0" borderId="0" applyAlignment="1" pivotButton="0" quotePrefix="0" xfId="0">
      <alignment horizontal="center" vertical="top" wrapText="1"/>
    </xf>
    <xf numFmtId="0" fontId="5" fillId="0" borderId="0" pivotButton="0" quotePrefix="0" xfId="0"/>
    <xf numFmtId="0" fontId="5" fillId="0" borderId="0"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dxfs count="9">
    <dxf>
      <fill>
        <patternFill patternType="solid">
          <bgColor rgb="00C6EFCE"/>
        </patternFill>
      </fill>
    </dxf>
    <dxf>
      <fill>
        <patternFill patternType="solid">
          <bgColor rgb="00FFEB9C"/>
        </patternFill>
      </fill>
    </dxf>
    <dxf>
      <fill>
        <patternFill patternType="solid">
          <bgColor rgb="00BDD7EE"/>
        </patternFill>
      </fill>
    </dxf>
    <dxf>
      <fill>
        <patternFill patternType="solid">
          <bgColor rgb="00FCE4D6"/>
        </patternFill>
      </fill>
    </dxf>
    <dxf>
      <fill>
        <patternFill patternType="solid">
          <bgColor rgb="00E4DFEC"/>
        </patternFill>
      </fill>
    </dxf>
    <dxf>
      <fill>
        <patternFill patternType="solid">
          <bgColor rgb="00D9D9D9"/>
        </patternFill>
      </fill>
    </dxf>
    <dxf>
      <font>
        <name val="Calibri"/>
        <b val="1"/>
        <color rgb="00C00000"/>
      </font>
    </dxf>
    <dxf>
      <font>
        <name val="Calibri"/>
        <b val="1"/>
        <color rgb="00C55A11"/>
      </font>
    </dxf>
    <dxf>
      <font>
        <name val="Calibri"/>
        <b val="1"/>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20" customWidth="1" min="1" max="1"/>
  </cols>
  <sheetData>
    <row r="1">
      <c r="A1" s="1" t="inlineStr">
        <is>
          <t>PEMS - Platform Overview</t>
        </is>
      </c>
    </row>
    <row r="3">
      <c r="A3" s="2" t="inlineStr">
        <is>
          <t>Read this sheet first, before Read Me / Instructions / Backlog, in any new session. It is the fastest orientation to what PEMS is, where it is going and how work is done here. Update it whenever something it describes goes stale (not only Instructions/Memory).</t>
        </is>
      </c>
    </row>
    <row r="5">
      <c r="A5" s="3" t="inlineStr">
        <is>
          <t>What PEMS is</t>
        </is>
      </c>
    </row>
    <row r="6">
      <c r="A6" s="2" t="inlineStr">
        <is>
          <t>PEMS is an enterprise .NET system (ASP.NET Core MVC/Razor + EF Core 10 + SQL Server) for engineering and maintenance management in the oil and petrochemical industry: EDMS/VDR, CMMS/EAM, permit to work (PTW), inventory, production, reliability and local AI (Ollama/OCR). Today it is a set of fixed modules (98 controllers, 91 View folders, 116 migrations, 1,403 tests). PEMS is a brand-new product whose long-term aim is to become the single platform for its customers' engineering and maintenance processes.</t>
        </is>
      </c>
    </row>
    <row r="8">
      <c r="A8" s="3" t="inlineStr">
        <is>
          <t>New direction: from fixed software to a dynamic BPMS</t>
        </is>
      </c>
    </row>
    <row r="9">
      <c r="A9" s="2" t="inlineStr">
        <is>
          <t>Forms, modules and workflows must be fully creatable and editable by authorized users, with no coding and no build/deploy. Today's fixed modules are progressively converted into metadata definitions (strangler pattern, backlog area MIG) and specialized parts (AI, OCR, EDMS revision engine, reliability) stay as Domain Packs with extension points. Shared engines: metadata registry, form, workflow, rules, access/RLS, events, reporting.</t>
        </is>
      </c>
    </row>
    <row r="11">
      <c r="A11" s="3" t="inlineStr">
        <is>
          <t>Commercial model</t>
        </is>
      </c>
    </row>
    <row r="12">
      <c r="A12" s="2" t="inlineStr">
        <is>
          <t>For now, an on-prem licence locked to the machine and the install time: even if a whole machine is imaged and deployed elsewhere it must not work. Process: a request file from the customer server, returned to the vendor, a signed licence file issued, installed. Licence types: lifetime, term (a time period), trial, demo. Details in the Licensing Design sheet and the LIC area. The product never calls out (production has no internet); the website and the demo are the only online parts.</t>
        </is>
      </c>
    </row>
    <row r="14">
      <c r="A14" s="3" t="inlineStr">
        <is>
          <t>Prioritization rule of this backlog</t>
        </is>
      </c>
    </row>
    <row r="15">
      <c r="A15" s="2" t="inlineStr">
        <is>
          <t>Priority is set by 'ability to sell' and 'dynamic core': P0 = without it nothing can be sold or the dynamic platform cannot form (foundation decisions, metadata, grid/form, licensing, RLS, demo, install); P1 = needed for commercial release 1.0; P2 = competitive/next stage; P3 = later. The legacy domain backlog (CMMS/EDMS etc.) matters but stays behind sales and dynamicization work unless it blocks them.</t>
        </is>
      </c>
    </row>
    <row r="17">
      <c r="A17" s="3" t="inlineStr">
        <is>
          <t>Current state (estimated from code, no build executed)</t>
        </is>
      </c>
    </row>
    <row r="18">
      <c r="A18" s="2" t="inlineStr">
        <is>
          <t>Strengths: domain breadth, modern authentication (Identity + FIDO2), a central access model, a workflow runtime, local AI. Main gaps: no App/Entity/Form registry and no form builder; no workflow studio; no licensing and no installer; no server-side session registry; no Jalali UI; default culture is en. No build/test has been run (row F_BASE). Database creation, install and update are fully code-first (migrator + Admin Database Update page, 2026-10-22).</t>
        </is>
      </c>
    </row>
    <row r="20">
      <c r="A20" s="3" t="inlineStr">
        <is>
          <t>Development strategy</t>
        </is>
      </c>
    </row>
    <row r="21">
      <c r="A21" s="2" t="inlineStr">
        <is>
          <t>Plan-file-driven: this workbook is the single source of truth for task status and is updated within each task. First scope, then update the plan, then design with a library-first, best-practice approach, then implement. Go forward, not backward-compatible; applied migrations are never edited. Marketing claims cover only what is Done and tested in the Backlog.</t>
        </is>
      </c>
    </row>
    <row r="23">
      <c r="A23" s="3" t="inlineStr">
        <is>
          <t>Where to go next</t>
        </is>
      </c>
    </row>
    <row r="24">
      <c r="A24" s="2" t="inlineStr">
        <is>
          <t>'Is X done / status of Y?' -&gt; Backlog (Evidence column). 'What is next?' -&gt; Roadmap. 'Which rules always apply?' -&gt; Instructions. 'What do we know from earlier platforms?' -&gt; Lessons. 'Which capabilities must PEMS offer?' -&gt; Capability Checklist. 'How does licensing work?' -&gt; Licensing Design. 'What is supported and up to which limits?' -&gt; Supportability Matrix. 'What happened to an old task?' -&gt; Old to New Map.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showGridLines="0" workbookViewId="0">
      <selection activeCell="A1" sqref="A1"/>
    </sheetView>
  </sheetViews>
  <sheetFormatPr baseColWidth="8" defaultRowHeight="15"/>
  <cols>
    <col width="34" customWidth="1" min="1" max="1"/>
    <col width="110" customWidth="1" min="2" max="2"/>
  </cols>
  <sheetData>
    <row r="1">
      <c r="A1" s="4" t="inlineStr">
        <is>
          <t>PEMS - Backlog &amp; Roadmap (rebuilt edition)</t>
        </is>
      </c>
    </row>
    <row r="2">
      <c r="A2" s="5" t="inlineStr">
        <is>
          <t>Created 2026-10-15 from the static PEMS audit plus lessons and capabilities of a reference platform. The filename is deliberately date-free and the file is updated in place.</t>
        </is>
      </c>
    </row>
    <row r="4">
      <c r="A4" s="6" t="inlineStr">
        <is>
          <t>Sheets</t>
        </is>
      </c>
    </row>
    <row r="5">
      <c r="A5" s="7" t="inlineStr">
        <is>
          <t>Sheet</t>
        </is>
      </c>
      <c r="B5" s="7" t="inlineStr">
        <is>
          <t>Purpose</t>
        </is>
      </c>
    </row>
    <row r="6">
      <c r="A6" s="8" t="inlineStr">
        <is>
          <t>Overview</t>
        </is>
      </c>
      <c r="B6" s="8" t="inlineStr">
        <is>
          <t>Orientation - read first.</t>
        </is>
      </c>
    </row>
    <row r="7">
      <c r="A7" s="8" t="inlineStr">
        <is>
          <t>Read Me</t>
        </is>
      </c>
      <c r="B7" s="8" t="inlineStr">
        <is>
          <t>This sheet: column guide, statuses, priorities.</t>
        </is>
      </c>
    </row>
    <row r="8">
      <c r="A8" s="8" t="inlineStr">
        <is>
          <t>Instructions</t>
        </is>
      </c>
      <c r="B8" s="8" t="inlineStr">
        <is>
          <t>Standing rules applied in every task.</t>
        </is>
      </c>
    </row>
    <row r="9">
      <c r="A9" s="8" t="inlineStr">
        <is>
          <t>Backlog</t>
        </is>
      </c>
      <c r="B9" s="8" t="inlineStr">
        <is>
          <t>The unified task list (source of truth).</t>
        </is>
      </c>
    </row>
    <row r="10">
      <c r="A10" s="8" t="inlineStr">
        <is>
          <t>Test Plan</t>
        </is>
      </c>
      <c r="B10" s="8" t="inlineStr">
        <is>
          <t>QA cases for Done rows and for P0 rows after implementation.</t>
        </is>
      </c>
    </row>
    <row r="11">
      <c r="A11" s="8" t="inlineStr">
        <is>
          <t>Roadmap</t>
        </is>
      </c>
      <c r="B11" s="8" t="inlineStr">
        <is>
          <t>Milestones and execution order.</t>
        </is>
      </c>
    </row>
    <row r="12">
      <c r="A12" s="8" t="inlineStr">
        <is>
          <t>Supportability Matrix</t>
        </is>
      </c>
      <c r="B12" s="8" t="inlineStr">
        <is>
          <t>What is supported (capabilities, limits, platforms, versions) - updated in every finished task.</t>
        </is>
      </c>
    </row>
    <row r="13">
      <c r="A13" s="8" t="inlineStr">
        <is>
          <t>Licensing Design</t>
        </is>
      </c>
      <c r="B13" s="8" t="inlineStr">
        <is>
          <t>Machine/install-locked licensing design and threat table.</t>
        </is>
      </c>
    </row>
    <row r="14">
      <c r="A14" s="8" t="inlineStr">
        <is>
          <t>Capability Checklist</t>
        </is>
      </c>
      <c r="B14" s="8" t="inlineStr">
        <is>
          <t>Capabilities PEMS must offer, sourced from the reference platform.</t>
        </is>
      </c>
    </row>
    <row r="15">
      <c r="A15" s="8" t="inlineStr">
        <is>
          <t>Lessons</t>
        </is>
      </c>
      <c r="B15" s="8" t="inlineStr">
        <is>
          <t>Durable lessons and facts (reference platform and PEMS).</t>
        </is>
      </c>
    </row>
    <row r="16">
      <c r="A16" s="8" t="inlineStr">
        <is>
          <t>Old to New Map</t>
        </is>
      </c>
      <c r="B16" s="8" t="inlineStr">
        <is>
          <t>Mapping of every old backlog row to the new rows.</t>
        </is>
      </c>
    </row>
    <row r="17">
      <c r="A17" s="8" t="inlineStr">
        <is>
          <t>Summary</t>
        </is>
      </c>
      <c r="B17" s="8" t="inlineStr">
        <is>
          <t>Automatic counts (formulas) over the Backlog.</t>
        </is>
      </c>
    </row>
    <row r="19">
      <c r="A19" s="6" t="inlineStr">
        <is>
          <t>Backlog columns</t>
        </is>
      </c>
    </row>
    <row r="20">
      <c r="A20" s="7" t="inlineStr">
        <is>
          <t>Column</t>
        </is>
      </c>
      <c r="B20" s="7" t="inlineStr">
        <is>
          <t>Meaning</t>
        </is>
      </c>
    </row>
    <row r="21">
      <c r="A21" s="8" t="inlineStr">
        <is>
          <t>#</t>
        </is>
      </c>
      <c r="B21" s="8" t="inlineStr">
        <is>
          <t>Permanent number; never reused.</t>
        </is>
      </c>
    </row>
    <row r="22">
      <c r="A22" s="8" t="inlineStr">
        <is>
          <t>Doer</t>
        </is>
      </c>
      <c r="B22" s="8" t="inlineStr">
        <is>
          <t>Claude = doable in a code session; User = decision or legal/commercial/operational work of the owner.</t>
        </is>
      </c>
    </row>
    <row r="23">
      <c r="A23" s="8" t="inlineStr">
        <is>
          <t>Area</t>
        </is>
      </c>
      <c r="B23" s="8" t="inlineStr">
        <is>
          <t>Work area.</t>
        </is>
      </c>
    </row>
    <row r="24">
      <c r="A24" s="8" t="inlineStr">
        <is>
          <t>Track</t>
        </is>
      </c>
      <c r="B24" s="8" t="inlineStr">
        <is>
          <t>Feature, Bug Fix, Tech Debt, Decision Needed, Library Modernization, Research, Docs, Legal/Business, Ops Process.</t>
        </is>
      </c>
    </row>
    <row r="25">
      <c r="A25" s="8" t="inlineStr">
        <is>
          <t>Status</t>
        </is>
      </c>
      <c r="B25" s="8" t="inlineStr">
        <is>
          <t>Not Started, In Progress, Partial, Done, Hold (decided but paused by the PM until released), Later (deliberately deferred, kept in the backlog), Cancelled, Obsolete. Done only with evidence.</t>
        </is>
      </c>
    </row>
    <row r="26">
      <c r="A26" s="8" t="inlineStr">
        <is>
          <t>Confirmed by PM</t>
        </is>
      </c>
      <c r="B26" s="8" t="inlineStr">
        <is>
          <t>Yes when the owner/PM has reviewed and confirmed the row (its scope, priority and milestone); No until then. Only the PM sets this flag; automated updates of this file preserve what the PM entered.</t>
        </is>
      </c>
    </row>
    <row r="27">
      <c r="A27" s="8" t="inlineStr">
        <is>
          <t>Sprint</t>
        </is>
      </c>
      <c r="B27" s="8" t="inlineStr">
        <is>
          <t>Sprint the row is planned in (Sprint 1, Sprint 1 stretch); empty = backlog. The Sprint 1 sheet has goal, capacity and the committed list.</t>
        </is>
      </c>
    </row>
    <row r="28">
      <c r="A28" s="8" t="inlineStr">
        <is>
          <t>Owner</t>
        </is>
      </c>
      <c r="B28" s="8" t="inlineStr">
        <is>
          <t>Accountable person for the row in a sprint (Member A / Member B until names are mapped); the doer may still be the assistant.</t>
        </is>
      </c>
    </row>
    <row r="29">
      <c r="A29" s="8" t="inlineStr">
        <is>
          <t>Group</t>
        </is>
      </c>
      <c r="B29" s="8" t="inlineStr">
        <is>
          <t>Related tasks grouped into one workstream; filter on this column to see and decide a whole group together.</t>
        </is>
      </c>
    </row>
    <row r="30">
      <c r="A30" s="8" t="inlineStr">
        <is>
          <t>Priority</t>
        </is>
      </c>
      <c r="B30" s="8" t="inlineStr">
        <is>
          <t>P0 sales blocker/dynamic core, P1 needed for commercial 1.0, P2 competitive, P3 later.</t>
        </is>
      </c>
    </row>
    <row r="31">
      <c r="A31" s="8" t="inlineStr">
        <is>
          <t>Evidence</t>
        </is>
      </c>
      <c r="B31" s="8" t="inlineStr">
        <is>
          <t>What was seen in code/documents today (or a known pitfall).</t>
        </is>
      </c>
    </row>
    <row r="32">
      <c r="A32" s="8" t="inlineStr">
        <is>
          <t>Prompt</t>
        </is>
      </c>
      <c r="B32" s="8" t="inlineStr">
        <is>
          <t>An executable instruction for one session.</t>
        </is>
      </c>
    </row>
    <row r="33">
      <c r="A33" s="8" t="inlineStr">
        <is>
          <t>Requirement</t>
        </is>
      </c>
      <c r="B33" s="8" t="inlineStr">
        <is>
          <t>A testable acceptance criterion.</t>
        </is>
      </c>
    </row>
    <row r="34">
      <c r="A34" s="8" t="inlineStr">
        <is>
          <t>Report</t>
        </is>
      </c>
      <c r="B34" s="8" t="inlineStr">
        <is>
          <t>After completion: the commit message and version (Instructions rule 7).</t>
        </is>
      </c>
    </row>
    <row r="35">
      <c r="A35" s="8" t="inlineStr">
        <is>
          <t>Milestone</t>
        </is>
      </c>
      <c r="B35" s="8" t="inlineStr">
        <is>
          <t>M0...M6 per Roadmap.</t>
        </is>
      </c>
    </row>
    <row r="36">
      <c r="A36" s="8" t="inlineStr">
        <is>
          <t>Effort</t>
        </is>
      </c>
      <c r="B36" s="8" t="inlineStr">
        <is>
          <t>S up to 1 day, M about 1 week, L about 2-3 weeks, XL over 3 weeks (first estimate).</t>
        </is>
      </c>
    </row>
    <row r="37">
      <c r="A37" s="8" t="inlineStr">
        <is>
          <t>Commercial</t>
        </is>
      </c>
      <c r="B37" s="8" t="inlineStr">
        <is>
          <t>Commercial impact: Sales blocker, High, Medium, Low.</t>
        </is>
      </c>
    </row>
    <row r="38">
      <c r="A38" s="8" t="inlineStr">
        <is>
          <t>Depends</t>
        </is>
      </c>
      <c r="B38" s="8" t="inlineStr">
        <is>
          <t>Dependencies by row number (#).</t>
        </is>
      </c>
    </row>
    <row r="39">
      <c r="A39" s="8" t="inlineStr">
        <is>
          <t>Reference (Titan)</t>
        </is>
      </c>
      <c r="B39" s="8" t="inlineStr">
        <is>
          <t>Related row number in the reference platform's backlog (Titan); shown as # numbers.</t>
        </is>
      </c>
    </row>
    <row r="40">
      <c r="A40" s="8" t="inlineStr">
        <is>
          <t>Old Ref</t>
        </is>
      </c>
      <c r="B40" s="8" t="inlineStr">
        <is>
          <t>Related row in the old audit (OLD-n) or OLD-Dn for existing capabilities.</t>
        </is>
      </c>
    </row>
    <row r="42">
      <c r="A42" s="6" t="inlineStr">
        <is>
          <t>Components and versions (bill of materials)</t>
        </is>
      </c>
    </row>
    <row r="43">
      <c r="A43" s="7" t="inlineStr">
        <is>
          <t>Component</t>
        </is>
      </c>
      <c r="B43" s="7" t="inlineStr">
        <is>
          <t>Version / status</t>
        </is>
      </c>
    </row>
    <row r="44">
      <c r="A44" s="8" t="inlineStr">
        <is>
          <t>PEMS (system)</t>
        </is>
      </c>
      <c r="B44" s="8" t="inlineStr">
        <is>
          <t>No official version defined - action: F_CI</t>
        </is>
      </c>
    </row>
    <row r="45">
      <c r="A45" s="8" t="inlineStr">
        <is>
          <t>PEMS.Web / Application / Domain / Persistence / WorkflowPlatform / AI</t>
        </is>
      </c>
      <c r="B45" s="8" t="inlineStr">
        <is>
          <t>.NET 10 SDK, EF Core 10.0.10</t>
        </is>
      </c>
    </row>
    <row r="46">
      <c r="A46" s="8" t="inlineStr">
        <is>
          <t>Workbook</t>
        </is>
      </c>
      <c r="B46" s="8" t="inlineStr">
        <is>
          <t>1.2 - 2026-10-22 (English edition; lives in the repository at plan/PEMS_Backlog_Roadmap.xlsx)</t>
        </is>
      </c>
    </row>
    <row r="48">
      <c r="A48" s="6" t="inlineStr">
        <is>
          <t>Priorities</t>
        </is>
      </c>
    </row>
    <row r="49">
      <c r="A49" s="7" t="inlineStr">
        <is>
          <t>Priority</t>
        </is>
      </c>
      <c r="B49" s="7" t="inlineStr">
        <is>
          <t>Definition</t>
        </is>
      </c>
    </row>
    <row r="50">
      <c r="A50" s="8" t="inlineStr">
        <is>
          <t>P0</t>
        </is>
      </c>
      <c r="B50" s="8" t="inlineStr">
        <is>
          <t>Sales blocker or dynamic core - nothing proceeds without it</t>
        </is>
      </c>
    </row>
    <row r="51">
      <c r="A51" s="8" t="inlineStr">
        <is>
          <t>P1</t>
        </is>
      </c>
      <c r="B51" s="8" t="inlineStr">
        <is>
          <t>Needed for commercial release 1.0</t>
        </is>
      </c>
    </row>
    <row r="52">
      <c r="A52" s="8" t="inlineStr">
        <is>
          <t>P2</t>
        </is>
      </c>
      <c r="B52" s="8" t="inlineStr">
        <is>
          <t>Competitive / next stage</t>
        </is>
      </c>
    </row>
    <row r="53">
      <c r="A53" s="8" t="inlineStr">
        <is>
          <t>P3</t>
        </is>
      </c>
      <c r="B53" s="8" t="inlineStr">
        <is>
          <t>Later or uncertain</t>
        </is>
      </c>
    </row>
    <row r="55">
      <c r="A55" s="6" t="inlineStr">
        <is>
          <t>Areas</t>
        </is>
      </c>
    </row>
    <row r="56">
      <c r="A56" s="7" t="inlineStr">
        <is>
          <t>Area</t>
        </is>
      </c>
      <c r="B56" s="7" t="inlineStr">
        <is>
          <t>Internal code</t>
        </is>
      </c>
    </row>
    <row r="57">
      <c r="A57" s="8" t="inlineStr">
        <is>
          <t>Foundation, Architecture Decisions &amp; Baseline</t>
        </is>
      </c>
      <c r="B57" s="8" t="inlineStr">
        <is>
          <t>FND</t>
        </is>
      </c>
    </row>
    <row r="58">
      <c r="A58" s="8" t="inlineStr">
        <is>
          <t>Metadata Core &amp; Dynamic Platform</t>
        </is>
      </c>
      <c r="B58" s="8" t="inlineStr">
        <is>
          <t>DYN</t>
        </is>
      </c>
    </row>
    <row r="59">
      <c r="A59" s="8" t="inlineStr">
        <is>
          <t>Component Library &amp; Design System</t>
        </is>
      </c>
      <c r="B59" s="8" t="inlineStr">
        <is>
          <t>CMP</t>
        </is>
      </c>
    </row>
    <row r="60">
      <c r="A60" s="8" t="inlineStr">
        <is>
          <t>Dynamic Form Builder</t>
        </is>
      </c>
      <c r="B60" s="8" t="inlineStr">
        <is>
          <t>FRM</t>
        </is>
      </c>
    </row>
    <row r="61">
      <c r="A61" s="8" t="inlineStr">
        <is>
          <t>Dynamic Module Builder</t>
        </is>
      </c>
      <c r="B61" s="8" t="inlineStr">
        <is>
          <t>MOD</t>
        </is>
      </c>
    </row>
    <row r="62">
      <c r="A62" s="8" t="inlineStr">
        <is>
          <t>Workflow Studio &amp; BPMS</t>
        </is>
      </c>
      <c r="B62" s="8" t="inlineStr">
        <is>
          <t>WFL</t>
        </is>
      </c>
    </row>
    <row r="63">
      <c r="A63" s="8" t="inlineStr">
        <is>
          <t>Static-to-Dynamic Module Migration</t>
        </is>
      </c>
      <c r="B63" s="8" t="inlineStr">
        <is>
          <t>MIG</t>
        </is>
      </c>
    </row>
    <row r="64">
      <c r="A64" s="8" t="inlineStr">
        <is>
          <t>Licensing &amp; Protection</t>
        </is>
      </c>
      <c r="B64" s="8" t="inlineStr">
        <is>
          <t>LIC</t>
        </is>
      </c>
    </row>
    <row r="65">
      <c r="A65" s="8" t="inlineStr">
        <is>
          <t>Company, Brand &amp; Commercial Packaging</t>
        </is>
      </c>
      <c r="B65" s="8" t="inlineStr">
        <is>
          <t>BRD</t>
        </is>
      </c>
    </row>
    <row r="66">
      <c r="A66" s="8" t="inlineStr">
        <is>
          <t>Online Demo</t>
        </is>
      </c>
      <c r="B66" s="8" t="inlineStr">
        <is>
          <t>DEM</t>
        </is>
      </c>
    </row>
    <row r="67">
      <c r="A67" s="8" t="inlineStr">
        <is>
          <t>Commercial Website</t>
        </is>
      </c>
      <c r="B67" s="8" t="inlineStr">
        <is>
          <t>WEB</t>
        </is>
      </c>
    </row>
    <row r="68">
      <c r="A68" s="8" t="inlineStr">
        <is>
          <t>Installation, Deployment &amp; Updates</t>
        </is>
      </c>
      <c r="B68" s="8" t="inlineStr">
        <is>
          <t>INS</t>
        </is>
      </c>
    </row>
    <row r="69">
      <c r="A69" s="8" t="inlineStr">
        <is>
          <t>Access, RLS, Sessions &amp; Security</t>
        </is>
      </c>
      <c r="B69" s="8" t="inlineStr">
        <is>
          <t>SEC</t>
        </is>
      </c>
    </row>
    <row r="70">
      <c r="A70" s="8" t="inlineStr">
        <is>
          <t>Integration, Events &amp; API</t>
        </is>
      </c>
      <c r="B70" s="8" t="inlineStr">
        <is>
          <t>INT</t>
        </is>
      </c>
    </row>
    <row r="71">
      <c r="A71" s="8" t="inlineStr">
        <is>
          <t>Quality, Testing &amp; Performance</t>
        </is>
      </c>
      <c r="B71" s="8" t="inlineStr">
        <is>
          <t>QA</t>
        </is>
      </c>
    </row>
    <row r="72">
      <c r="A72" s="8" t="inlineStr">
        <is>
          <t>Persian Localization, RTL &amp; Jalali Calendar</t>
        </is>
      </c>
      <c r="B72" s="8" t="inlineStr">
        <is>
          <t>LOC</t>
        </is>
      </c>
    </row>
    <row r="73">
      <c r="A73" s="8" t="inlineStr">
        <is>
          <t>Reporting, Dashboards &amp; Export</t>
        </is>
      </c>
      <c r="B73" s="8" t="inlineStr">
        <is>
          <t>RPT</t>
        </is>
      </c>
    </row>
    <row r="74">
      <c r="A74" s="8" t="inlineStr">
        <is>
          <t>Artificial Intelligence</t>
        </is>
      </c>
      <c r="B74" s="8" t="inlineStr">
        <is>
          <t>AI</t>
        </is>
      </c>
    </row>
    <row r="75">
      <c r="A75" s="8" t="inlineStr">
        <is>
          <t>Domain: Engineering, EDMS/VDR &amp; Records</t>
        </is>
      </c>
      <c r="B75" s="8" t="inlineStr">
        <is>
          <t>EDM</t>
        </is>
      </c>
    </row>
    <row r="76">
      <c r="A76" s="8" t="inlineStr">
        <is>
          <t>Domain: CMMS/EAM &amp; Field Operations</t>
        </is>
      </c>
      <c r="B76" s="8" t="inlineStr">
        <is>
          <t>EAM</t>
        </is>
      </c>
    </row>
    <row r="77">
      <c r="A77" s="8" t="inlineStr">
        <is>
          <t>Domain: HR, Projects, Finance &amp; Procurement</t>
        </is>
      </c>
      <c r="B77" s="8" t="inlineStr">
        <is>
          <t>BIZ</t>
        </is>
      </c>
    </row>
    <row r="78">
      <c r="A78" s="8" t="inlineStr">
        <is>
          <t>Support, Operations &amp; Documentation</t>
        </is>
      </c>
      <c r="B78" s="8" t="inlineStr">
        <is>
          <t>OPS</t>
        </is>
      </c>
    </row>
    <row r="79">
      <c r="A79" s="8" t="inlineStr">
        <is>
          <t>Existing PEMS Capabilities (estimated from code)</t>
        </is>
      </c>
      <c r="B79" s="8" t="inlineStr">
        <is>
          <t>DONE</t>
        </is>
      </c>
    </row>
    <row r="80">
      <c r="A80" s="8" t="inlineStr">
        <is>
          <t>DevOps, Source Control &amp; Release Management</t>
        </is>
      </c>
      <c r="B80" s="8" t="inlineStr">
        <is>
          <t>DEV</t>
        </is>
      </c>
    </row>
    <row r="81">
      <c r="A81" s="8" t="inlineStr">
        <is>
          <t>Customer Version &amp; Deployment Management</t>
        </is>
      </c>
      <c r="B81" s="8" t="inlineStr">
        <is>
          <t>CVM</t>
        </is>
      </c>
    </row>
    <row r="82">
      <c r="A82" s="8" t="inlineStr">
        <is>
          <t>Supportability Matrix &amp; Module Versioning</t>
        </is>
      </c>
      <c r="B82" s="8" t="inlineStr">
        <is>
          <t>SUP</t>
        </is>
      </c>
    </row>
    <row r="83">
      <c r="A83" s="8" t="inlineStr">
        <is>
          <t>Main Host: Landing &amp; Demo Deployment</t>
        </is>
      </c>
      <c r="B83" s="8" t="inlineStr">
        <is>
          <t>HST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showGridLines="0" workbookViewId="0">
      <selection activeCell="A1" sqref="A1"/>
    </sheetView>
  </sheetViews>
  <sheetFormatPr baseColWidth="8" defaultRowHeight="15"/>
  <cols>
    <col width="6" customWidth="1" min="1" max="1"/>
    <col width="38" customWidth="1" min="2" max="2"/>
    <col width="120" customWidth="1" min="3" max="3"/>
  </cols>
  <sheetData>
    <row r="1">
      <c r="A1" s="4" t="inlineStr">
        <is>
          <t>Standing instructions for the PEMS project</t>
        </is>
      </c>
    </row>
    <row r="2">
      <c r="A2" s="5" t="inlineStr">
        <is>
          <t>Apply these in every task even when the request does not restate them. Keep in sync with Memory; a rule changes only with the owner's decision.</t>
        </is>
      </c>
    </row>
    <row r="4">
      <c r="A4" s="9" t="inlineStr">
        <is>
          <t>#</t>
        </is>
      </c>
      <c r="B4" s="9" t="inlineStr">
        <is>
          <t>Rule</t>
        </is>
      </c>
      <c r="C4" s="9" t="inlineStr">
        <is>
          <t>Description</t>
        </is>
      </c>
    </row>
    <row r="5">
      <c r="A5" s="10" t="n">
        <v>1</v>
      </c>
      <c r="B5" s="11" t="inlineStr">
        <is>
          <t>Offline execution</t>
        </is>
      </c>
      <c r="C5" s="8" t="inlineStr">
        <is>
          <t>Production has no internet: no CDN, external call, telemetry or online licence/update check is allowed in the product. Any new library must run fully offline and not depend on an online source at build time. (The website and demo are online parts and are separate from the product.)</t>
        </is>
      </c>
    </row>
    <row r="6">
      <c r="A6" s="10" t="n">
        <v>2</v>
      </c>
      <c r="B6" s="11" t="inlineStr">
        <is>
          <t>Library-first, with licence control</t>
        </is>
      </c>
      <c r="C6" s="8" t="inlineStr">
        <is>
          <t>Before hand-building (expression engine, grid, workflow designer, rules, scheduler, PDF/Excel) check for a mature library. For commercial sale every library licence (copyleft, revenue thresholds, mandatory watermark) must be recorded in row L_OSS; an unsuitable library is replaced. Custom code only with a stated reason.</t>
        </is>
      </c>
    </row>
    <row r="7">
      <c r="A7" s="10" t="n">
        <v>3</v>
      </c>
      <c r="B7" s="11" t="inlineStr">
        <is>
          <t>Engines once, not per module</t>
        </is>
      </c>
      <c r="C7" s="8" t="inlineStr">
        <is>
          <t>Each shared capability (metadata, forms, workflow, access/RLS, events, reporting, licensing) has exactly one implementation; modules call it. Parallel concepts are forbidden.</t>
        </is>
      </c>
    </row>
    <row r="8">
      <c r="A8" s="10" t="n">
        <v>4</v>
      </c>
      <c r="B8" s="11" t="inlineStr">
        <is>
          <t>No new static modules</t>
        </is>
      </c>
      <c r="C8" s="8" t="inlineStr">
        <is>
          <t>From now on a new module is built first as metadata (form/view/workflow). If that is impossible, record the reason and the needed extension point in an ADR. A new static module without this record is not allowed.</t>
        </is>
      </c>
    </row>
    <row r="9">
      <c r="A9" s="10" t="n">
        <v>5</v>
      </c>
      <c r="B9" s="11" t="inlineStr">
        <is>
          <t>Persian-first, English file</t>
        </is>
      </c>
      <c r="C9" s="8" t="inlineStr">
        <is>
          <t>The product default language is Persian with RTL; displayed dates are Jalali with Gregorian/UTC storage. This workbook, code identifiers and ADRs are written in English.</t>
        </is>
      </c>
    </row>
    <row r="10">
      <c r="A10" s="10" t="n">
        <v>6</v>
      </c>
      <c r="B10" s="11" t="inlineStr">
        <is>
          <t>Go forward, not backward-compatible</t>
        </is>
      </c>
      <c r="C10" s="8" t="inlineStr">
        <is>
          <t>During development applied migrations are not edited; always add a new numbered migration/seed. No backward-compatibility shim unless a live customer needs it.</t>
        </is>
      </c>
    </row>
    <row r="11">
      <c r="A11" s="10" t="n">
        <v>7</v>
      </c>
      <c r="B11" s="11" t="inlineStr">
        <is>
          <t>Task workflow</t>
        </is>
      </c>
      <c r="C11" s="8" t="inlineStr">
        <is>
          <t>Before starting set the row to In Progress; afterwards commit separately with a version bump and CHANGELOG, then update Status/Report in this file as its own commit. Message format 'vX.Y.Z: description'. Never use 'git add -A'; stage only specific files.</t>
        </is>
      </c>
    </row>
    <row r="12">
      <c r="A12" s="10" t="n">
        <v>8</v>
      </c>
      <c r="B12" s="11" t="inlineStr">
        <is>
          <t>Order of work: scope, plan, design, implement</t>
        </is>
      </c>
      <c r="C12" s="8" t="inlineStr">
        <is>
          <t>(a) Everything the user said, including later clarifications; (b) update the backlog row before designing; (c) then design library-first with best practice; (d) then implement.</t>
        </is>
      </c>
    </row>
    <row r="13">
      <c r="A13" s="10" t="n">
        <v>9</v>
      </c>
      <c r="B13" s="11" t="inlineStr">
        <is>
          <t>Three version numbers</t>
        </is>
      </c>
      <c r="C13" s="8" t="inlineStr">
        <is>
          <t>System = CalVer (YYYY.MM.PATCH); components = SemVer; editing this file does not change a version. The component table is on the Read Me sheet.</t>
        </is>
      </c>
    </row>
    <row r="14">
      <c r="A14" s="10" t="n">
        <v>10</v>
      </c>
      <c r="B14" s="11" t="inlineStr">
        <is>
          <t>Secrets and keys</t>
        </is>
      </c>
      <c r="C14" s="8" t="inlineStr">
        <is>
          <t>No real secret, key or connection string in the repo or release package. The licence-signing private key and the reset private key are created and used only on the owner computers (Hamid's and Saber's own) and are never in the repo, on a CI or shared server, or in the assistant's environment (L_KEYS).</t>
        </is>
      </c>
    </row>
    <row r="15">
      <c r="A15" s="10" t="n">
        <v>11</v>
      </c>
      <c r="B15" s="11" t="inlineStr">
        <is>
          <t>Licence active everywhere</t>
        </is>
      </c>
      <c r="C15" s="8" t="inlineStr">
        <is>
          <t>Licence checks apply in all environments (a signed dev licence); no bypass flag may reach any package. Always-free surfaces come only from an allowlist (L_FREE).</t>
        </is>
      </c>
    </row>
    <row r="16">
      <c r="A16" s="10" t="n">
        <v>12</v>
      </c>
      <c r="B16" s="11" t="inlineStr">
        <is>
          <t>Central RLS</t>
        </is>
      </c>
      <c r="C16" s="8" t="inlineStr">
        <is>
          <t>No data path (list, search, report, export, API, AI) is without the central RLS filter; direct role-based checks are not allowed.</t>
        </is>
      </c>
    </row>
    <row r="17">
      <c r="A17" s="10" t="n">
        <v>13</v>
      </c>
      <c r="B17" s="11" t="inlineStr">
        <is>
          <t>Claims only from Done</t>
        </is>
      </c>
      <c r="C17" s="8" t="inlineStr">
        <is>
          <t>Sales material, website and demo claim only Done capabilities with acceptance tests. 'Done' without evidence (file:line, commit or test) is not allowed.</t>
        </is>
      </c>
    </row>
    <row r="18">
      <c r="A18" s="10" t="n">
        <v>14</v>
      </c>
      <c r="B18" s="11" t="inlineStr">
        <is>
          <t>QA of Done rows</t>
        </is>
      </c>
      <c r="C18" s="8" t="inlineStr">
        <is>
          <t>A Done row whose Test Plan status is 'Needs QA' is not yet trustworthy; test it before using it in sales.</t>
        </is>
      </c>
    </row>
    <row r="19">
      <c r="A19" s="10" t="n">
        <v>15</v>
      </c>
      <c r="B19" s="11" t="inlineStr">
        <is>
          <t>Fix anti-patterns in scope</t>
        </is>
      </c>
      <c r="C19" s="8" t="inlineStr">
        <is>
          <t>If work passes through clearly poor code, fix it within that scope; large or risky fixes get their own row.</t>
        </is>
      </c>
    </row>
    <row r="20">
      <c r="A20" s="10" t="n">
        <v>16</v>
      </c>
      <c r="B20" s="11" t="inlineStr">
        <is>
          <t>Finish, then stop</t>
        </is>
      </c>
      <c r="C20" s="8" t="inlineStr">
        <is>
          <t>Complete the current task with all its closing steps, then propose a short list of next tasks and wait for the owner's choice.</t>
        </is>
      </c>
    </row>
    <row r="21">
      <c r="A21" s="10" t="n">
        <v>17</v>
      </c>
      <c r="B21" s="11" t="inlineStr">
        <is>
          <t>No customer-specific forks</t>
        </is>
      </c>
      <c r="C21" s="8" t="inlineStr">
        <is>
          <t>Customer differences live only in the licence (edition, modules, limits, updates-until), configuration, customer metadata packages and extension packs. There are no per-customer branches or builds; every shipped package comes from a tagged release and is recorded in the customer registry (CV_REG).</t>
        </is>
      </c>
    </row>
    <row r="22">
      <c r="A22" s="10" t="n">
        <v>18</v>
      </c>
      <c r="B22" s="11" t="inlineStr">
        <is>
          <t>Landing and demo are separate deployables</t>
        </is>
      </c>
      <c r="C22" s="8" t="inlineStr">
        <is>
          <t>The landing website (main domain) and the demo (subdomain) share one host but nothing else: separate source (the landing website in its own repository pems-landing, the demo in the demo branch of the product repository), pipelines, deploy accounts, secrets, environments, monitoring and rollback. A deployment, reset or failure of one must never touch the other. Both are deployed by GitHub Actions; if the host is unreachable the pipeline publishes the artifact for a manual deployment that follows the same script.</t>
        </is>
      </c>
    </row>
    <row r="23">
      <c r="A23" s="10" t="n">
        <v>19</v>
      </c>
      <c r="B23" s="11" t="inlineStr">
        <is>
          <t>PM confirmation</t>
        </is>
      </c>
      <c r="C23" s="8" t="inlineStr">
        <is>
          <t>A row is Confirmed by PM only when the owner says so. Claude never sets the flag on its own initiative except to record a decision the owner has just given, and never clears it. Rows on Hold stay scheduled but are not started until the PM releases them.</t>
        </is>
      </c>
    </row>
    <row r="24">
      <c r="A24" s="10" t="n">
        <v>20</v>
      </c>
      <c r="B24" s="11" t="inlineStr">
        <is>
          <t>UI-only operations</t>
        </is>
      </c>
      <c r="C24" s="8" t="inlineStr">
        <is>
          <t>Licensing, installation, update and version-reporting operations, for the customer and for the vendor, must be completable in a UI (browser pages or the graphical installer and vendor tool). A command line may exist only as an optional extra for automation, never as the only way.</t>
        </is>
      </c>
    </row>
    <row r="25">
      <c r="A25" s="10" t="n">
        <v>21</v>
      </c>
      <c r="B25" s="11" t="inlineStr">
        <is>
          <t>Supportability Matrix in every task</t>
        </is>
      </c>
      <c r="C25" s="8" t="inlineStr">
        <is>
          <t>The Supportability Matrix sheet is updated in every finished task: add or change the rows for what the task makes supported (capability or limit, component, supported value, version, verifying backlog row). Builder limits and other supported values come only from this matrix. Record the matrix update in the task Report.</t>
        </is>
      </c>
    </row>
    <row r="26">
      <c r="A26" s="10" t="n">
        <v>22</v>
      </c>
      <c r="B26" s="11" t="inlineStr">
        <is>
          <t>Every task touches six things</t>
        </is>
      </c>
      <c r="C26" s="8" t="inlineStr">
        <is>
          <t>Memory (if something was learned), the plan file, the Supportability Matrix, Instructions (only if a rule changes), CHANGELOG and a commit.</t>
        </is>
      </c>
    </row>
    <row r="27">
      <c r="A27" s="10" t="n">
        <v>23</v>
      </c>
      <c r="B27" s="11" t="inlineStr">
        <is>
          <t>Schema only through migrations</t>
        </is>
      </c>
      <c r="C27" s="8" t="inlineStr">
        <is>
          <t>Owner decision 2026-10-22: the database is fully code-first. A new environment is installed and every release updated by the migrator (startup or Admin &gt; Database Update); no hand-run SQL for schema setup or updates. Needed DDL that EF cannot model goes into a migration (migrationBuilder.Sql); superseded SQL moves to legacy-trash/, it is not deleted until the owner agrees.</t>
        </is>
      </c>
    </row>
    <row r="28">
      <c r="A28" s="10" t="n">
        <v>24</v>
      </c>
      <c r="B28" s="11" t="inlineStr">
        <is>
          <t>Settings in env files, secrets apart, nothing hard-coded</t>
        </is>
      </c>
      <c r="C28" s="8" t="inlineStr">
        <is>
          <t>Owner decision 2026-10-23: every setting lives in env/&lt;name&gt;.env, every secret only in env/&lt;name&gt;.secrets.env (git-ignored) or an environment variable, for local, docker, demo, uat and production-&lt;customer&gt;. No environment-dependent value (URL, host, credential, port, lifetime, culture, policy flag) is hard-coded in code; a new setting is added to every env file and read with Required*. Customer differences are the production-&lt;customer&gt;.env file and the licence (rule 17).</t>
        </is>
      </c>
    </row>
    <row r="29">
      <c r="A29" s="10" t="n">
        <v>25</v>
      </c>
      <c r="B29" s="11" t="inlineStr">
        <is>
          <t>Plan, the issue tracker and code stay consistent</t>
        </is>
      </c>
      <c r="C29" s="8" t="inlineStr">
        <is>
          <t>Owner decision 2026-10-23 (docs/process/PLAN_TRACKER_WORKFLOW.md): the Backlog # is the Plan ID and is stored in the tracker in a Plan ID field; the workbook itself contains no tracker-specific fields. The workbook owns scope (title, priority, milestone, requirement, dependencies), the tracker owns status, assignee and sprint. Branches, commits and PR titles start with the issue key. The workbook changes only by pull request and plan/backlog.csv is regenerated; plan-sync check must pass.</t>
        </is>
      </c>
    </row>
    <row r="30">
      <c r="A30" s="10" t="n">
        <v>26</v>
      </c>
      <c r="B30" s="11" t="inlineStr">
        <is>
          <t>Components only for new UI</t>
        </is>
      </c>
      <c r="C30" s="8" t="inlineStr">
        <is>
          <t>Owner decision 2026-10-23 (docs/design/COMPONENT_LIBRARY_PLAN.md): once PEMS.UI exists, new pages are built from its components and templates; raw form-control/table/modal/badge markup, inline styles, inline scripts and CDN references are not added (CI ratchet). A missing component is added to the library first.</t>
        </is>
      </c>
    </row>
    <row r="31">
      <c r="A31" s="10" t="n">
        <v>27</v>
      </c>
      <c r="B31" s="11" t="inlineStr">
        <is>
          <t>Keep the Jira report current</t>
        </is>
      </c>
      <c r="C31" s="8" t="inlineStr">
        <is>
          <t>Owner decision 2026-10-26: every task keeps its Jira issue report up to date while the work runs and when it ends, not only at the end. (1) At start: comment 'Started by &lt;agent or person&gt;' with the plan. (2) During the work: a short comment at every milestone, decision, blocker or change of scope (what is done, what is next, what blocks), and a comment before any hand-over or stop. (3) At the end: a closing comment with what changed, files, tests run and not run, PR link, evidence for each 'Done when' item and open items for the owner. The same text goes in the PR description. An issue without a current report is not moved to In Review or Done. Never put a secret value in a report (mask to two characters at most).</t>
        </is>
      </c>
    </row>
    <row r="32">
      <c r="A32" s="10" t="n">
        <v>28</v>
      </c>
      <c r="B32" s="11" t="inlineStr">
        <is>
          <t>Study existing tasks before adding one</t>
        </is>
      </c>
      <c r="C32" s="8" t="inlineStr">
        <is>
          <t>Owner decision 2026-10-26: before adding a task (backlog row and Jira issue) read the existing ones - search the backlog and Jira by area, files, goal and keywords, including Done and Hold rows. If an existing task covers the work or can absorb it, modify that task (extend What to do / Done when, update the workbook row, the Jira issue and a comment saying what changed and why) instead of adding a new one. Add a new row only when no task fits, and name the tasks that were checked in its Evidence. A new row keeps the next free Plan ID; held (Hold) tasks count as not 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13"/>
  <sheetViews>
    <sheetView showGridLines="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24" customWidth="1" min="3" max="3"/>
    <col width="46" customWidth="1" min="4" max="4"/>
    <col width="14" customWidth="1" min="5" max="5"/>
    <col width="13" customWidth="1" min="6" max="6"/>
    <col width="9" customWidth="1" min="7" max="7"/>
    <col width="48" customWidth="1" min="8" max="8"/>
    <col width="52" customWidth="1" min="9" max="9"/>
    <col width="48" customWidth="1" min="10" max="10"/>
    <col width="18" customWidth="1" min="11" max="11"/>
    <col width="10" customWidth="1" min="12" max="12"/>
    <col width="8" customWidth="1" min="13" max="13"/>
    <col width="12" customWidth="1" min="14" max="14"/>
    <col width="14" customWidth="1" min="15" max="15"/>
    <col width="16" customWidth="1" min="16" max="16"/>
    <col width="14" customWidth="1" min="17" max="17"/>
    <col width="26" customWidth="1" min="18" max="18"/>
    <col width="12" customWidth="1" min="19" max="19"/>
    <col width="10" customWidth="1" min="20" max="20"/>
    <col width="12" customWidth="1" min="21" max="21"/>
  </cols>
  <sheetData>
    <row r="1">
      <c r="A1" s="7" t="inlineStr">
        <is>
          <t>#</t>
        </is>
      </c>
      <c r="B1" s="7" t="inlineStr">
        <is>
          <t>Doer</t>
        </is>
      </c>
      <c r="C1" s="7" t="inlineStr">
        <is>
          <t>Area</t>
        </is>
      </c>
      <c r="D1" s="7" t="inlineStr">
        <is>
          <t>Task</t>
        </is>
      </c>
      <c r="E1" s="7" t="inlineStr">
        <is>
          <t>Track</t>
        </is>
      </c>
      <c r="F1" s="7" t="inlineStr">
        <is>
          <t>Status</t>
        </is>
      </c>
      <c r="G1" s="7" t="inlineStr">
        <is>
          <t>Priority</t>
        </is>
      </c>
      <c r="H1" s="7" t="inlineStr">
        <is>
          <t>Evidence</t>
        </is>
      </c>
      <c r="I1" s="7" t="inlineStr">
        <is>
          <t>Prompt</t>
        </is>
      </c>
      <c r="J1" s="7" t="inlineStr">
        <is>
          <t>Requirement</t>
        </is>
      </c>
      <c r="K1" s="7" t="inlineStr">
        <is>
          <t>Report</t>
        </is>
      </c>
      <c r="L1" s="7" t="inlineStr">
        <is>
          <t>Milestone</t>
        </is>
      </c>
      <c r="M1" s="7" t="inlineStr">
        <is>
          <t>Effort</t>
        </is>
      </c>
      <c r="N1" s="7" t="inlineStr">
        <is>
          <t>Commercial</t>
        </is>
      </c>
      <c r="O1" s="7" t="inlineStr">
        <is>
          <t>Depends</t>
        </is>
      </c>
      <c r="P1" s="7" t="inlineStr">
        <is>
          <t>Reference (Titan)</t>
        </is>
      </c>
      <c r="Q1" s="7" t="inlineStr">
        <is>
          <t>Old Ref</t>
        </is>
      </c>
      <c r="R1" s="7" t="inlineStr">
        <is>
          <t>Group</t>
        </is>
      </c>
      <c r="S1" s="7" t="inlineStr">
        <is>
          <t>Confirmed by PM</t>
        </is>
      </c>
      <c r="T1" s="7" t="inlineStr">
        <is>
          <t>Sprint</t>
        </is>
      </c>
      <c r="U1" s="7" t="inlineStr">
        <is>
          <t>Owner</t>
        </is>
      </c>
    </row>
    <row r="2">
      <c r="A2" s="10" t="n">
        <v>1</v>
      </c>
      <c r="B2" s="10" t="inlineStr">
        <is>
          <t>Claude</t>
        </is>
      </c>
      <c r="C2" s="8" t="inlineStr">
        <is>
          <t>Foundation, Architecture Decisions &amp; Baseline</t>
        </is>
      </c>
      <c r="D2" s="8" t="inlineStr">
        <is>
          <t>Run the build and test suite once and store a baseline report (counts, duration, environment, every failing test)</t>
        </is>
      </c>
      <c r="E2" s="10" t="inlineStr">
        <is>
          <t>Tech Debt</t>
        </is>
      </c>
      <c r="F2" s="10" t="inlineStr">
        <is>
          <t>Not Started</t>
        </is>
      </c>
      <c r="G2" s="10" t="inlineStr">
        <is>
          <t>P0</t>
        </is>
      </c>
      <c r="H2" s="8" t="inlineStr">
        <is>
          <t>The previous audit was static only; no real build or test run exists. About 1,403 Fact/Theory tests exist but their pass/fail state is unknown.</t>
        </is>
      </c>
      <c r="I2" s="8" t="inlineStr">
        <is>
          <t>1) On a clean checkout run dotnet restore, build and test for PEMS.slnx with a reachable SQL Server (LocalDB or SQL Express) and PEMS_TEST_CONNECTION set. 2) Store the console output and a summary under plan/baseline/ (date, SDK and SQL versions, pass/fail/skip counts, duration). 3) List every failing test with its cause: pre-existing, environment, or real defect. 4) Create one backlog row per real defect.</t>
        </is>
      </c>
      <c r="J2" s="8" t="inlineStr">
        <is>
          <t>Done when: plan/baseline/&lt;date&gt;.md exists with the numbers above; each failing test is listed with a cause; each real defect has its own backlog row. Known today (not yet in a report): LinuxDeploymentArtifactsTests LF check, a SQLEXPRESS-only sidebar test and ImportCenterNavigationTests (LetterCompose) fail on a clean main.</t>
        </is>
      </c>
      <c r="K2" s="8" t="n"/>
      <c r="L2" s="10" t="inlineStr">
        <is>
          <t>M0</t>
        </is>
      </c>
      <c r="M2" s="10" t="inlineStr">
        <is>
          <t>S</t>
        </is>
      </c>
      <c r="N2" s="10" t="inlineStr">
        <is>
          <t>High</t>
        </is>
      </c>
      <c r="O2" s="10" t="inlineStr"/>
      <c r="P2" s="10" t="inlineStr"/>
      <c r="Q2" s="10" t="inlineStr">
        <is>
          <t>OLD-1</t>
        </is>
      </c>
      <c r="R2" s="8" t="inlineStr">
        <is>
          <t>Foundation &amp; decisions</t>
        </is>
      </c>
      <c r="S2" s="10" t="inlineStr">
        <is>
          <t>No</t>
        </is>
      </c>
      <c r="T2" s="10" t="inlineStr">
        <is>
          <t>Sprint 1</t>
        </is>
      </c>
      <c r="U2" s="10" t="inlineStr">
        <is>
          <t>Member B</t>
        </is>
      </c>
    </row>
    <row r="3">
      <c r="A3" s="10" t="n">
        <v>2</v>
      </c>
      <c r="B3" s="10" t="inlineStr">
        <is>
          <t>Claude</t>
        </is>
      </c>
      <c r="C3" s="8" t="inlineStr">
        <is>
          <t>Foundation, Architecture Decisions &amp; Baseline</t>
        </is>
      </c>
      <c r="D3" s="8" t="inlineStr">
        <is>
          <t>Create the architecture decision record (ADR) log in plan/adr and record the decisions already taken</t>
        </is>
      </c>
      <c r="E3" s="10" t="inlineStr">
        <is>
          <t>Docs</t>
        </is>
      </c>
      <c r="F3" s="10" t="inlineStr">
        <is>
          <t>Not Started</t>
        </is>
      </c>
      <c r="G3" s="10" t="inlineStr">
        <is>
          <t>P0</t>
        </is>
      </c>
      <c r="H3" s="8" t="inlineStr">
        <is>
          <t>Key decisions (dynamic storage, UI stack, licensing, libraries) are not written down; they are scattered across Role/ documents.</t>
        </is>
      </c>
      <c r="I3" s="8" t="inlineStr">
        <is>
          <t>1) Add plan/adr/TEMPLATE.md (context, decision, alternatives, consequences, status, date, decided by). 2) Write one ADR each for: hybrid storage (#4), Razor plus a separate PEMS.UI library (#5, docs/design/COMPONENT_LIBRARY_PLAN.md), code-first database (#309), environment and secrets files (#315), licensing threat model and VM policy (#96, #97), demo branch policy (#300). 3) Link each ADR from the backlog row it explains.</t>
        </is>
      </c>
      <c r="J3" s="8" t="inlineStr">
        <is>
          <t>Done when: plan/adr contains the template and six ADRs approved by Member A; every backlog row marked decided points to its ADR.</t>
        </is>
      </c>
      <c r="K3" s="8" t="inlineStr">
        <is>
          <t>Added plan/adr: TEMPLATE.md, README index and ADR-0001..0006 (hybrid storage, Razor + PEMS.UI, code-first database, env/secrets files, licensing threat model + VM policy, demo/staging branch policy), each linked from its explaining doc. Merged in atapems-tech/PEMS#4. Approved by Member A (Hamid Maleki) 2026-10-27. No Supportability Matrix change.</t>
        </is>
      </c>
      <c r="L3" s="10" t="inlineStr">
        <is>
          <t>M0</t>
        </is>
      </c>
      <c r="M3" s="10" t="inlineStr">
        <is>
          <t>S</t>
        </is>
      </c>
      <c r="N3" s="10" t="inlineStr">
        <is>
          <t>High</t>
        </is>
      </c>
      <c r="O3" s="10" t="inlineStr"/>
      <c r="P3" s="10" t="inlineStr"/>
      <c r="Q3" s="10" t="inlineStr">
        <is>
          <t>OLD-2</t>
        </is>
      </c>
      <c r="R3" s="8" t="inlineStr">
        <is>
          <t>Foundation &amp; decisions</t>
        </is>
      </c>
      <c r="S3" s="10" t="inlineStr">
        <is>
          <t>No</t>
        </is>
      </c>
      <c r="T3" s="10" t="inlineStr">
        <is>
          <t>Sprint 1</t>
        </is>
      </c>
      <c r="U3" s="10" t="inlineStr">
        <is>
          <t>Member A</t>
        </is>
      </c>
    </row>
    <row r="4">
      <c r="A4" s="10" t="n">
        <v>3</v>
      </c>
      <c r="B4" s="10" t="inlineStr">
        <is>
          <t>Claude</t>
        </is>
      </c>
      <c r="C4" s="8" t="inlineStr">
        <is>
          <t>Foundation, Architecture Decisions &amp; Baseline</t>
        </is>
      </c>
      <c r="D4" s="8" t="inlineStr">
        <is>
          <t>Write the one-page platform operating model: what is the dynamic engine, what are Domain Packs, what stays static</t>
        </is>
      </c>
      <c r="E4" s="10" t="inlineStr">
        <is>
          <t>Docs</t>
        </is>
      </c>
      <c r="F4" s="10" t="inlineStr">
        <is>
          <t>Not Started</t>
        </is>
      </c>
      <c r="G4" s="10" t="inlineStr">
        <is>
          <t>P0</t>
        </is>
      </c>
      <c r="H4" s="8" t="inlineStr">
        <is>
          <t>Today PEMS is a set of fixed MVC modules (98 controllers, 91 View folders). The boundary between shared engines and domain code is not written down.</t>
        </is>
      </c>
      <c r="I4" s="8" t="inlineStr">
        <is>
          <t>1) Classify every existing capability (the 98 controllers; use docs/design/ui-pattern-audit.csv and the Capability Checklist sheet) as engine, domain pack or permanently static. 2) Define the extension points a pack may use (actions, widgets, validators, views) and what a pack may never change. 3) Draw the layer diagram (engine, packs, UI library, licensing). Output: docs/architecture/PLATFORM_OPERATING_MODEL.md.</t>
        </is>
      </c>
      <c r="J4" s="8" t="inlineStr">
        <is>
          <t>Done when: Member A approved the document; every module appears in exactly one class; rows #10, #85 and #94 reference it.</t>
        </is>
      </c>
      <c r="K4" s="8" t="n"/>
      <c r="L4" s="10" t="inlineStr">
        <is>
          <t>M0</t>
        </is>
      </c>
      <c r="M4" s="10" t="inlineStr">
        <is>
          <t>M</t>
        </is>
      </c>
      <c r="N4" s="10" t="inlineStr">
        <is>
          <t>Sales blocker</t>
        </is>
      </c>
      <c r="O4" s="10" t="inlineStr"/>
      <c r="P4" s="10" t="inlineStr"/>
      <c r="Q4" s="10" t="inlineStr">
        <is>
          <t>OLD-3</t>
        </is>
      </c>
      <c r="R4" s="8" t="inlineStr">
        <is>
          <t>Foundation &amp; decisions</t>
        </is>
      </c>
      <c r="S4" s="10" t="inlineStr">
        <is>
          <t>No</t>
        </is>
      </c>
      <c r="T4" s="10" t="inlineStr">
        <is>
          <t>Sprint 1</t>
        </is>
      </c>
      <c r="U4" s="10" t="inlineStr">
        <is>
          <t>Member A</t>
        </is>
      </c>
    </row>
    <row r="5">
      <c r="A5" s="10" t="n">
        <v>4</v>
      </c>
      <c r="B5" s="10" t="inlineStr">
        <is>
          <t>User</t>
        </is>
      </c>
      <c r="C5" s="8" t="inlineStr">
        <is>
          <t>Foundation, Architecture Decisions &amp; Baseline</t>
        </is>
      </c>
      <c r="D5" s="8" t="inlineStr">
        <is>
          <t>Storage for user-created entities (decided: hybrid - real tables for user-built entities, JSON column for custom fields on existing entities)</t>
        </is>
      </c>
      <c r="E5" s="10" t="inlineStr">
        <is>
          <t>Decision Needed</t>
        </is>
      </c>
      <c r="F5" s="10" t="inlineStr">
        <is>
          <t>Done</t>
        </is>
      </c>
      <c r="G5" s="10" t="inlineStr">
        <is>
          <t>P0</t>
        </is>
      </c>
      <c r="H5" s="8" t="inlineStr">
        <is>
          <t>Options: (a) real SQL tables via guided DDL, (b) JSON column plus indexed computed columns, (c) EAV. PEMS runs on EF Core 10 + SQL Server.</t>
        </is>
      </c>
      <c r="I5" s="8" t="inlineStr">
        <is>
          <t>Benchmark all three with a small prototype (100k records, filter/sort/report). Initial recommendation: hybrid, with real tables for fully user-defined entities and a JSON column for custom fields on existing static entities.</t>
        </is>
      </c>
      <c r="J5" s="8" t="inlineStr">
        <is>
          <t>An approved ADR with performance criteria, migration cost, reporting impact and effect on RLS and audit.</t>
        </is>
      </c>
      <c r="K5" s="8" t="inlineStr">
        <is>
          <t>Decided 2026-10-18: hybrid - real SQL tables for fully user-built entities, one JSON column for custom fields on existing entities. Prototype validation happens in D_DDL/D_SCHEMA; ADR to be written under F_ADR.
ADR: plan/adr/0001-hybrid-storage-for-user-built-entities.md</t>
        </is>
      </c>
      <c r="L5" s="10" t="inlineStr">
        <is>
          <t>M0</t>
        </is>
      </c>
      <c r="M5" s="10" t="inlineStr">
        <is>
          <t>M</t>
        </is>
      </c>
      <c r="N5" s="10" t="inlineStr">
        <is>
          <t>Sales blocker</t>
        </is>
      </c>
      <c r="O5" s="10" t="inlineStr"/>
      <c r="P5" s="10" t="inlineStr">
        <is>
          <t>Titan #17 #61</t>
        </is>
      </c>
      <c r="Q5" s="10" t="inlineStr"/>
      <c r="R5" s="8" t="inlineStr">
        <is>
          <t>Foundation &amp; decisions</t>
        </is>
      </c>
      <c r="S5" s="10" t="inlineStr">
        <is>
          <t>Yes</t>
        </is>
      </c>
      <c r="T5" s="10" t="n"/>
      <c r="U5" s="10" t="n"/>
    </row>
    <row r="6">
      <c r="A6" s="10" t="n">
        <v>5</v>
      </c>
      <c r="B6" s="10" t="inlineStr">
        <is>
          <t>User</t>
        </is>
      </c>
      <c r="C6" s="8" t="inlineStr">
        <is>
          <t>Foundation, Architecture Decisions &amp; Baseline</t>
        </is>
      </c>
      <c r="D6" s="8" t="inlineStr">
        <is>
          <t>UI layer for reusable components (decided: Razor plus a reusable component library, designers as embedded JavaScript components)</t>
        </is>
      </c>
      <c r="E6" s="10" t="inlineStr">
        <is>
          <t>Decision Needed</t>
        </is>
      </c>
      <c r="F6" s="10" t="inlineStr">
        <is>
          <t>Done</t>
        </is>
      </c>
      <c r="G6" s="10" t="inlineStr">
        <is>
          <t>P0</t>
        </is>
      </c>
      <c r="H6" s="8" t="inlineStr">
        <is>
          <t>The current UI is Razor + Bootstrap + jQuery with 225 views and page-specific JS/CSS (pems-data-grid.js etc.). Options: ViewComponent/TagHelper + Web Components, Blazor, or an SPA hosted inside the app.</t>
        </is>
      </c>
      <c r="I6" s="8" t="inlineStr">
        <is>
          <t>Compare the three options with a vertical slice (grid + form). Criteria: fully offline without CDN, RTL, form-builder velocity, upgrade path from existing Razor.</t>
        </is>
      </c>
      <c r="J6" s="8" t="inlineStr">
        <is>
          <t>An approved ADR; all CMP_* and FRM_* work is defined against it.</t>
        </is>
      </c>
      <c r="K6" s="8" t="inlineStr">
        <is>
          <t>Decided 2026-10-18: keep Razor and build a reusable component library, with the form/workflow designers as embedded JavaScript components. ADR to be written under F_ADR. 2026-10-23: refined in docs/design/COMPONENT_LIBRARY_PLAN.md - separate Razor Class Library PEMS.UI (decided); canonical technology recommended as descriptor-driven static Razor components with an MVC Tag Helper facade, gated by spike #319 (the vertical-slice comparison this row asked for was never run).
ADR: plan/adr/0002-razor-with-separate-pems-ui-library.md (component technology D3 still open, spike #319)
ADR-0001..0006 approved by Member A 2026-10-27. Component technology (D3): spike #319 run 2026-10-27, see ADR-0007 (proposed, static Razor components + Tag Helper facade).</t>
        </is>
      </c>
      <c r="L6" s="10" t="inlineStr">
        <is>
          <t>M0</t>
        </is>
      </c>
      <c r="M6" s="10" t="inlineStr">
        <is>
          <t>M</t>
        </is>
      </c>
      <c r="N6" s="10" t="inlineStr">
        <is>
          <t>Sales blocker</t>
        </is>
      </c>
      <c r="O6" s="10" t="inlineStr"/>
      <c r="P6" s="10" t="inlineStr">
        <is>
          <t>Titan #177</t>
        </is>
      </c>
      <c r="Q6" s="10" t="inlineStr"/>
      <c r="R6" s="8" t="inlineStr">
        <is>
          <t>Foundation &amp; decisions</t>
        </is>
      </c>
      <c r="S6" s="10" t="inlineStr">
        <is>
          <t>Yes</t>
        </is>
      </c>
      <c r="T6" s="10" t="n"/>
      <c r="U6" s="10" t="n"/>
    </row>
    <row r="7">
      <c r="A7" s="10" t="n">
        <v>6</v>
      </c>
      <c r="B7" s="10" t="inlineStr">
        <is>
          <t>Claude</t>
        </is>
      </c>
      <c r="C7" s="8" t="inlineStr">
        <is>
          <t>Foundation, Architecture Decisions &amp; Baseline</t>
        </is>
      </c>
      <c r="D7" s="8" t="inlineStr">
        <is>
          <t>Decision and evaluation of libraries (library-first) with license and offline checks</t>
        </is>
      </c>
      <c r="E7" s="10" t="inlineStr">
        <is>
          <t>Library Modernization</t>
        </is>
      </c>
      <c r="F7" s="10" t="inlineStr">
        <is>
          <t>Not Started</t>
        </is>
      </c>
      <c r="G7" s="10" t="inlineStr">
        <is>
          <t>P0</t>
        </is>
      </c>
      <c r="H7" s="8" t="inlineStr">
        <is>
          <t>Building from scratch must be justified. Needs: expression engine (NCalc/DynamicExpresso), grid, workflow designer, rule/policy engine, scheduler.</t>
        </is>
      </c>
      <c r="I7" s="8" t="inlineStr">
        <is>
          <t>For each need compare at least two options on commercial license, fully offline operation, active maintenance and RTL support, and record the result.</t>
        </is>
      </c>
      <c r="J7" s="8" t="inlineStr">
        <is>
          <t>A library decision table with a column 'license suitable for commercial sale?'; no runtime dependency needs a CDN or internet.</t>
        </is>
      </c>
      <c r="K7" s="8" t="n"/>
      <c r="L7" s="10" t="inlineStr">
        <is>
          <t>M0</t>
        </is>
      </c>
      <c r="M7" s="10" t="inlineStr">
        <is>
          <t>M</t>
        </is>
      </c>
      <c r="N7" s="10" t="inlineStr">
        <is>
          <t>High</t>
        </is>
      </c>
      <c r="O7" s="10" t="inlineStr"/>
      <c r="P7" s="10" t="inlineStr">
        <is>
          <t>Titan #7 #53 #62</t>
        </is>
      </c>
      <c r="Q7" s="10" t="inlineStr">
        <is>
          <t>OLD-87 OLD-92</t>
        </is>
      </c>
      <c r="R7" s="8" t="inlineStr">
        <is>
          <t>Foundation &amp; decisions</t>
        </is>
      </c>
      <c r="S7" s="10" t="inlineStr">
        <is>
          <t>No</t>
        </is>
      </c>
      <c r="T7" s="10" t="n"/>
      <c r="U7" s="10" t="n"/>
    </row>
    <row r="8">
      <c r="A8" s="10" t="n">
        <v>7</v>
      </c>
      <c r="B8" s="10" t="inlineStr">
        <is>
          <t>Claude</t>
        </is>
      </c>
      <c r="C8" s="8" t="inlineStr">
        <is>
          <t>Foundation, Architecture Decisions &amp; Baseline</t>
        </is>
      </c>
      <c r="D8" s="8" t="inlineStr">
        <is>
          <t>Make the build workflow fail on red tests and publish a versioned artifact on version tags</t>
        </is>
      </c>
      <c r="E8" s="10" t="inlineStr">
        <is>
          <t>Feature</t>
        </is>
      </c>
      <c r="F8" s="10" t="inlineStr">
        <is>
          <t>Not Started</t>
        </is>
      </c>
      <c r="G8" s="10" t="inlineStr">
        <is>
          <t>P0</t>
        </is>
      </c>
      <c r="H8" s="8" t="inlineStr">
        <is>
          <t>Owner requirement 2026-10-18: the demo is deployed from the demo branch of the product repository and the landing from its own repository. The product repository needs a reusable build-and-test workflow. There is no automated pipeline today; only a Dockerfile and docker-compose exist.</t>
        </is>
      </c>
      <c r="I8" s="8" t="inlineStr">
        <is>
          <t>1) Use the baseline (#1) to decide which tests run on the hosted runner; remove continue-on-error from the test step. 2) Run on pushes and pull requests to main and demo. 3) On a tag vYYYY.MM.PATCH build the release package (deploy/Build-Package.ps1 or a container image) and attach it to a GitHub release with commit and build number. 4) Document it in docs/deployment.</t>
        </is>
      </c>
      <c r="J8" s="8" t="inlineStr">
        <is>
          <t>Done when: a red test fails the workflow; a tag produces a release artifact with version, commit and build number; no secret is stored in the repository.</t>
        </is>
      </c>
      <c r="K8" s="8" t="inlineStr">
        <is>
          <t>PM 2026-10-18: basic CI first; no dependency on the workflow foundation.</t>
        </is>
      </c>
      <c r="L8" s="10" t="inlineStr">
        <is>
          <t>M0</t>
        </is>
      </c>
      <c r="M8" s="10" t="inlineStr">
        <is>
          <t>M</t>
        </is>
      </c>
      <c r="N8" s="10" t="inlineStr">
        <is>
          <t>High</t>
        </is>
      </c>
      <c r="O8" s="10" t="inlineStr">
        <is>
          <t>#1</t>
        </is>
      </c>
      <c r="P8" s="10" t="inlineStr">
        <is>
          <t>Titan #119</t>
        </is>
      </c>
      <c r="Q8" s="10" t="inlineStr"/>
      <c r="R8" s="8" t="inlineStr">
        <is>
          <t>DevOps &amp; release</t>
        </is>
      </c>
      <c r="S8" s="10" t="inlineStr">
        <is>
          <t>Yes</t>
        </is>
      </c>
      <c r="T8" s="10" t="inlineStr">
        <is>
          <t>Sprint 1</t>
        </is>
      </c>
      <c r="U8" s="10" t="inlineStr">
        <is>
          <t>Member B</t>
        </is>
      </c>
    </row>
    <row r="9">
      <c r="A9" s="10" t="n">
        <v>8</v>
      </c>
      <c r="B9" s="10" t="inlineStr">
        <is>
          <t>Claude</t>
        </is>
      </c>
      <c r="C9" s="8" t="inlineStr">
        <is>
          <t>Foundation, Architecture Decisions &amp; Baseline</t>
        </is>
      </c>
      <c r="D9" s="8" t="inlineStr">
        <is>
          <t>Repository cleanup: stray folders and duplicate documents (.claude/Role vs .github/Role)</t>
        </is>
      </c>
      <c r="E9" s="10" t="inlineStr">
        <is>
          <t>Tech Debt</t>
        </is>
      </c>
      <c r="F9" s="10" t="inlineStr">
        <is>
          <t>Not Started</t>
        </is>
      </c>
      <c r="G9" s="10" t="inlineStr">
        <is>
          <t>P2</t>
        </is>
      </c>
      <c r="H9" s="8" t="inlineStr">
        <is>
          <t>The root contains WebApplication1, 'New Text Document.txt' and two identical copies of the Role documents under .claude and .github. 2026-10-28 plan audit: dependency/milestone corrected (see docs/audits/2026-10-28-dynamic-restful-audit.md).</t>
        </is>
      </c>
      <c r="I9" s="8" t="inlineStr">
        <is>
          <t>Remove or archive anything unused and pick one official location for the Role documents.</t>
        </is>
      </c>
      <c r="J9" s="8" t="inlineStr">
        <is>
          <t>The repo builds without unused folders and the Role documents have one official home.</t>
        </is>
      </c>
      <c r="K9" s="8" t="n"/>
      <c r="L9" s="10" t="inlineStr">
        <is>
          <t>M1</t>
        </is>
      </c>
      <c r="M9" s="10" t="inlineStr">
        <is>
          <t>S</t>
        </is>
      </c>
      <c r="N9" s="10" t="inlineStr">
        <is>
          <t>Low</t>
        </is>
      </c>
      <c r="O9" s="10" t="inlineStr"/>
      <c r="P9" s="10" t="inlineStr"/>
      <c r="Q9" s="10" t="inlineStr"/>
      <c r="R9" s="8" t="inlineStr">
        <is>
          <t>Foundation &amp; decisions</t>
        </is>
      </c>
      <c r="S9" s="10" t="inlineStr">
        <is>
          <t>No</t>
        </is>
      </c>
      <c r="T9" s="10" t="n"/>
      <c r="U9" s="10" t="n"/>
    </row>
    <row r="10">
      <c r="A10" s="10" t="n">
        <v>9</v>
      </c>
      <c r="B10" s="10" t="inlineStr">
        <is>
          <t>Claude</t>
        </is>
      </c>
      <c r="C10" s="8" t="inlineStr">
        <is>
          <t>Foundation, Architecture Decisions &amp; Baseline</t>
        </is>
      </c>
      <c r="D10" s="8" t="inlineStr">
        <is>
          <t>Audit the repository, history and container files for secrets and unsafe defaults, and fix what remains</t>
        </is>
      </c>
      <c r="E10" s="10" t="inlineStr">
        <is>
          <t>Bug Fix</t>
        </is>
      </c>
      <c r="F10" s="10" t="inlineStr">
        <is>
          <t>Not Started</t>
        </is>
      </c>
      <c r="G10" s="10" t="inlineStr">
        <is>
          <t>P0</t>
        </is>
      </c>
      <c r="H10" s="8" t="inlineStr">
        <is>
          <t>Default connection strings or keys inside source are a sales blocker. appsettings.json/UAT/Development in PEMS.Web have not been reviewed.</t>
        </is>
      </c>
      <c r="I10" s="8" t="inlineStr">
        <is>
          <t>1) Confirm HEAD has no secret (env files done in #315; check docker-compose.yml, Dockerfile, workflows, scripts). 2) Search the git history for secrets that were ever committed (for example the old default admin password and any connection strings) and list them. 3) For each finding record: fixed, needs rotation (give to #317), or accepted. Output: docs/audits/SECRETS_AUDIT_2026-10.md.</t>
        </is>
      </c>
      <c r="J10" s="8" t="inlineStr">
        <is>
          <t>Done when: the report exists; HEAD is clean; every historical finding has a decision and an owner.</t>
        </is>
      </c>
      <c r="K10" s="8" t="inlineStr">
        <is>
          <t>Merged 2026-10-26 (PR atapems-tech/PEMS#6, merge bc717dc): HEAD and full history (202 commits, all refs) scanned; no tokens, keys or real connection strings; five built-in passwords found and removed from HEAD (default administrator, employee-created users, compose SQL sa fallback, load-test accounts, weak example); rotation list and runbook handed to #317; held follow-ups #374 and #375; open items in docs/audits/SECRETS_AUDIT_2026-10.md. Tests NOT run (no .NET SDK): the row is Done only after the build and the new tests pass.</t>
        </is>
      </c>
      <c r="L10" s="10" t="inlineStr">
        <is>
          <t>M0</t>
        </is>
      </c>
      <c r="M10" s="10" t="inlineStr">
        <is>
          <t>S</t>
        </is>
      </c>
      <c r="N10" s="10" t="inlineStr">
        <is>
          <t>Sales blocker</t>
        </is>
      </c>
      <c r="O10" s="10" t="inlineStr"/>
      <c r="P10" s="10" t="inlineStr">
        <is>
          <t>Titan #137</t>
        </is>
      </c>
      <c r="Q10" s="10" t="inlineStr"/>
      <c r="R10" s="8" t="inlineStr">
        <is>
          <t>Foundation &amp; decisions</t>
        </is>
      </c>
      <c r="S10" s="10" t="inlineStr">
        <is>
          <t>No</t>
        </is>
      </c>
      <c r="T10" s="10" t="inlineStr">
        <is>
          <t>Sprint 1</t>
        </is>
      </c>
      <c r="U10" s="10" t="inlineStr">
        <is>
          <t>Member B</t>
        </is>
      </c>
    </row>
    <row r="11">
      <c r="A11" s="10" t="n">
        <v>10</v>
      </c>
      <c r="B11" s="10" t="inlineStr">
        <is>
          <t>Claude</t>
        </is>
      </c>
      <c r="C11" s="8" t="inlineStr">
        <is>
          <t>Metadata Core &amp; Dynamic Platform</t>
        </is>
      </c>
      <c r="D11" s="8" t="inlineStr">
        <is>
          <t>Registry for apps/modules/entities/fields/relations with versioning</t>
        </is>
      </c>
      <c r="E11" s="10" t="inlineStr">
        <is>
          <t>Feature</t>
        </is>
      </c>
      <c r="F11" s="10" t="inlineStr">
        <is>
          <t>Not Started</t>
        </is>
      </c>
      <c r="G11" s="10" t="inlineStr">
        <is>
          <t>P0</t>
        </is>
      </c>
      <c r="H11" s="8" t="inlineStr">
        <is>
          <t>PEMS has no general App/Entity/Field registry (audit E1/E2). The proven pattern is that everything is a database row, not code. 2026-10-28: design in docs/architecture/METADATA_REGISTRY_DESIGN.md (ADR-0010); payload and lifecycle follow the definition envelope.</t>
        </is>
      </c>
      <c r="I11" s="8" t="inlineStr">
        <is>
          <t>Design and build the metadata model (App, Module, Entity, Field, Relation, OptionSet, View, Form, Menu, StatusSet) with Draft/Published/Retired states.</t>
        </is>
      </c>
      <c r="J11" s="8" t="inlineStr">
        <is>
          <t>A sample entity is created, published and used for CRUD purely through metadata rows (no new C# code); metadata changes apply without build/redeploy.</t>
        </is>
      </c>
      <c r="K11" s="8" t="n"/>
      <c r="L11" s="10" t="inlineStr">
        <is>
          <t>M1</t>
        </is>
      </c>
      <c r="M11" s="10" t="inlineStr">
        <is>
          <t>XL</t>
        </is>
      </c>
      <c r="N11" s="10" t="inlineStr">
        <is>
          <t>Sales blocker</t>
        </is>
      </c>
      <c r="O11" s="10" t="inlineStr">
        <is>
          <t>#4 #3</t>
        </is>
      </c>
      <c r="P11" s="10" t="inlineStr">
        <is>
          <t>Titan #61</t>
        </is>
      </c>
      <c r="Q11" s="10" t="inlineStr">
        <is>
          <t>OLD-4 OLD-5 OLD-6</t>
        </is>
      </c>
      <c r="R11" s="8" t="inlineStr">
        <is>
          <t>Dynamic data core</t>
        </is>
      </c>
      <c r="S11" s="10" t="inlineStr">
        <is>
          <t>No</t>
        </is>
      </c>
      <c r="T11" s="10" t="n"/>
      <c r="U11" s="10" t="n"/>
    </row>
    <row r="12">
      <c r="A12" s="10" t="n">
        <v>11</v>
      </c>
      <c r="B12" s="10" t="inlineStr">
        <is>
          <t>Claude</t>
        </is>
      </c>
      <c r="C12" s="8" t="inlineStr">
        <is>
          <t>Metadata Core &amp; Dynamic Platform</t>
        </is>
      </c>
      <c r="D12" s="8" t="inlineStr">
        <is>
          <t>Field type catalog: text, number, decimal, date (Jalali/Gregorian), boolean, single/multi select, lookup, user, file, rich text, computed, auto-number, JSON</t>
        </is>
      </c>
      <c r="E12" s="10" t="inlineStr">
        <is>
          <t>Feature</t>
        </is>
      </c>
      <c r="F12" s="10" t="inlineStr">
        <is>
          <t>Not Started</t>
        </is>
      </c>
      <c r="G12" s="10" t="inlineStr">
        <is>
          <t>P0</t>
        </is>
      </c>
      <c r="H12" s="8" t="inlineStr">
        <is>
          <t>A single type definition from day one avoids the field-type vs column-type duplication seen in comparable platforms. 2026-10-28: design in docs/architecture/METADATA_REGISTRY_DESIGN.md (ADR-0010); payload and lifecycle follow the definition envelope.</t>
        </is>
      </c>
      <c r="I12" s="8" t="inlineStr">
        <is>
          <t>For every type define storage, validation, form/grid rendering, filtering, sorting, import/export and localization.</t>
        </is>
      </c>
      <c r="J12" s="8" t="inlineStr">
        <is>
          <t>A 'type x (storage/form/grid/filter/export)' matrix is complete and covered by automated tests.</t>
        </is>
      </c>
      <c r="K12" s="8" t="n"/>
      <c r="L12" s="10" t="inlineStr">
        <is>
          <t>M1</t>
        </is>
      </c>
      <c r="M12" s="10" t="inlineStr">
        <is>
          <t>L</t>
        </is>
      </c>
      <c r="N12" s="10" t="inlineStr">
        <is>
          <t>Sales blocker</t>
        </is>
      </c>
      <c r="O12" s="10" t="inlineStr">
        <is>
          <t>#10</t>
        </is>
      </c>
      <c r="P12" s="10" t="inlineStr">
        <is>
          <t>Titan #19</t>
        </is>
      </c>
      <c r="Q12" s="10" t="inlineStr"/>
      <c r="R12" s="8" t="inlineStr">
        <is>
          <t>Dynamic data core</t>
        </is>
      </c>
      <c r="S12" s="10" t="inlineStr">
        <is>
          <t>No</t>
        </is>
      </c>
      <c r="T12" s="10" t="n"/>
      <c r="U12" s="10" t="n"/>
    </row>
    <row r="13">
      <c r="A13" s="10" t="n">
        <v>12</v>
      </c>
      <c r="B13" s="10" t="inlineStr">
        <is>
          <t>Claude</t>
        </is>
      </c>
      <c r="C13" s="8" t="inlineStr">
        <is>
          <t>Metadata Core &amp; Dynamic Platform</t>
        </is>
      </c>
      <c r="D13" s="8" t="inlineStr">
        <is>
          <t>Generic dynamic CRUD/Query API with server-side paging, filter, sort and mandatory RLS</t>
        </is>
      </c>
      <c r="E13" s="10" t="inlineStr">
        <is>
          <t>Feature</t>
        </is>
      </c>
      <c r="F13" s="10" t="inlineStr">
        <is>
          <t>Not Started</t>
        </is>
      </c>
      <c r="G13" s="10" t="inlineStr">
        <is>
          <t>P0</t>
        </is>
      </c>
      <c r="H13" s="8" t="inlineStr">
        <is>
          <t>Server-side paging above ~1,000 rows regressed twice on a comparable platform; one query contract from the start is required. 2026-10-28: REST inventory done, see docs/audits/REST_INVENTORY_2026-10-28.md and rest-inventory.csv (#432).</t>
        </is>
      </c>
      <c r="I13" s="8" t="inlineStr">
        <is>
          <t>Build one /api/d/{entity} endpoint with a single query contract (page/sort/filter/search/columns) used by every list and relation list. Route shape, paging style and error format come from the REST ADR (#431), not from this row; the first version must pass the API quality gates (#436).</t>
        </is>
      </c>
      <c r="J13" s="8" t="inlineStr">
        <is>
          <t>Test: 500k records, filter+sort under 500 ms; a record outside the user's access never appears in results or counts. The route and contract follow the REST API standard (#431): resource-oriented URLs instead of verbs, ETag/If-Match, RFC 9457 errors, OpenAPI.</t>
        </is>
      </c>
      <c r="K13" s="8" t="n"/>
      <c r="L13" s="10" t="inlineStr">
        <is>
          <t>M1</t>
        </is>
      </c>
      <c r="M13" s="10" t="inlineStr">
        <is>
          <t>XL</t>
        </is>
      </c>
      <c r="N13" s="10" t="inlineStr">
        <is>
          <t>Sales blocker</t>
        </is>
      </c>
      <c r="O13" s="10" t="inlineStr">
        <is>
          <t>#10 #11 #178 #431 #435</t>
        </is>
      </c>
      <c r="P13" s="10" t="inlineStr">
        <is>
          <t>Titan #49 #136</t>
        </is>
      </c>
      <c r="Q13" s="10" t="inlineStr">
        <is>
          <t>OLD-89 OLD-20</t>
        </is>
      </c>
      <c r="R13" s="8" t="inlineStr">
        <is>
          <t>Dynamic data core</t>
        </is>
      </c>
      <c r="S13" s="10" t="inlineStr">
        <is>
          <t>No</t>
        </is>
      </c>
      <c r="T13" s="10" t="n"/>
      <c r="U13" s="10" t="n"/>
    </row>
    <row r="14">
      <c r="A14" s="10" t="n">
        <v>13</v>
      </c>
      <c r="B14" s="10" t="inlineStr">
        <is>
          <t>Claude</t>
        </is>
      </c>
      <c r="C14" s="8" t="inlineStr">
        <is>
          <t>Metadata Core &amp; Dynamic Platform</t>
        </is>
      </c>
      <c r="D14" s="8" t="inlineStr">
        <is>
          <t>Safe schema-change planner: add/delete/change field type with impact preview, approval and rollback</t>
        </is>
      </c>
      <c r="E14" s="10" t="inlineStr">
        <is>
          <t>Feature</t>
        </is>
      </c>
      <c r="F14" s="10" t="inlineStr">
        <is>
          <t>Not Started</t>
        </is>
      </c>
      <c r="G14" s="10" t="inlineStr">
        <is>
          <t>P0</t>
        </is>
      </c>
      <c r="H14" s="8" t="inlineStr">
        <is>
          <t>Changing a field type on live data is the riskiest operation of any dynamic platform. 2026-10-28: design in docs/architecture/METADATA_REGISTRY_DESIGN.md (ADR-0010); payload and lifecycle follow the definition envelope.</t>
        </is>
      </c>
      <c r="I14" s="8" t="inlineStr">
        <is>
          <t>Generate a change plan: affected row count, data-loss risk, generated SQL, automatic backup and rollback path.</t>
        </is>
      </c>
      <c r="J14" s="8" t="inlineStr">
        <is>
          <t>Unsafe changes are blocked without two-step approval; rollback test on sample data succeeds.</t>
        </is>
      </c>
      <c r="K14" s="8" t="n"/>
      <c r="L14" s="10" t="inlineStr">
        <is>
          <t>M1</t>
        </is>
      </c>
      <c r="M14" s="10" t="inlineStr">
        <is>
          <t>XL</t>
        </is>
      </c>
      <c r="N14" s="10" t="inlineStr">
        <is>
          <t>Sales blocker</t>
        </is>
      </c>
      <c r="O14" s="10" t="inlineStr">
        <is>
          <t>#10</t>
        </is>
      </c>
      <c r="P14" s="10" t="inlineStr">
        <is>
          <t>Titan #17</t>
        </is>
      </c>
      <c r="Q14" s="10" t="inlineStr">
        <is>
          <t>OLD-88</t>
        </is>
      </c>
      <c r="R14" s="8" t="inlineStr">
        <is>
          <t>Dynamic data core</t>
        </is>
      </c>
      <c r="S14" s="10" t="inlineStr">
        <is>
          <t>No</t>
        </is>
      </c>
      <c r="T14" s="10" t="n"/>
      <c r="U14" s="10" t="n"/>
    </row>
    <row r="15">
      <c r="A15" s="10" t="n">
        <v>14</v>
      </c>
      <c r="B15" s="10" t="inlineStr">
        <is>
          <t>Claude</t>
        </is>
      </c>
      <c r="C15" s="8" t="inlineStr">
        <is>
          <t>Metadata Core &amp; Dynamic Platform</t>
        </is>
      </c>
      <c r="D15" s="8" t="inlineStr">
        <is>
          <t>Physical storage generator (DDL) and JSON extension column for custom fields on static entities</t>
        </is>
      </c>
      <c r="E15" s="10" t="inlineStr">
        <is>
          <t>Feature</t>
        </is>
      </c>
      <c r="F15" s="10" t="inlineStr">
        <is>
          <t>Not Started</t>
        </is>
      </c>
      <c r="G15" s="10" t="inlineStr">
        <is>
          <t>P0</t>
        </is>
      </c>
      <c r="H15" s="8" t="inlineStr">
        <is>
          <t>Customers must add a field to a static entity such as Equipment or WorkOrder without a code migration.</t>
        </is>
      </c>
      <c r="I15" s="8" t="inlineStr">
        <is>
          <t>Per the storage ADR: create/alter tables, indexes and foreign keys; store custom fields in a JSON column with computed indexes for filtering.</t>
        </is>
      </c>
      <c r="J15" s="8" t="inlineStr">
        <is>
          <t>A custom field added to Equipment in the UI, with no deploy, appears in list/form/export/search.</t>
        </is>
      </c>
      <c r="K15" s="8" t="n"/>
      <c r="L15" s="10" t="inlineStr">
        <is>
          <t>M1</t>
        </is>
      </c>
      <c r="M15" s="10" t="inlineStr">
        <is>
          <t>L</t>
        </is>
      </c>
      <c r="N15" s="10" t="inlineStr">
        <is>
          <t>Sales blocker</t>
        </is>
      </c>
      <c r="O15" s="10" t="inlineStr">
        <is>
          <t>#13</t>
        </is>
      </c>
      <c r="P15" s="10" t="inlineStr"/>
      <c r="Q15" s="10" t="inlineStr"/>
      <c r="R15" s="8" t="inlineStr">
        <is>
          <t>Dynamic data core</t>
        </is>
      </c>
      <c r="S15" s="10" t="inlineStr">
        <is>
          <t>No</t>
        </is>
      </c>
      <c r="T15" s="10" t="n"/>
      <c r="U15" s="10" t="n"/>
    </row>
    <row r="16">
      <c r="A16" s="10" t="n">
        <v>15</v>
      </c>
      <c r="B16" s="10" t="inlineStr">
        <is>
          <t>Claude</t>
        </is>
      </c>
      <c r="C16" s="8" t="inlineStr">
        <is>
          <t>Metadata Core &amp; Dynamic Platform</t>
        </is>
      </c>
      <c r="D16" s="8" t="inlineStr">
        <is>
          <t>Shared expression/formula engine for computed fields, validation and conditions</t>
        </is>
      </c>
      <c r="E16" s="10" t="inlineStr">
        <is>
          <t>Library Modernization</t>
        </is>
      </c>
      <c r="F16" s="10" t="inlineStr">
        <is>
          <t>Not Started</t>
        </is>
      </c>
      <c r="G16" s="10" t="inlineStr">
        <is>
          <t>P0</t>
        </is>
      </c>
      <c r="H16" s="8" t="inlineStr">
        <is>
          <t>One formula engine should drive automatic values and validation; today each module has its own logic.</t>
        </is>
      </c>
      <c r="I16" s="8" t="inlineStr">
        <is>
          <t>Select an expression library (F_LIBS) and sandbox it: Jalali date functions, Persian text, relation lookups, time and memory limits.</t>
        </is>
      </c>
      <c r="J16" s="8" t="inlineStr">
        <is>
          <t>The same expression yields the same result on client, server and reports; a malicious expression (infinite loop) is stopped.</t>
        </is>
      </c>
      <c r="K16" s="8" t="n"/>
      <c r="L16" s="10" t="inlineStr">
        <is>
          <t>M1</t>
        </is>
      </c>
      <c r="M16" s="10" t="inlineStr">
        <is>
          <t>L</t>
        </is>
      </c>
      <c r="N16" s="10" t="inlineStr">
        <is>
          <t>High</t>
        </is>
      </c>
      <c r="O16" s="10" t="inlineStr">
        <is>
          <t>#6</t>
        </is>
      </c>
      <c r="P16" s="10" t="inlineStr">
        <is>
          <t>Titan #12</t>
        </is>
      </c>
      <c r="Q16" s="10" t="inlineStr"/>
      <c r="R16" s="8" t="inlineStr">
        <is>
          <t>Dynamic data core</t>
        </is>
      </c>
      <c r="S16" s="10" t="inlineStr">
        <is>
          <t>No</t>
        </is>
      </c>
      <c r="T16" s="10" t="n"/>
      <c r="U16" s="10" t="n"/>
    </row>
    <row r="17">
      <c r="A17" s="10" t="n">
        <v>16</v>
      </c>
      <c r="B17" s="10" t="inlineStr">
        <is>
          <t>Claude</t>
        </is>
      </c>
      <c r="C17" s="8" t="inlineStr">
        <is>
          <t>Metadata Core &amp; Dynamic Platform</t>
        </is>
      </c>
      <c r="D17" s="8" t="inlineStr">
        <is>
          <t>Configurable auto-numbering (pattern, Jalali/Gregorian year, periodic reset) with DB-enforced uniqueness</t>
        </is>
      </c>
      <c r="E17" s="10" t="inlineStr">
        <is>
          <t>Feature</t>
        </is>
      </c>
      <c r="F17" s="10" t="inlineStr">
        <is>
          <t>Partial</t>
        </is>
      </c>
      <c r="G17" s="10" t="inlineStr">
        <is>
          <t>P1</t>
        </is>
      </c>
      <c r="H17" s="8" t="inlineStr">
        <is>
          <t>A serial that is sequential but not unique in the DB is a known defect pattern. Engineering documents and work orders need traceable numbers.</t>
        </is>
      </c>
      <c r="I17" s="8" t="inlineStr">
        <is>
          <t>Patterns such as WO-{YYYY}-{#####}; atomic allocation with DB locking and a unique index.</t>
        </is>
      </c>
      <c r="J17" s="8" t="inlineStr">
        <is>
          <t>A 50-parallel-request test yields no duplicate numbers; the pattern is editable and versioned.</t>
        </is>
      </c>
      <c r="K17" s="8" t="inlineStr">
        <is>
          <t>2026-10-28 SCRUM-40: patterns per document type (NumberingSchemes, Admin &gt; Numbering: tokens YYYY/YY Jalali or Gregorian, PROJECT, DISC, SEQ; yearly or no reset; manual entry flag; version + audit) applied to all procurement documents (MR, package, tender, bid, PO, contract); atomic counter per scope, existing numbers skipped, 50-parallel SQL test without duplicates. Other modules (work order, IRN, ...) still use the built-in formats.</t>
        </is>
      </c>
      <c r="L17" s="10" t="inlineStr">
        <is>
          <t>M4</t>
        </is>
      </c>
      <c r="M17" s="10" t="inlineStr">
        <is>
          <t>M</t>
        </is>
      </c>
      <c r="N17" s="10" t="inlineStr">
        <is>
          <t>High</t>
        </is>
      </c>
      <c r="O17" s="10" t="inlineStr">
        <is>
          <t>#10</t>
        </is>
      </c>
      <c r="P17" s="10" t="inlineStr">
        <is>
          <t>Titan #16</t>
        </is>
      </c>
      <c r="Q17" s="10" t="inlineStr"/>
      <c r="R17" s="8" t="inlineStr">
        <is>
          <t>Dynamic data core</t>
        </is>
      </c>
      <c r="S17" s="10" t="inlineStr">
        <is>
          <t>No</t>
        </is>
      </c>
      <c r="T17" s="10" t="n"/>
      <c r="U17" s="10" t="n"/>
    </row>
    <row r="18">
      <c r="A18" s="10" t="n">
        <v>17</v>
      </c>
      <c r="B18" s="10" t="inlineStr">
        <is>
          <t>Claude</t>
        </is>
      </c>
      <c r="C18" s="8" t="inlineStr">
        <is>
          <t>Metadata Core &amp; Dynamic Platform</t>
        </is>
      </c>
      <c r="D18" s="8" t="inlineStr">
        <is>
          <t>Generic change audit (field-level history) for every dynamic entity</t>
        </is>
      </c>
      <c r="E18" s="10" t="inlineStr">
        <is>
          <t>Feature</t>
        </is>
      </c>
      <c r="F18" s="10" t="inlineStr">
        <is>
          <t>Not Started</t>
        </is>
      </c>
      <c r="G18" s="10" t="inlineStr">
        <is>
          <t>P0</t>
        </is>
      </c>
      <c r="H18" s="8" t="inlineStr">
        <is>
          <t>Current audit covers access only (AuthorizationAuditLog). Selling to oil/petrochemical requires per-field change history.</t>
        </is>
      </c>
      <c r="I18" s="8" t="inlineStr">
        <is>
          <t>On every create/update/delete record who, when, before/after value and form/metadata version; show in a History tab.</t>
        </is>
      </c>
      <c r="J18" s="8" t="inlineStr">
        <is>
          <t>Each record's history is viewable, filterable and exportable and cannot be deleted manually.</t>
        </is>
      </c>
      <c r="K18" s="8" t="n"/>
      <c r="L18" s="10" t="inlineStr">
        <is>
          <t>M1</t>
        </is>
      </c>
      <c r="M18" s="10" t="inlineStr">
        <is>
          <t>L</t>
        </is>
      </c>
      <c r="N18" s="10" t="inlineStr">
        <is>
          <t>High</t>
        </is>
      </c>
      <c r="O18" s="10" t="inlineStr">
        <is>
          <t>#12</t>
        </is>
      </c>
      <c r="P18" s="10" t="inlineStr"/>
      <c r="Q18" s="10" t="inlineStr">
        <is>
          <t>OLD-58</t>
        </is>
      </c>
      <c r="R18" s="8" t="inlineStr">
        <is>
          <t>Dynamic data core</t>
        </is>
      </c>
      <c r="S18" s="10" t="inlineStr">
        <is>
          <t>No</t>
        </is>
      </c>
      <c r="T18" s="10" t="n"/>
      <c r="U18" s="10" t="n"/>
    </row>
    <row r="19">
      <c r="A19" s="10" t="n">
        <v>18</v>
      </c>
      <c r="B19" s="10" t="inlineStr">
        <is>
          <t>Claude</t>
        </is>
      </c>
      <c r="C19" s="8" t="inlineStr">
        <is>
          <t>Metadata Core &amp; Dynamic Platform</t>
        </is>
      </c>
      <c r="D19" s="8" t="inlineStr">
        <is>
          <t>Concurrency control: optimistic rowversion plus live edit lock showing the lock holder</t>
        </is>
      </c>
      <c r="E19" s="10" t="inlineStr">
        <is>
          <t>Feature</t>
        </is>
      </c>
      <c r="F19" s="10" t="inlineStr">
        <is>
          <t>Not Started</t>
        </is>
      </c>
      <c r="G19" s="10" t="inlineStr">
        <is>
          <t>P1</t>
        </is>
      </c>
      <c r="H19" s="8" t="inlineStr">
        <is>
          <t>PEMS has SignalR hubs but no generic record lock. Real-time and locking is a new subsystem, not an extension. 2026-10-28: follows the REST API standard ADR-0009 / guideline chapter 08 (#431).</t>
        </is>
      </c>
      <c r="I19" s="8" t="inlineStr">
        <is>
          <t>Locks with safe expiry, release on disconnect, auditable conflicts.</t>
        </is>
      </c>
      <c r="J19" s="8" t="inlineStr">
        <is>
          <t>Two users on one record: the second sees 'being edited by ...'; simultaneous saves never silently overwrite.</t>
        </is>
      </c>
      <c r="K19" s="8" t="n"/>
      <c r="L19" s="10" t="inlineStr">
        <is>
          <t>M4</t>
        </is>
      </c>
      <c r="M19" s="10" t="inlineStr">
        <is>
          <t>L</t>
        </is>
      </c>
      <c r="N19" s="10" t="inlineStr">
        <is>
          <t>Medium</t>
        </is>
      </c>
      <c r="O19" s="10" t="inlineStr">
        <is>
          <t>#12</t>
        </is>
      </c>
      <c r="P19" s="10" t="inlineStr">
        <is>
          <t>Titan #104</t>
        </is>
      </c>
      <c r="Q19" s="10" t="inlineStr">
        <is>
          <t>OLD-93</t>
        </is>
      </c>
      <c r="R19" s="8" t="inlineStr">
        <is>
          <t>Dynamic data core</t>
        </is>
      </c>
      <c r="S19" s="10" t="inlineStr">
        <is>
          <t>No</t>
        </is>
      </c>
      <c r="T19" s="10" t="n"/>
      <c r="U19" s="10" t="n"/>
    </row>
    <row r="20">
      <c r="A20" s="10" t="n">
        <v>19</v>
      </c>
      <c r="B20" s="10" t="inlineStr">
        <is>
          <t>Claude</t>
        </is>
      </c>
      <c r="C20" s="8" t="inlineStr">
        <is>
          <t>Metadata Core &amp; Dynamic Platform</t>
        </is>
      </c>
      <c r="D20" s="8" t="inlineStr">
        <is>
          <t>Generic attachments, comments and activity (chatter) for any entity</t>
        </is>
      </c>
      <c r="E20" s="10" t="inlineStr">
        <is>
          <t>Feature</t>
        </is>
      </c>
      <c r="F20" s="10" t="inlineStr">
        <is>
          <t>Not Started</t>
        </is>
      </c>
      <c r="G20" s="10" t="inlineStr">
        <is>
          <t>P1</t>
        </is>
      </c>
      <c r="H20" s="8" t="inlineStr">
        <is>
          <t>Each module has its own attachments/comments today; one shared component and model is needed.</t>
        </is>
      </c>
      <c r="I20" s="8" t="inlineStr">
        <is>
          <t>A polymorphic attachment/comment table whose RLS is inherited from the parent record, using the hardened upload path.</t>
        </is>
      </c>
      <c r="J20" s="8" t="inlineStr">
        <is>
          <t>One checkbox on an entity turns attachments/comments on.</t>
        </is>
      </c>
      <c r="K20" s="8" t="n"/>
      <c r="L20" s="10" t="inlineStr">
        <is>
          <t>M4</t>
        </is>
      </c>
      <c r="M20" s="10" t="inlineStr">
        <is>
          <t>M</t>
        </is>
      </c>
      <c r="N20" s="10" t="inlineStr">
        <is>
          <t>High</t>
        </is>
      </c>
      <c r="O20" s="10" t="inlineStr">
        <is>
          <t>#12 #183</t>
        </is>
      </c>
      <c r="P20" s="10" t="inlineStr"/>
      <c r="Q20" s="10" t="inlineStr"/>
      <c r="R20" s="8" t="inlineStr">
        <is>
          <t>Dynamic data core</t>
        </is>
      </c>
      <c r="S20" s="10" t="inlineStr">
        <is>
          <t>No</t>
        </is>
      </c>
      <c r="T20" s="10" t="n"/>
      <c r="U20" s="10" t="n"/>
    </row>
    <row r="21">
      <c r="A21" s="10" t="n">
        <v>20</v>
      </c>
      <c r="B21" s="10" t="inlineStr">
        <is>
          <t>Claude</t>
        </is>
      </c>
      <c r="C21" s="8" t="inlineStr">
        <is>
          <t>Metadata Core &amp; Dynamic Platform</t>
        </is>
      </c>
      <c r="D21" s="8" t="inlineStr">
        <is>
          <t>Menu generation from metadata with access filtering and orphan-controller test</t>
        </is>
      </c>
      <c r="E21" s="10" t="inlineStr">
        <is>
          <t>Feature</t>
        </is>
      </c>
      <c r="F21" s="10" t="inlineStr">
        <is>
          <t>Not Started</t>
        </is>
      </c>
      <c r="G21" s="10" t="inlineStr">
        <is>
          <t>P0</t>
        </is>
      </c>
      <c r="H21" s="8" t="inlineStr">
        <is>
          <t>The current menu in _SidebarMenu.cshtml is static. 2026-10-28 audit: the designer saves through the definition store API (#434), not its own storage. 2026-10-28: the stored shape follows ADR-0011 (UI definition model).</t>
        </is>
      </c>
      <c r="I21" s="8" t="inlineStr">
        <is>
          <t>Tree menu from metadata (order, icon, grouping, license/access conditions); automated test for controllers with no menu entry.</t>
        </is>
      </c>
      <c r="J21" s="8" t="inlineStr">
        <is>
          <t>The menu updates with no code change when a module is added; items without permission are not shown.</t>
        </is>
      </c>
      <c r="K21" s="8" t="inlineStr">
        <is>
          <t>PM 2026-10-18: raised to P0/M2 (module wizard depends on it).</t>
        </is>
      </c>
      <c r="L21" s="10" t="inlineStr">
        <is>
          <t>M2</t>
        </is>
      </c>
      <c r="M21" s="10" t="inlineStr">
        <is>
          <t>M</t>
        </is>
      </c>
      <c r="N21" s="10" t="inlineStr">
        <is>
          <t>High</t>
        </is>
      </c>
      <c r="O21" s="10" t="inlineStr">
        <is>
          <t>#10 #434</t>
        </is>
      </c>
      <c r="P21" s="10" t="inlineStr"/>
      <c r="Q21" s="10" t="inlineStr">
        <is>
          <t>OLD-7</t>
        </is>
      </c>
      <c r="R21" s="8" t="inlineStr">
        <is>
          <t>Dynamic data core</t>
        </is>
      </c>
      <c r="S21" s="10" t="inlineStr">
        <is>
          <t>Yes</t>
        </is>
      </c>
      <c r="T21" s="10" t="n"/>
      <c r="U21" s="10" t="n"/>
    </row>
    <row r="22">
      <c r="A22" s="10" t="n">
        <v>21</v>
      </c>
      <c r="B22" s="10" t="inlineStr">
        <is>
          <t>Claude</t>
        </is>
      </c>
      <c r="C22" s="8" t="inlineStr">
        <is>
          <t>Metadata Core &amp; Dynamic Platform</t>
        </is>
      </c>
      <c r="D22" s="8" t="inlineStr">
        <is>
          <t>Managed Reference/OptionSet type: value lists with history and translation</t>
        </is>
      </c>
      <c r="E22" s="10" t="inlineStr">
        <is>
          <t>Feature</t>
        </is>
      </c>
      <c r="F22" s="10" t="inlineStr">
        <is>
          <t>Not Started</t>
        </is>
      </c>
      <c r="G22" s="10" t="inlineStr">
        <is>
          <t>P1</t>
        </is>
      </c>
      <c r="H22" s="8" t="inlineStr">
        <is>
          <t>Selectable values must be translatable and carry history.</t>
        </is>
      </c>
      <c r="I22" s="8" t="inlineStr">
        <is>
          <t>OptionSet with value/label (Persian and English)/color/active flag and cascading dependencies (e.g. unit to equipment).</t>
        </is>
      </c>
      <c r="J22" s="8" t="inlineStr">
        <is>
          <t>Changing a value's label is correct on existing records and is audited.</t>
        </is>
      </c>
      <c r="K22" s="8" t="n"/>
      <c r="L22" s="10" t="inlineStr">
        <is>
          <t>M4</t>
        </is>
      </c>
      <c r="M22" s="10" t="inlineStr">
        <is>
          <t>M</t>
        </is>
      </c>
      <c r="N22" s="10" t="inlineStr">
        <is>
          <t>Medium</t>
        </is>
      </c>
      <c r="O22" s="10" t="inlineStr">
        <is>
          <t>#10</t>
        </is>
      </c>
      <c r="P22" s="10" t="inlineStr">
        <is>
          <t>Titan #138 #230</t>
        </is>
      </c>
      <c r="Q22" s="10" t="inlineStr"/>
      <c r="R22" s="8" t="inlineStr">
        <is>
          <t>Dynamic data core</t>
        </is>
      </c>
      <c r="S22" s="10" t="inlineStr">
        <is>
          <t>No</t>
        </is>
      </c>
      <c r="T22" s="10" t="n"/>
      <c r="U22" s="10" t="n"/>
    </row>
    <row r="23">
      <c r="A23" s="10" t="n">
        <v>22</v>
      </c>
      <c r="B23" s="10" t="inlineStr">
        <is>
          <t>Claude</t>
        </is>
      </c>
      <c r="C23" s="8" t="inlineStr">
        <is>
          <t>Metadata Core &amp; Dynamic Platform</t>
        </is>
      </c>
      <c r="D23" s="8" t="inlineStr">
        <is>
          <t>Relation registry and generalized Relationship Explorer with RLS on every node and edge</t>
        </is>
      </c>
      <c r="E23" s="10" t="inlineStr">
        <is>
          <t>Feature</t>
        </is>
      </c>
      <c r="F23" s="10" t="inlineStr">
        <is>
          <t>Not Started</t>
        </is>
      </c>
      <c r="G23" s="10" t="inlineStr">
        <is>
          <t>P1</t>
        </is>
      </c>
      <c r="H23" s="8" t="inlineStr">
        <is>
          <t>PEMS already has a Relationship Explorer service (Done) but relations are hard-coded.</t>
        </is>
      </c>
      <c r="I23" s="8" t="inlineStr">
        <is>
          <t>Relations with cardinality, label, cascade, snapshot and permission; the relation graph is read from the registry.</t>
        </is>
      </c>
      <c r="J23" s="8" t="inlineStr">
        <is>
          <t>A relation added in the UI appears in the explorer and a forbidden node is never shown.</t>
        </is>
      </c>
      <c r="K23" s="8" t="n"/>
      <c r="L23" s="10" t="inlineStr">
        <is>
          <t>M4</t>
        </is>
      </c>
      <c r="M23" s="10" t="inlineStr">
        <is>
          <t>L</t>
        </is>
      </c>
      <c r="N23" s="10" t="inlineStr">
        <is>
          <t>High</t>
        </is>
      </c>
      <c r="O23" s="10" t="inlineStr">
        <is>
          <t>#10</t>
        </is>
      </c>
      <c r="P23" s="10" t="inlineStr"/>
      <c r="Q23" s="10" t="inlineStr">
        <is>
          <t>OLD-32 OLD-36</t>
        </is>
      </c>
      <c r="R23" s="8" t="inlineStr">
        <is>
          <t>Dynamic data core</t>
        </is>
      </c>
      <c r="S23" s="10" t="inlineStr">
        <is>
          <t>No</t>
        </is>
      </c>
      <c r="T23" s="10" t="n"/>
      <c r="U23" s="10" t="n"/>
    </row>
    <row r="24">
      <c r="A24" s="10" t="n">
        <v>23</v>
      </c>
      <c r="B24" s="10" t="inlineStr">
        <is>
          <t>Claude</t>
        </is>
      </c>
      <c r="C24" s="8" t="inlineStr">
        <is>
          <t>Metadata Core &amp; Dynamic Platform</t>
        </is>
      </c>
      <c r="D24" s="8" t="inlineStr">
        <is>
          <t>Signed metadata package (export/import) and Dev-to-Test-to-Prod promotion</t>
        </is>
      </c>
      <c r="E24" s="10" t="inlineStr">
        <is>
          <t>Feature</t>
        </is>
      </c>
      <c r="F24" s="10" t="inlineStr">
        <is>
          <t>Not Started</t>
        </is>
      </c>
      <c r="G24" s="10" t="inlineStr">
        <is>
          <t>P0</t>
        </is>
      </c>
      <c r="H24" s="8" t="inlineStr">
        <is>
          <t>Customers need to build modules/forms/workflows in test and promote them; without this dynamic behavior is unsafe in production.</t>
        </is>
      </c>
      <c r="I24" s="8" t="inlineStr">
        <is>
          <t>A JSON/zip package with dependencies, diff, approval, smoke test, release note and rollback.</t>
        </is>
      </c>
      <c r="J24" s="8" t="inlineStr">
        <is>
          <t>A module package installs on a second instance and runs untouched; an incompatible package is rejected.</t>
        </is>
      </c>
      <c r="K24" s="8" t="inlineStr">
        <is>
          <t>PM 2026-10-18: raised to P0/M2 (module versions depend on it).</t>
        </is>
      </c>
      <c r="L24" s="10" t="inlineStr">
        <is>
          <t>M2</t>
        </is>
      </c>
      <c r="M24" s="10" t="inlineStr">
        <is>
          <t>L</t>
        </is>
      </c>
      <c r="N24" s="10" t="inlineStr">
        <is>
          <t>High</t>
        </is>
      </c>
      <c r="O24" s="10" t="inlineStr">
        <is>
          <t>#10</t>
        </is>
      </c>
      <c r="P24" s="10" t="inlineStr">
        <is>
          <t>Titan #150</t>
        </is>
      </c>
      <c r="Q24" s="10" t="inlineStr">
        <is>
          <t>OLD-75</t>
        </is>
      </c>
      <c r="R24" s="8" t="inlineStr">
        <is>
          <t>Dynamic data core</t>
        </is>
      </c>
      <c r="S24" s="10" t="inlineStr">
        <is>
          <t>Yes</t>
        </is>
      </c>
      <c r="T24" s="10" t="n"/>
      <c r="U24" s="10" t="n"/>
    </row>
    <row r="25">
      <c r="A25" s="10" t="n">
        <v>24</v>
      </c>
      <c r="B25" s="10" t="inlineStr">
        <is>
          <t>Claude</t>
        </is>
      </c>
      <c r="C25" s="8" t="inlineStr">
        <is>
          <t>Metadata Core &amp; Dynamic Platform</t>
        </is>
      </c>
      <c r="D25" s="8" t="inlineStr">
        <is>
          <t>Multilingual labels and messages in metadata (translatable strings, Persian default + English)</t>
        </is>
      </c>
      <c r="E25" s="10" t="inlineStr">
        <is>
          <t>Feature</t>
        </is>
      </c>
      <c r="F25" s="10" t="inlineStr">
        <is>
          <t>Not Started</t>
        </is>
      </c>
      <c r="G25" s="10" t="inlineStr">
        <is>
          <t>P1</t>
        </is>
      </c>
      <c r="H25" s="8" t="inlineStr">
        <is>
          <t>Language/direction should be configurable at system/app/model/field level. PEMS currently sets DefaultRequestCulture to en in Program.cs.</t>
        </is>
      </c>
      <c r="I25" s="8" t="inlineStr">
        <is>
          <t>All metadata labels as a language map with a defined fallback; Persian is the product default.</t>
        </is>
      </c>
      <c r="J25" s="8" t="inlineStr">
        <is>
          <t>Changing a user's language changes labels only, never data.</t>
        </is>
      </c>
      <c r="K25" s="8" t="n"/>
      <c r="L25" s="10" t="inlineStr">
        <is>
          <t>M4</t>
        </is>
      </c>
      <c r="M25" s="10" t="inlineStr">
        <is>
          <t>M</t>
        </is>
      </c>
      <c r="N25" s="10" t="inlineStr">
        <is>
          <t>High</t>
        </is>
      </c>
      <c r="O25" s="10" t="inlineStr">
        <is>
          <t>#10 #205</t>
        </is>
      </c>
      <c r="P25" s="10" t="inlineStr">
        <is>
          <t>Titan #190</t>
        </is>
      </c>
      <c r="Q25" s="10" t="inlineStr"/>
      <c r="R25" s="8" t="inlineStr">
        <is>
          <t>Dynamic data core</t>
        </is>
      </c>
      <c r="S25" s="10" t="inlineStr">
        <is>
          <t>No</t>
        </is>
      </c>
      <c r="T25" s="10" t="n"/>
      <c r="U25" s="10" t="n"/>
    </row>
    <row r="26">
      <c r="A26" s="10" t="n">
        <v>25</v>
      </c>
      <c r="B26" s="10" t="inlineStr">
        <is>
          <t>Claude</t>
        </is>
      </c>
      <c r="C26" s="8" t="inlineStr">
        <is>
          <t>Metadata Core &amp; Dynamic Platform</t>
        </is>
      </c>
      <c r="D26" s="8" t="inlineStr">
        <is>
          <t>Dynamic import designer (template, column mapping, staging, review, commit, rollback) on any entity</t>
        </is>
      </c>
      <c r="E26" s="10" t="inlineStr">
        <is>
          <t>Feature</t>
        </is>
      </c>
      <c r="F26" s="10" t="inlineStr">
        <is>
          <t>Not Started</t>
        </is>
      </c>
      <c r="G26" s="10" t="inlineStr">
        <is>
          <t>P1</t>
        </is>
      </c>
      <c r="H26" s="8" t="inlineStr">
        <is>
          <t>PEMS has 11 fixed imports (Import Center). Customers must build imports for their own modules. A partial update must not fail on an intentionally blank field.</t>
        </is>
      </c>
      <c r="I26" s="8" t="inlineStr">
        <is>
          <t>Auto-generate an Excel template from metadata, error preview, asynchronous run and row-level error report.</t>
        </is>
      </c>
      <c r="J26" s="8" t="inlineStr">
        <is>
          <t>A 50k-row import with row-level errors and full rollback; import permission uses the same RLS.</t>
        </is>
      </c>
      <c r="K26" s="8" t="n"/>
      <c r="L26" s="10" t="inlineStr">
        <is>
          <t>M4</t>
        </is>
      </c>
      <c r="M26" s="10" t="inlineStr">
        <is>
          <t>L</t>
        </is>
      </c>
      <c r="N26" s="10" t="inlineStr">
        <is>
          <t>High</t>
        </is>
      </c>
      <c r="O26" s="10" t="inlineStr">
        <is>
          <t>#12</t>
        </is>
      </c>
      <c r="P26" s="10" t="inlineStr">
        <is>
          <t>Titan #13</t>
        </is>
      </c>
      <c r="Q26" s="10" t="inlineStr">
        <is>
          <t>OLD-56 OLD-57</t>
        </is>
      </c>
      <c r="R26" s="8" t="inlineStr">
        <is>
          <t>Dynamic data core</t>
        </is>
      </c>
      <c r="S26" s="10" t="inlineStr">
        <is>
          <t>No</t>
        </is>
      </c>
      <c r="T26" s="10" t="n"/>
      <c r="U26" s="10" t="n"/>
    </row>
    <row r="27">
      <c r="A27" s="10" t="n">
        <v>26</v>
      </c>
      <c r="B27" s="10" t="inlineStr">
        <is>
          <t>Claude</t>
        </is>
      </c>
      <c r="C27" s="8" t="inlineStr">
        <is>
          <t>Metadata Core &amp; Dynamic Platform</t>
        </is>
      </c>
      <c r="D27" s="8" t="inlineStr">
        <is>
          <t>A field with a default value must never persist as NULL (including bulk paths)</t>
        </is>
      </c>
      <c r="E27" s="10" t="inlineStr">
        <is>
          <t>Tech Debt</t>
        </is>
      </c>
      <c r="F27" s="10" t="inlineStr">
        <is>
          <t>Not Started</t>
        </is>
      </c>
      <c r="G27" s="10" t="inlineStr">
        <is>
          <t>P2</t>
        </is>
      </c>
      <c r="H27" s="8" t="inlineStr">
        <is>
          <t>Bulk and import paths bypass defaults on comparable platforms.</t>
        </is>
      </c>
      <c r="I27" s="8" t="inlineStr">
        <is>
          <t>Apply a DEFAULT constraint in the DB and enforce it in bulk/import paths.</t>
        </is>
      </c>
      <c r="J27" s="8" t="inlineStr">
        <is>
          <t>A bulk test shows no NULL for defaulted fields.</t>
        </is>
      </c>
      <c r="K27" s="8" t="n"/>
      <c r="L27" s="10" t="inlineStr">
        <is>
          <t>M5</t>
        </is>
      </c>
      <c r="M27" s="10" t="inlineStr">
        <is>
          <t>S</t>
        </is>
      </c>
      <c r="N27" s="10" t="inlineStr">
        <is>
          <t>Low</t>
        </is>
      </c>
      <c r="O27" s="10" t="inlineStr">
        <is>
          <t>#14</t>
        </is>
      </c>
      <c r="P27" s="10" t="inlineStr">
        <is>
          <t>Titan #14</t>
        </is>
      </c>
      <c r="Q27" s="10" t="inlineStr"/>
      <c r="R27" s="8" t="inlineStr">
        <is>
          <t>Dynamic data core</t>
        </is>
      </c>
      <c r="S27" s="10" t="inlineStr">
        <is>
          <t>No</t>
        </is>
      </c>
      <c r="T27" s="10" t="n"/>
      <c r="U27" s="10" t="n"/>
    </row>
    <row r="28">
      <c r="A28" s="10" t="n">
        <v>27</v>
      </c>
      <c r="B28" s="10" t="inlineStr">
        <is>
          <t>Claude</t>
        </is>
      </c>
      <c r="C28" s="8" t="inlineStr">
        <is>
          <t>Metadata Core &amp; Dynamic Platform</t>
        </is>
      </c>
      <c r="D28" s="8" t="inlineStr">
        <is>
          <t>Duplicate-record merge tool (pick the winning value per field, replace FKs, soft-delete the loser)</t>
        </is>
      </c>
      <c r="E28" s="10" t="inlineStr">
        <is>
          <t>Feature</t>
        </is>
      </c>
      <c r="F28" s="10" t="inlineStr">
        <is>
          <t>Not Started</t>
        </is>
      </c>
      <c r="G28" s="10" t="inlineStr">
        <is>
          <t>P3</t>
        </is>
      </c>
      <c r="H28" s="8" t="inlineStr">
        <is>
          <t>Useful for cleaning migrated data.</t>
        </is>
      </c>
      <c r="I28" s="8" t="inlineStr">
        <is>
          <t>A merge wizard with preview and audit.</t>
        </is>
      </c>
      <c r="J28" s="8" t="inlineStr">
        <is>
          <t>Merging two duplicate equipment records moves every reference.</t>
        </is>
      </c>
      <c r="K28" s="8" t="n"/>
      <c r="L28" s="10" t="inlineStr">
        <is>
          <t>M6</t>
        </is>
      </c>
      <c r="M28" s="10" t="inlineStr">
        <is>
          <t>L</t>
        </is>
      </c>
      <c r="N28" s="10" t="inlineStr">
        <is>
          <t>Low</t>
        </is>
      </c>
      <c r="O28" s="10" t="inlineStr">
        <is>
          <t>#12</t>
        </is>
      </c>
      <c r="P28" s="10" t="inlineStr">
        <is>
          <t>Titan #9</t>
        </is>
      </c>
      <c r="Q28" s="10" t="inlineStr"/>
      <c r="R28" s="8" t="inlineStr">
        <is>
          <t>Dynamic data core</t>
        </is>
      </c>
      <c r="S28" s="10" t="inlineStr">
        <is>
          <t>No</t>
        </is>
      </c>
      <c r="T28" s="10" t="n"/>
      <c r="U28" s="10" t="n"/>
    </row>
    <row r="29">
      <c r="A29" s="10" t="n">
        <v>28</v>
      </c>
      <c r="B29" s="10" t="inlineStr">
        <is>
          <t>Claude</t>
        </is>
      </c>
      <c r="C29" s="8" t="inlineStr">
        <is>
          <t>Metadata Core &amp; Dynamic Platform</t>
        </is>
      </c>
      <c r="D29" s="8" t="inlineStr">
        <is>
          <t>Metadata cache with invalidation on write and ETag/gzip for static responses</t>
        </is>
      </c>
      <c r="E29" s="10" t="inlineStr">
        <is>
          <t>Tech Debt</t>
        </is>
      </c>
      <c r="F29" s="10" t="inlineStr">
        <is>
          <t>Not Started</t>
        </is>
      </c>
      <c r="G29" s="10" t="inlineStr">
        <is>
          <t>P0</t>
        </is>
      </c>
      <c r="H29" s="8" t="inlineStr">
        <is>
          <t>A cached registry (TTL + write invalidation) with ETag/gzip cured slow database access on a comparable platform; a registry change must not need a rebuild. 2026-10-28: follows the REST API standard ADR-0009 / guideline chapter 08 (#431). 2026-10-28: design in docs/architecture/METADATA_REGISTRY_DESIGN.md (ADR-0010); payload and lifecycle follow the definition envelope.</t>
        </is>
      </c>
      <c r="I29" s="8" t="inlineStr">
        <is>
          <t>In-memory cache keyed by metadata version; coherent invalidation across instances.</t>
        </is>
      </c>
      <c r="J29" s="8" t="inlineStr">
        <is>
          <t>A metadata change takes effect on all instances in under 2 seconds; database load for reading metadata is near zero.</t>
        </is>
      </c>
      <c r="K29" s="8" t="n"/>
      <c r="L29" s="10" t="inlineStr">
        <is>
          <t>M1</t>
        </is>
      </c>
      <c r="M29" s="10" t="inlineStr">
        <is>
          <t>M</t>
        </is>
      </c>
      <c r="N29" s="10" t="inlineStr">
        <is>
          <t>High</t>
        </is>
      </c>
      <c r="O29" s="10" t="inlineStr">
        <is>
          <t>#10</t>
        </is>
      </c>
      <c r="P29" s="10" t="inlineStr">
        <is>
          <t>Titan #50 #61</t>
        </is>
      </c>
      <c r="Q29" s="10" t="inlineStr"/>
      <c r="R29" s="8" t="inlineStr">
        <is>
          <t>Dynamic data core</t>
        </is>
      </c>
      <c r="S29" s="10" t="inlineStr">
        <is>
          <t>No</t>
        </is>
      </c>
      <c r="T29" s="10" t="n"/>
      <c r="U29" s="10" t="n"/>
    </row>
    <row r="30">
      <c r="A30" s="10" t="n">
        <v>29</v>
      </c>
      <c r="B30" s="10" t="inlineStr">
        <is>
          <t>Claude</t>
        </is>
      </c>
      <c r="C30" s="8" t="inlineStr">
        <is>
          <t>Component Library &amp; Design System</t>
        </is>
      </c>
      <c r="D30" s="8" t="inlineStr">
        <is>
          <t>Finish the UI pattern audit: review the 30 heaviest pages by hand and compute the convertible percentage per migration wave</t>
        </is>
      </c>
      <c r="E30" s="10" t="inlineStr">
        <is>
          <t>Research</t>
        </is>
      </c>
      <c r="F30" s="10" t="inlineStr">
        <is>
          <t>Partial</t>
        </is>
      </c>
      <c r="G30" s="10" t="inlineStr">
        <is>
          <t>P0</t>
        </is>
      </c>
      <c r="H30" s="8" t="inlineStr">
        <is>
          <t>Views are page-specific, with separate CSS/JS (pems-data-grid, pems-vdr, pems-global-search). No pattern inventory exists. 2026-10-23 static audit run (tools/UiAudit/pattern-audit.py): 339 views = 303 pages + 36 partials; list 141, form 61 (+20 small), dashboard 26, table-only 32, detail 10, other 13; 2,587 hand-written inputs vs 202 asp-for; 342 tables, 108 modals, 846 badges; 632 inline styles in 197 views, 89 inline scripts; only 33/303 pages use the page header, 8 an empty state, 3 a loading state. Per-view table 'view -&gt; pattern -&gt; target component -&gt; wave' is docs/design/ui-pattern-audit.csv; summary docs/design/UI_PATTERN_AUDIT.md.</t>
        </is>
      </c>
      <c r="I30" s="8" t="inlineStr">
        <is>
          <t>1) Open docs/design/UI_PATTERN_AUDIT.md and extend its heaviest-pages list to 30. 2) For each page decide A (convertible with the planned components as is), B (needs a new component) or C (stays custom); record the new components B needs. 3) Add the percentages per wave to the audit document. 4) Re-run python tools/UiAudit/pattern-audit.py --md and commit the refreshed files.</t>
        </is>
      </c>
      <c r="J30" s="8" t="inlineStr">
        <is>
          <t>Done when: the audit document lists A/B/C for 30 pages and the percentage per wave W1-W5; the list of missing components feeds rows #322-#325.</t>
        </is>
      </c>
      <c r="K30" s="8" t="inlineStr">
        <is>
          <t>Static inventory done; the 'convertible percentage' and manual review of the heaviest pages remain (rerun the script per wave).</t>
        </is>
      </c>
      <c r="L30" s="10" t="inlineStr">
        <is>
          <t>M0</t>
        </is>
      </c>
      <c r="M30" s="10" t="inlineStr">
        <is>
          <t>M</t>
        </is>
      </c>
      <c r="N30" s="10" t="inlineStr">
        <is>
          <t>Sales blocker</t>
        </is>
      </c>
      <c r="O30" s="10" t="inlineStr"/>
      <c r="P30" s="10" t="inlineStr"/>
      <c r="Q30" s="10" t="inlineStr">
        <is>
          <t>OLD-96</t>
        </is>
      </c>
      <c r="R30" s="8" t="inlineStr">
        <is>
          <t>UI component library</t>
        </is>
      </c>
      <c r="S30" s="10" t="inlineStr">
        <is>
          <t>No</t>
        </is>
      </c>
      <c r="T30" s="10" t="inlineStr">
        <is>
          <t>Sprint 1</t>
        </is>
      </c>
      <c r="U30" s="10" t="inlineStr">
        <is>
          <t>Member B</t>
        </is>
      </c>
    </row>
    <row r="31">
      <c r="A31" s="10" t="n">
        <v>30</v>
      </c>
      <c r="B31" s="10" t="inlineStr">
        <is>
          <t>Claude</t>
        </is>
      </c>
      <c r="C31" s="8" t="inlineStr">
        <is>
          <t>Component Library &amp; Design System</t>
        </is>
      </c>
      <c r="D31" s="8" t="inlineStr">
        <is>
          <t>Consolidate the design tokens into one file and remove hard-coded colours from the shared CSS</t>
        </is>
      </c>
      <c r="E31" s="10" t="inlineStr">
        <is>
          <t>Feature</t>
        </is>
      </c>
      <c r="F31" s="10" t="inlineStr">
        <is>
          <t>Not Started</t>
        </is>
      </c>
      <c r="G31" s="10" t="inlineStr">
        <is>
          <t>P0</t>
        </is>
      </c>
      <c r="H31" s="8" t="inlineStr">
        <is>
          <t>Foundation for white-labeling (BRD) and UI consistency; content density should be configurable. 2026-10-23 audit: 21 CSS files / 4,554 lines, 642 hard-coded hex colours vs 753 var(--pems-*) uses, 65 physical left/right rules (RTL); .vs-* workspace system and --pems tokens already exist and are the starting point.</t>
        </is>
      </c>
      <c r="I31" s="8" t="inlineStr">
        <is>
          <t>1) Create PEMS.Web/wwwroot/css/tokens.css (moves into PEMS.UI later, #320) with colour, typography (Persian and English), spacing, radius, elevation, density, status and chart palette, for the Light, Dark and Turquoise themes. 2) Replace the 642 hex colours in the shared CSS (pems-workspace.css, pems-themes.css, site.css, administration-design-system.css) with tokens. 3) Replace physical left/right rules (65 in the audit) with logical properties. 4) Compare screenshots before and after in LTR and RTL.</t>
        </is>
      </c>
      <c r="J31" s="8" t="inlineStr">
        <is>
          <t>Done when: the four listed CSS files contain no hex colours and no physical left/right rules; screenshots show no visible change; the token file is documented in docs/design/WORKSPACE_DESIGN_SYSTEM.md.</t>
        </is>
      </c>
      <c r="K31" s="8" t="n"/>
      <c r="L31" s="10" t="inlineStr">
        <is>
          <t>M1</t>
        </is>
      </c>
      <c r="M31" s="10" t="inlineStr">
        <is>
          <t>M</t>
        </is>
      </c>
      <c r="N31" s="10" t="inlineStr">
        <is>
          <t>High</t>
        </is>
      </c>
      <c r="O31" s="10" t="inlineStr">
        <is>
          <t>#5</t>
        </is>
      </c>
      <c r="P31" s="10" t="inlineStr">
        <is>
          <t>Titan #192 #128</t>
        </is>
      </c>
      <c r="Q31" s="10" t="inlineStr">
        <is>
          <t>OLD-95</t>
        </is>
      </c>
      <c r="R31" s="8" t="inlineStr">
        <is>
          <t>UI component library</t>
        </is>
      </c>
      <c r="S31" s="10" t="inlineStr">
        <is>
          <t>No</t>
        </is>
      </c>
      <c r="T31" s="10" t="inlineStr">
        <is>
          <t>Sprint 1</t>
        </is>
      </c>
      <c r="U31" s="10" t="inlineStr">
        <is>
          <t>Member B</t>
        </is>
      </c>
    </row>
    <row r="32">
      <c r="A32" s="10" t="n">
        <v>31</v>
      </c>
      <c r="B32" s="10" t="inlineStr">
        <is>
          <t>Claude</t>
        </is>
      </c>
      <c r="C32" s="8" t="inlineStr">
        <is>
          <t>Component Library &amp; Design System</t>
        </is>
      </c>
      <c r="D32" s="8" t="inlineStr">
        <is>
          <t>Core component library: button, inputs, select/lookup, date/time, upload, modal, drawer, tabs, badge, tooltip, empty/error/loading states</t>
        </is>
      </c>
      <c r="E32" s="10" t="inlineStr">
        <is>
          <t>Feature</t>
        </is>
      </c>
      <c r="F32" s="10" t="inlineStr">
        <is>
          <t>Not Started</t>
        </is>
      </c>
      <c r="G32" s="10" t="inlineStr">
        <is>
          <t>P0</t>
        </is>
      </c>
      <c r="H32" s="8" t="inlineStr">
        <is>
          <t>Buttons, chips and loading states must be unified under one API. 2026-10-23: decomposed into #322 fields/form shell, #323 data display and skeletons, #324 overlays/navigation, #325 page templates; project, contract and gates in #320, #321, #326, #327.</t>
        </is>
      </c>
      <c r="I32" s="8" t="inlineStr">
        <is>
          <t>Components with a consistent API, documented, with no inline styles.</t>
        </is>
      </c>
      <c r="J32" s="8" t="inlineStr">
        <is>
          <t>100% of components in the form/grid vertical slice use only the library.</t>
        </is>
      </c>
      <c r="K32" s="8" t="n"/>
      <c r="L32" s="10" t="inlineStr">
        <is>
          <t>M1</t>
        </is>
      </c>
      <c r="M32" s="10" t="inlineStr">
        <is>
          <t>XL</t>
        </is>
      </c>
      <c r="N32" s="10" t="inlineStr">
        <is>
          <t>Sales blocker</t>
        </is>
      </c>
      <c r="O32" s="10" t="inlineStr">
        <is>
          <t>#30 #5 #320 #321</t>
        </is>
      </c>
      <c r="P32" s="10" t="inlineStr">
        <is>
          <t>Titan #41 #121 #122 #244</t>
        </is>
      </c>
      <c r="Q32" s="10" t="inlineStr">
        <is>
          <t>OLD-96</t>
        </is>
      </c>
      <c r="R32" s="8" t="inlineStr">
        <is>
          <t>UI component library</t>
        </is>
      </c>
      <c r="S32" s="10" t="inlineStr">
        <is>
          <t>No</t>
        </is>
      </c>
      <c r="T32" s="10" t="n"/>
      <c r="U32" s="10" t="n"/>
    </row>
    <row r="33">
      <c r="A33" s="10" t="n">
        <v>32</v>
      </c>
      <c r="B33" s="10" t="inlineStr">
        <is>
          <t>Claude</t>
        </is>
      </c>
      <c r="C33" s="8" t="inlineStr">
        <is>
          <t>Component Library &amp; Design System</t>
        </is>
      </c>
      <c r="D33" s="8" t="inlineStr">
        <is>
          <t>Enterprise data grid: server-side paging, filter, saved views, column picker, pinning, bulk actions, export, density, virtualization</t>
        </is>
      </c>
      <c r="E33" s="10" t="inlineStr">
        <is>
          <t>Feature</t>
        </is>
      </c>
      <c r="F33" s="10" t="inlineStr">
        <is>
          <t>Not Started</t>
        </is>
      </c>
      <c r="G33" s="10" t="inlineStr">
        <is>
          <t>P0</t>
        </is>
      </c>
      <c r="H33" s="8" t="inlineStr">
        <is>
          <t>The current grid (pems-data-grid.js) is page-specific. This is the most visible component in a sales demo.</t>
        </is>
      </c>
      <c r="I33" s="8" t="inlineStr">
        <is>
          <t>Build the grid on the D_API contract; RTL, 100k-row speed, per-user/role saved views.</t>
        </is>
      </c>
      <c r="J33" s="8" t="inlineStr">
        <is>
          <t>Every list in the vertical slice uses this grid and becomes interactive within 5 seconds.</t>
        </is>
      </c>
      <c r="K33" s="8" t="n"/>
      <c r="L33" s="10" t="inlineStr">
        <is>
          <t>M1</t>
        </is>
      </c>
      <c r="M33" s="10" t="inlineStr">
        <is>
          <t>XL</t>
        </is>
      </c>
      <c r="N33" s="10" t="inlineStr">
        <is>
          <t>Sales blocker</t>
        </is>
      </c>
      <c r="O33" s="10" t="inlineStr">
        <is>
          <t>#12 #31</t>
        </is>
      </c>
      <c r="P33" s="10" t="inlineStr">
        <is>
          <t>Titan #53 #139</t>
        </is>
      </c>
      <c r="Q33" s="10" t="inlineStr">
        <is>
          <t>OLD-97 OLD-90</t>
        </is>
      </c>
      <c r="R33" s="8" t="inlineStr">
        <is>
          <t>UI component library</t>
        </is>
      </c>
      <c r="S33" s="10" t="inlineStr">
        <is>
          <t>No</t>
        </is>
      </c>
      <c r="T33" s="10" t="n"/>
      <c r="U33" s="10" t="n"/>
    </row>
    <row r="34">
      <c r="A34" s="10" t="n">
        <v>33</v>
      </c>
      <c r="B34" s="10" t="inlineStr">
        <is>
          <t>Claude</t>
        </is>
      </c>
      <c r="C34" s="8" t="inlineStr">
        <is>
          <t>Component Library &amp; Design System</t>
        </is>
      </c>
      <c r="D34" s="8" t="inlineStr">
        <is>
          <t>View types: list, tree, cards/gallery, Kanban/status board, calendar (Jalali+Gregorian), timeline/Gantt</t>
        </is>
      </c>
      <c r="E34" s="10" t="inlineStr">
        <is>
          <t>Feature</t>
        </is>
      </c>
      <c r="F34" s="10" t="inlineStr">
        <is>
          <t>Not Started</t>
        </is>
      </c>
      <c r="G34" s="10" t="inlineStr">
        <is>
          <t>P1</t>
        </is>
      </c>
      <c r="H34" s="8" t="inlineStr">
        <is>
          <t>A calendar view available by default on every model is a proven need; CMMS scheduling depends on it.</t>
        </is>
      </c>
      <c r="I34" s="8" t="inlineStr">
        <is>
          <t>Each view is configured from entity metadata (date field, grouping).</t>
        </is>
      </c>
      <c r="J34" s="8" t="inlineStr">
        <is>
          <t>A dynamic entity gets a calendar/kanban view by toggling it, with no code.</t>
        </is>
      </c>
      <c r="K34" s="8" t="n"/>
      <c r="L34" s="10" t="inlineStr">
        <is>
          <t>M4</t>
        </is>
      </c>
      <c r="M34" s="10" t="inlineStr">
        <is>
          <t>L</t>
        </is>
      </c>
      <c r="N34" s="10" t="inlineStr">
        <is>
          <t>High</t>
        </is>
      </c>
      <c r="O34" s="10" t="inlineStr">
        <is>
          <t>#32</t>
        </is>
      </c>
      <c r="P34" s="10" t="inlineStr">
        <is>
          <t>Titan #179 #36</t>
        </is>
      </c>
      <c r="Q34" s="10" t="inlineStr">
        <is>
          <t>OLD-66</t>
        </is>
      </c>
      <c r="R34" s="8" t="inlineStr">
        <is>
          <t>UI component library</t>
        </is>
      </c>
      <c r="S34" s="10" t="inlineStr">
        <is>
          <t>No</t>
        </is>
      </c>
      <c r="T34" s="10" t="n"/>
      <c r="U34" s="10" t="n"/>
    </row>
    <row r="35">
      <c r="A35" s="10" t="n">
        <v>34</v>
      </c>
      <c r="B35" s="10" t="inlineStr">
        <is>
          <t>Claude</t>
        </is>
      </c>
      <c r="C35" s="8" t="inlineStr">
        <is>
          <t>Component Library &amp; Design System</t>
        </is>
      </c>
      <c r="D35" s="8" t="inlineStr">
        <is>
          <t>Dynamic form component standards (sections, tabs, help text, conditional, attachments, drafts, dirty-state prompt, responsiveness)</t>
        </is>
      </c>
      <c r="E35" s="10" t="inlineStr">
        <is>
          <t>Feature</t>
        </is>
      </c>
      <c r="F35" s="10" t="inlineStr">
        <is>
          <t>Not Started</t>
        </is>
      </c>
      <c r="G35" s="10" t="inlineStr">
        <is>
          <t>P0</t>
        </is>
      </c>
      <c r="H35" s="8" t="inlineStr">
        <is>
          <t>Foundation of FRM_RUN.</t>
        </is>
      </c>
      <c r="I35" s="8" t="inlineStr">
        <is>
          <t>Specify and build each form component with error, read-only and loading states.</t>
        </is>
      </c>
      <c r="J35" s="8" t="inlineStr">
        <is>
          <t>All states are visible and tested in the component gallery.</t>
        </is>
      </c>
      <c r="K35" s="8" t="n"/>
      <c r="L35" s="10" t="inlineStr">
        <is>
          <t>M1</t>
        </is>
      </c>
      <c r="M35" s="10" t="inlineStr">
        <is>
          <t>L</t>
        </is>
      </c>
      <c r="N35" s="10" t="inlineStr">
        <is>
          <t>High</t>
        </is>
      </c>
      <c r="O35" s="10" t="inlineStr">
        <is>
          <t>#31</t>
        </is>
      </c>
      <c r="P35" s="10" t="inlineStr"/>
      <c r="Q35" s="10" t="inlineStr">
        <is>
          <t>OLD-98</t>
        </is>
      </c>
      <c r="R35" s="8" t="inlineStr">
        <is>
          <t>UI component library</t>
        </is>
      </c>
      <c r="S35" s="10" t="inlineStr">
        <is>
          <t>No</t>
        </is>
      </c>
      <c r="T35" s="10" t="n"/>
      <c r="U35" s="10" t="n"/>
    </row>
    <row r="36">
      <c r="A36" s="10" t="n">
        <v>35</v>
      </c>
      <c r="B36" s="10" t="inlineStr">
        <is>
          <t>Claude</t>
        </is>
      </c>
      <c r="C36" s="8" t="inlineStr">
        <is>
          <t>Component Library &amp; Design System</t>
        </is>
      </c>
      <c r="D36" s="8" t="inlineStr">
        <is>
          <t>Lookup/Relation picker and TreeSelect (unit, PBS, equipment) with server-side search</t>
        </is>
      </c>
      <c r="E36" s="10" t="inlineStr">
        <is>
          <t>Feature</t>
        </is>
      </c>
      <c r="F36" s="10" t="inlineStr">
        <is>
          <t>Partial</t>
        </is>
      </c>
      <c r="G36" s="10" t="inlineStr">
        <is>
          <t>P1</t>
        </is>
      </c>
      <c r="H36" s="8" t="inlineStr">
        <is>
          <t>Parent selectors and tree selects must be library-based and optimized.</t>
        </is>
      </c>
      <c r="I36" s="8" t="inlineStr">
        <is>
          <t>Debounced search, paging, RLS, multi-select.</t>
        </is>
      </c>
      <c r="J36" s="8" t="inlineStr">
        <is>
          <t>Selecting from 200k equipment records is smooth.</t>
        </is>
      </c>
      <c r="K36" s="8" t="inlineStr">
        <is>
          <t>2026-10-28 SCRUM-57: searchable select on every form (PEMS.UI pems-select.js on vendored Tom Select, loaded by the layout; &gt;=8 options automatic, data-pems-select-source for permission-aware server search via /SearchApi, opt-out, inline in modals/dropdowns, cascading refresh, RTL/dark, fa/en). TreeSelect (unit/PBS) and paging beyond the first 20 server results are still open.</t>
        </is>
      </c>
      <c r="L36" s="10" t="inlineStr">
        <is>
          <t>M4</t>
        </is>
      </c>
      <c r="M36" s="10" t="inlineStr">
        <is>
          <t>M</t>
        </is>
      </c>
      <c r="N36" s="10" t="inlineStr">
        <is>
          <t>High</t>
        </is>
      </c>
      <c r="O36" s="10" t="inlineStr">
        <is>
          <t>#12 #31</t>
        </is>
      </c>
      <c r="P36" s="10" t="inlineStr">
        <is>
          <t>Titan #33 #47</t>
        </is>
      </c>
      <c r="Q36" s="10" t="inlineStr"/>
      <c r="R36" s="8" t="inlineStr">
        <is>
          <t>UI component library</t>
        </is>
      </c>
      <c r="S36" s="10" t="inlineStr">
        <is>
          <t>No</t>
        </is>
      </c>
      <c r="T36" s="10" t="n"/>
      <c r="U36" s="10" t="n"/>
    </row>
    <row r="37">
      <c r="A37" s="10" t="n">
        <v>36</v>
      </c>
      <c r="B37" s="10" t="inlineStr">
        <is>
          <t>Claude</t>
        </is>
      </c>
      <c r="C37" s="8" t="inlineStr">
        <is>
          <t>Component Library &amp; Design System</t>
        </is>
      </c>
      <c r="D37" s="8" t="inlineStr">
        <is>
          <t>Workflow/status components: timeline, badge, action bar, delegation, escalation, comments, audit trail</t>
        </is>
      </c>
      <c r="E37" s="10" t="inlineStr">
        <is>
          <t>Feature</t>
        </is>
      </c>
      <c r="F37" s="10" t="inlineStr">
        <is>
          <t>Not Started</t>
        </is>
      </c>
      <c r="G37" s="10" t="inlineStr">
        <is>
          <t>P1</t>
        </is>
      </c>
      <c r="H37" s="8" t="inlineStr">
        <is>
          <t>PEMS has static _PemsStageDiagram and _WorkOrderStagesDiagram. 2026-10-28 plan audit: dependency/milestone corrected (see docs/audits/2026-10-28-dynamic-restful-audit.md).</t>
        </is>
      </c>
      <c r="I37" s="8" t="inlineStr">
        <is>
          <t>Convert them to data-driven components fed by the workflow runtime.</t>
        </is>
      </c>
      <c r="J37" s="8" t="inlineStr">
        <is>
          <t>Every dynamic process gets these components without code.</t>
        </is>
      </c>
      <c r="K37" s="8" t="n"/>
      <c r="L37" s="10" t="inlineStr">
        <is>
          <t>M4</t>
        </is>
      </c>
      <c r="M37" s="10" t="inlineStr">
        <is>
          <t>M</t>
        </is>
      </c>
      <c r="N37" s="10" t="inlineStr">
        <is>
          <t>High</t>
        </is>
      </c>
      <c r="O37" s="10" t="inlineStr">
        <is>
          <t>#31</t>
        </is>
      </c>
      <c r="P37" s="10" t="inlineStr"/>
      <c r="Q37" s="10" t="inlineStr">
        <is>
          <t>OLD-99</t>
        </is>
      </c>
      <c r="R37" s="8" t="inlineStr">
        <is>
          <t>UI component library</t>
        </is>
      </c>
      <c r="S37" s="10" t="inlineStr">
        <is>
          <t>No</t>
        </is>
      </c>
      <c r="T37" s="10" t="n"/>
      <c r="U37" s="10" t="n"/>
    </row>
    <row r="38">
      <c r="A38" s="10" t="n">
        <v>37</v>
      </c>
      <c r="B38" s="10" t="inlineStr">
        <is>
          <t>Claude</t>
        </is>
      </c>
      <c r="C38" s="8" t="inlineStr">
        <is>
          <t>Component Library &amp; Design System</t>
        </is>
      </c>
      <c r="D38" s="8" t="inlineStr">
        <is>
          <t>Safe rich-text editor (RTL/LTR) with HTML sanitization</t>
        </is>
      </c>
      <c r="E38" s="10" t="inlineStr">
        <is>
          <t>Feature</t>
        </is>
      </c>
      <c r="F38" s="10" t="inlineStr">
        <is>
          <t>Partial</t>
        </is>
      </c>
      <c r="G38" s="10" t="inlineStr">
        <is>
          <t>P2</t>
        </is>
      </c>
      <c r="H38" s="8" t="inlineStr">
        <is>
          <t>A partial _RichTextEditorScripts.cshtml and HtmlSanitizer exist; they need standardizing and integration with the form builder.</t>
        </is>
      </c>
      <c r="I38" s="8" t="inlineStr">
        <is>
          <t>Turn it into a standard field type.</t>
        </is>
      </c>
      <c r="J38" s="8" t="inlineStr">
        <is>
          <t>A rich-text field in the form builder is sanitized on the server.</t>
        </is>
      </c>
      <c r="K38" s="8" t="n"/>
      <c r="L38" s="10" t="inlineStr">
        <is>
          <t>M5</t>
        </is>
      </c>
      <c r="M38" s="10" t="inlineStr">
        <is>
          <t>S</t>
        </is>
      </c>
      <c r="N38" s="10" t="inlineStr">
        <is>
          <t>Low</t>
        </is>
      </c>
      <c r="O38" s="10" t="inlineStr">
        <is>
          <t>#11</t>
        </is>
      </c>
      <c r="P38" s="10" t="inlineStr">
        <is>
          <t>Titan #231</t>
        </is>
      </c>
      <c r="Q38" s="10" t="inlineStr"/>
      <c r="R38" s="8" t="inlineStr">
        <is>
          <t>UI component library</t>
        </is>
      </c>
      <c r="S38" s="10" t="inlineStr">
        <is>
          <t>No</t>
        </is>
      </c>
      <c r="T38" s="10" t="n"/>
      <c r="U38" s="10" t="n"/>
    </row>
    <row r="39">
      <c r="A39" s="10" t="n">
        <v>38</v>
      </c>
      <c r="B39" s="10" t="inlineStr">
        <is>
          <t>Claude</t>
        </is>
      </c>
      <c r="C39" s="8" t="inlineStr">
        <is>
          <t>Component Library &amp; Design System</t>
        </is>
      </c>
      <c r="D39" s="8" t="inlineStr">
        <is>
          <t>Accessibility standard (contrast, focus, keyboard, labels, errors)</t>
        </is>
      </c>
      <c r="E39" s="10" t="inlineStr">
        <is>
          <t>Feature</t>
        </is>
      </c>
      <c r="F39" s="10" t="inlineStr">
        <is>
          <t>Not Started</t>
        </is>
      </c>
      <c r="G39" s="10" t="inlineStr">
        <is>
          <t>P1</t>
        </is>
      </c>
      <c r="H39" s="8" t="inlineStr">
        <is>
          <t>Often required in enterprise and government contracts. 2026-10-28 plan audit: dependency/milestone corrected (see docs/audits/2026-10-28-dynamic-restful-audit.md).</t>
        </is>
      </c>
      <c r="I39" s="8" t="inlineStr">
        <is>
          <t>A checklist and automated axe tests in CI.</t>
        </is>
      </c>
      <c r="J39" s="8" t="inlineStr">
        <is>
          <t>Core components have no serious axe violations.</t>
        </is>
      </c>
      <c r="K39" s="8" t="n"/>
      <c r="L39" s="10" t="inlineStr">
        <is>
          <t>M1</t>
        </is>
      </c>
      <c r="M39" s="10" t="inlineStr">
        <is>
          <t>M</t>
        </is>
      </c>
      <c r="N39" s="10" t="inlineStr">
        <is>
          <t>Medium</t>
        </is>
      </c>
      <c r="O39" s="10" t="inlineStr">
        <is>
          <t>#31</t>
        </is>
      </c>
      <c r="P39" s="10" t="inlineStr"/>
      <c r="Q39" s="10" t="inlineStr">
        <is>
          <t>OLD-100</t>
        </is>
      </c>
      <c r="R39" s="8" t="inlineStr">
        <is>
          <t>UI component library</t>
        </is>
      </c>
      <c r="S39" s="10" t="inlineStr">
        <is>
          <t>No</t>
        </is>
      </c>
      <c r="T39" s="10" t="n"/>
      <c r="U39" s="10" t="n"/>
    </row>
    <row r="40">
      <c r="A40" s="10" t="n">
        <v>39</v>
      </c>
      <c r="B40" s="10" t="inlineStr">
        <is>
          <t>Claude</t>
        </is>
      </c>
      <c r="C40" s="8" t="inlineStr">
        <is>
          <t>Component Library &amp; Design System</t>
        </is>
      </c>
      <c r="D40" s="8" t="inlineStr">
        <is>
          <t>Responsive QA matrix (desktop/tablet/mobile) for list, form, detail, dashboard, kanban</t>
        </is>
      </c>
      <c r="E40" s="10" t="inlineStr">
        <is>
          <t>Feature</t>
        </is>
      </c>
      <c r="F40" s="10" t="inlineStr">
        <is>
          <t>Not Started</t>
        </is>
      </c>
      <c r="G40" s="10" t="inlineStr">
        <is>
          <t>P1</t>
        </is>
      </c>
      <c r="H40" s="8" t="inlineStr">
        <is>
          <t>A working mobile view for every screen type must be verified, not assumed. PEMS has manifest.json and service-worker.js.</t>
        </is>
      </c>
      <c r="I40" s="8" t="inlineStr">
        <is>
          <t>Matrix plus browser tests.</t>
        </is>
      </c>
      <c r="J40" s="8" t="inlineStr">
        <is>
          <t>No main page is broken at 375px.</t>
        </is>
      </c>
      <c r="K40" s="8" t="n"/>
      <c r="L40" s="10" t="inlineStr">
        <is>
          <t>M4</t>
        </is>
      </c>
      <c r="M40" s="10" t="inlineStr">
        <is>
          <t>M</t>
        </is>
      </c>
      <c r="N40" s="10" t="inlineStr">
        <is>
          <t>High</t>
        </is>
      </c>
      <c r="O40" s="10" t="inlineStr">
        <is>
          <t>#32</t>
        </is>
      </c>
      <c r="P40" s="10" t="inlineStr">
        <is>
          <t>Titan #177</t>
        </is>
      </c>
      <c r="Q40" s="10" t="inlineStr">
        <is>
          <t>OLD-102</t>
        </is>
      </c>
      <c r="R40" s="8" t="inlineStr">
        <is>
          <t>UI component library</t>
        </is>
      </c>
      <c r="S40" s="10" t="inlineStr">
        <is>
          <t>No</t>
        </is>
      </c>
      <c r="T40" s="10" t="n"/>
      <c r="U40" s="10" t="n"/>
    </row>
    <row r="41">
      <c r="A41" s="10" t="n">
        <v>40</v>
      </c>
      <c r="B41" s="10" t="inlineStr">
        <is>
          <t>Claude</t>
        </is>
      </c>
      <c r="C41" s="8" t="inlineStr">
        <is>
          <t>Component Library &amp; Design System</t>
        </is>
      </c>
      <c r="D41" s="8" t="inlineStr">
        <is>
          <t>Component gallery (Storybook-style) with RTL examples and usage guidance</t>
        </is>
      </c>
      <c r="E41" s="10" t="inlineStr">
        <is>
          <t>Docs</t>
        </is>
      </c>
      <c r="F41" s="10" t="inlineStr">
        <is>
          <t>Not Started</t>
        </is>
      </c>
      <c r="G41" s="10" t="inlineStr">
        <is>
          <t>P1</t>
        </is>
      </c>
      <c r="H41" s="8" t="inlineStr">
        <is>
          <t>Needed by partner/customer developers and for technical sales. 2026-10-23: implemented as the catalog host in PEMS.UI by #326.</t>
        </is>
      </c>
      <c r="I41" s="8" t="inlineStr">
        <is>
          <t>An internal site showing states and sample code.</t>
        </is>
      </c>
      <c r="J41" s="8" t="inlineStr">
        <is>
          <t>Each component has a page.</t>
        </is>
      </c>
      <c r="K41" s="8" t="inlineStr">
        <is>
          <t>PM 2026-10-18: raised to P1 (visual regression depends on it).</t>
        </is>
      </c>
      <c r="L41" s="10" t="inlineStr">
        <is>
          <t>M4</t>
        </is>
      </c>
      <c r="M41" s="10" t="inlineStr">
        <is>
          <t>M</t>
        </is>
      </c>
      <c r="N41" s="10" t="inlineStr">
        <is>
          <t>Medium</t>
        </is>
      </c>
      <c r="O41" s="10" t="inlineStr">
        <is>
          <t>#31</t>
        </is>
      </c>
      <c r="P41" s="10" t="inlineStr"/>
      <c r="Q41" s="10" t="inlineStr">
        <is>
          <t>OLD-103</t>
        </is>
      </c>
      <c r="R41" s="8" t="inlineStr">
        <is>
          <t>UI component library</t>
        </is>
      </c>
      <c r="S41" s="10" t="inlineStr">
        <is>
          <t>Yes</t>
        </is>
      </c>
      <c r="T41" s="10" t="n"/>
      <c r="U41" s="10" t="n"/>
    </row>
    <row r="42">
      <c r="A42" s="10" t="n">
        <v>41</v>
      </c>
      <c r="B42" s="10" t="inlineStr">
        <is>
          <t>Claude</t>
        </is>
      </c>
      <c r="C42" s="8" t="inlineStr">
        <is>
          <t>Component Library &amp; Design System</t>
        </is>
      </c>
      <c r="D42" s="8" t="inlineStr">
        <is>
          <t>Visual regression tests (Playwright) in RTL/LTR and multiple sizes</t>
        </is>
      </c>
      <c r="E42" s="10" t="inlineStr">
        <is>
          <t>Tech Debt</t>
        </is>
      </c>
      <c r="F42" s="10" t="inlineStr">
        <is>
          <t>Not Started</t>
        </is>
      </c>
      <c r="G42" s="10" t="inlineStr">
        <is>
          <t>P1</t>
        </is>
      </c>
      <c r="H42" s="8" t="inlineStr">
        <is>
          <t>Prevents accidental UI breakage when tokens or libraries change.</t>
        </is>
      </c>
      <c r="I42" s="8" t="inlineStr">
        <is>
          <t>Snapshots of critical pages in CI.</t>
        </is>
      </c>
      <c r="J42" s="8" t="inlineStr">
        <is>
          <t>An unintended visual change turns the PR red.</t>
        </is>
      </c>
      <c r="K42" s="8" t="n"/>
      <c r="L42" s="10" t="inlineStr">
        <is>
          <t>M4</t>
        </is>
      </c>
      <c r="M42" s="10" t="inlineStr">
        <is>
          <t>M</t>
        </is>
      </c>
      <c r="N42" s="10" t="inlineStr">
        <is>
          <t>Medium</t>
        </is>
      </c>
      <c r="O42" s="10" t="inlineStr">
        <is>
          <t>#40</t>
        </is>
      </c>
      <c r="P42" s="10" t="inlineStr">
        <is>
          <t>Titan #117</t>
        </is>
      </c>
      <c r="Q42" s="10" t="inlineStr">
        <is>
          <t>OLD-104</t>
        </is>
      </c>
      <c r="R42" s="8" t="inlineStr">
        <is>
          <t>UI component library</t>
        </is>
      </c>
      <c r="S42" s="10" t="inlineStr">
        <is>
          <t>No</t>
        </is>
      </c>
      <c r="T42" s="10" t="n"/>
      <c r="U42" s="10" t="n"/>
    </row>
    <row r="43">
      <c r="A43" s="10" t="n">
        <v>42</v>
      </c>
      <c r="B43" s="10" t="inlineStr">
        <is>
          <t>Claude</t>
        </is>
      </c>
      <c r="C43" s="8" t="inlineStr">
        <is>
          <t>Component Library &amp; Design System</t>
        </is>
      </c>
      <c r="D43" s="8" t="inlineStr">
        <is>
          <t>Make the UI fully offline: replace the cdnjs pdf.js references with a local copy and add a check that fails on external URLs in views</t>
        </is>
      </c>
      <c r="E43" s="10" t="inlineStr">
        <is>
          <t>Tech Debt</t>
        </is>
      </c>
      <c r="F43" s="10" t="inlineStr">
        <is>
          <t>Not Started</t>
        </is>
      </c>
      <c r="G43" s="10" t="inlineStr">
        <is>
          <t>P0</t>
        </is>
      </c>
      <c r="H43" s="8" t="inlineStr">
        <is>
          <t>Production has no internet. wwwroot/lib is local but scripts and fonts have not been checked. 2026-10-23 found 4 references to cdnjs.cloudflare.com (pdf.js script and worker) in Views/EngineeringDocuments/Details.cshtml and Views/VDR/Details.cshtml - violates Instructions rule 1; vendor pdf.js locally (no CDN) as part of #333.</t>
        </is>
      </c>
      <c r="I43" s="8" t="inlineStr">
        <is>
          <t>1) Add pdf.js 4.0.379 under PEMS.Web/wwwroot/lib/pdfjs (record its licence in row #121). 2) Replace the script and worker URLs in Views/EngineeringDocuments/Details.cshtml (about line 1192) and Views/VDR/Details.cshtml (about line 324). 3) Make tools/UiAudit/pattern-audit.py exit with an error when a view references http(s) CDN hosts. 4) Test the PDF preview with the network disabled.</t>
        </is>
      </c>
      <c r="J43" s="8" t="inlineStr">
        <is>
          <t>Done when: no .cshtml references an external host; the PDF preview works offline in both viewers; the audit check runs in CI (#327 will reuse it).</t>
        </is>
      </c>
      <c r="K43" s="8" t="inlineStr">
        <is>
          <t>2026-10-27 (SCRUM-20, Claude for Hamid): pdf.js 4.0.379 vendored under PEMS.Web/wwwroot/lib/pdfjs (npm pdfjs-dist, Apache-2.0, hashes in README-PEMS.txt); 4.x is ES-module only, so both viewers load it through wwwroot/js/pdfjs-loader.js. cdnjs references removed from Engineering Documents and VDR Details. OfflineAssetsTests (4) scan views, areas, PEMS.UI, wwwroot js/css for external hosts (allow-list: www.w3.org, learn.microsoft.com, www.iso.org placeholder); tools/UiAudit/pattern-audit.py exits 1 on a CDN reference. Tests: OfflineAssetsTests 4/4 and mutation (a cdnjs reference in a view fails it); audit script exit 1/0; Chromium with all external requests blocked rendered a PDF through the loader (0 external requests, 0 page errors); inline scripts parse as strict-mode modules. Not run: the two real pages in the running app (needs SQL Server and a login) - README M-17.</t>
        </is>
      </c>
      <c r="L43" s="10" t="inlineStr">
        <is>
          <t>M0</t>
        </is>
      </c>
      <c r="M43" s="10" t="inlineStr">
        <is>
          <t>S</t>
        </is>
      </c>
      <c r="N43" s="10" t="inlineStr">
        <is>
          <t>High</t>
        </is>
      </c>
      <c r="O43" s="10" t="inlineStr"/>
      <c r="P43" s="10" t="inlineStr">
        <is>
          <t>Titan rule 1</t>
        </is>
      </c>
      <c r="Q43" s="10" t="inlineStr"/>
      <c r="R43" s="8" t="inlineStr">
        <is>
          <t>UI component library</t>
        </is>
      </c>
      <c r="S43" s="10" t="inlineStr">
        <is>
          <t>No</t>
        </is>
      </c>
      <c r="T43" s="10" t="inlineStr">
        <is>
          <t>Sprint 1</t>
        </is>
      </c>
      <c r="U43" s="10" t="inlineStr">
        <is>
          <t>Member B</t>
        </is>
      </c>
    </row>
    <row r="44">
      <c r="A44" s="10" t="n">
        <v>43</v>
      </c>
      <c r="B44" s="10" t="inlineStr">
        <is>
          <t>Claude</t>
        </is>
      </c>
      <c r="C44" s="8" t="inlineStr">
        <is>
          <t>Component Library &amp; Design System</t>
        </is>
      </c>
      <c r="D44" s="8" t="inlineStr">
        <is>
          <t>Global search and Command Palette (menus, records, actions) with RLS</t>
        </is>
      </c>
      <c r="E44" s="10" t="inlineStr">
        <is>
          <t>Feature</t>
        </is>
      </c>
      <c r="F44" s="10" t="inlineStr">
        <is>
          <t>Partial</t>
        </is>
      </c>
      <c r="G44" s="10" t="inlineStr">
        <is>
          <t>P2</t>
        </is>
      </c>
      <c r="H44" s="8" t="inlineStr">
        <is>
          <t>GlobalSearch and pems-global-search.js exist; menu/action coverage and the security contract of providers are incomplete.</t>
        </is>
      </c>
      <c r="I44" s="8" t="inlineStr">
        <is>
          <t>Upgrade to a palette (Ctrl+K) and a security contract for every ISearchableEntityProvider.</t>
        </is>
      </c>
      <c r="J44" s="8" t="inlineStr">
        <is>
          <t>Search results never show a record the user cannot access.</t>
        </is>
      </c>
      <c r="K44" s="8" t="n"/>
      <c r="L44" s="10" t="inlineStr">
        <is>
          <t>M5</t>
        </is>
      </c>
      <c r="M44" s="10" t="inlineStr">
        <is>
          <t>M</t>
        </is>
      </c>
      <c r="N44" s="10" t="inlineStr">
        <is>
          <t>Medium</t>
        </is>
      </c>
      <c r="O44" s="10" t="inlineStr">
        <is>
          <t>#178</t>
        </is>
      </c>
      <c r="P44" s="10" t="inlineStr">
        <is>
          <t>Titan #199</t>
        </is>
      </c>
      <c r="Q44" s="10" t="inlineStr">
        <is>
          <t>OLD-22</t>
        </is>
      </c>
      <c r="R44" s="8" t="inlineStr">
        <is>
          <t>UI component library</t>
        </is>
      </c>
      <c r="S44" s="10" t="inlineStr">
        <is>
          <t>No</t>
        </is>
      </c>
      <c r="T44" s="10" t="n"/>
      <c r="U44" s="10" t="n"/>
    </row>
    <row r="45">
      <c r="A45" s="10" t="n">
        <v>44</v>
      </c>
      <c r="B45" s="10" t="inlineStr">
        <is>
          <t>Claude</t>
        </is>
      </c>
      <c r="C45" s="8" t="inlineStr">
        <is>
          <t>Dynamic Form Builder</t>
        </is>
      </c>
      <c r="D45" s="8" t="inlineStr">
        <is>
          <t>Visual form designer (sections, tabs, columns, child tables, attachments, live preview, translation)</t>
        </is>
      </c>
      <c r="E45" s="10" t="inlineStr">
        <is>
          <t>Feature</t>
        </is>
      </c>
      <c r="F45" s="10" t="inlineStr">
        <is>
          <t>Not Started</t>
        </is>
      </c>
      <c r="G45" s="10" t="inlineStr">
        <is>
          <t>P0</t>
        </is>
      </c>
      <c r="H45" s="8" t="inlineStr">
        <is>
          <t>PEMS forms are fixed Razor; the audit found no general form builder. This is the line between software and a platform. 2026-10-28 audit: the designer saves through the definition store API (#434), not its own storage. 2026-10-28: the stored shape follows ADR-0011 (UI definition model).</t>
        </is>
      </c>
      <c r="I45" s="8" t="inlineStr">
        <is>
          <t>Drag fields from the catalog, set fractional widths, preview with sample data and different roles.</t>
        </is>
      </c>
      <c r="J45" s="8" t="inlineStr">
        <is>
          <t>An authorized user builds a 20-field 'safety inspection' form with 2 tabs and a child table in 10 minutes or less and publishes it.</t>
        </is>
      </c>
      <c r="K45" s="8" t="n"/>
      <c r="L45" s="10" t="inlineStr">
        <is>
          <t>M2</t>
        </is>
      </c>
      <c r="M45" s="10" t="inlineStr">
        <is>
          <t>XL</t>
        </is>
      </c>
      <c r="N45" s="10" t="inlineStr">
        <is>
          <t>Sales blocker</t>
        </is>
      </c>
      <c r="O45" s="10" t="inlineStr">
        <is>
          <t>#10 #34 #434</t>
        </is>
      </c>
      <c r="P45" s="10" t="inlineStr">
        <is>
          <t>Titan #43</t>
        </is>
      </c>
      <c r="Q45" s="10" t="inlineStr">
        <is>
          <t>OLD-8</t>
        </is>
      </c>
      <c r="R45" s="8" t="inlineStr">
        <is>
          <t>Form builder</t>
        </is>
      </c>
      <c r="S45" s="10" t="inlineStr">
        <is>
          <t>No</t>
        </is>
      </c>
      <c r="T45" s="10" t="n"/>
      <c r="U45" s="10" t="n"/>
    </row>
    <row r="46">
      <c r="A46" s="10" t="n">
        <v>45</v>
      </c>
      <c r="B46" s="10" t="inlineStr">
        <is>
          <t>Claude</t>
        </is>
      </c>
      <c r="C46" s="8" t="inlineStr">
        <is>
          <t>Dynamic Form Builder</t>
        </is>
      </c>
      <c r="D46" s="8" t="inlineStr">
        <is>
          <t>Form runtime from metadata with save, audit and form version</t>
        </is>
      </c>
      <c r="E46" s="10" t="inlineStr">
        <is>
          <t>Feature</t>
        </is>
      </c>
      <c r="F46" s="10" t="inlineStr">
        <is>
          <t>Not Started</t>
        </is>
      </c>
      <c r="G46" s="10" t="inlineStr">
        <is>
          <t>P0</t>
        </is>
      </c>
      <c r="H46" s="8" t="inlineStr">
        <is>
          <t>The heart of dynamism; one set of components for create/edit/view/print.</t>
        </is>
      </c>
      <c r="I46" s="8" t="inlineStr">
        <is>
          <t>Render from form JSON, validate on client and server, store the form version on the record.</t>
        </is>
      </c>
      <c r="J46" s="8" t="inlineStr">
        <is>
          <t>Changing a published form does not corrupt older records (versioned).</t>
        </is>
      </c>
      <c r="K46" s="8" t="n"/>
      <c r="L46" s="10" t="inlineStr">
        <is>
          <t>M2</t>
        </is>
      </c>
      <c r="M46" s="10" t="inlineStr">
        <is>
          <t>XL</t>
        </is>
      </c>
      <c r="N46" s="10" t="inlineStr">
        <is>
          <t>Sales blocker</t>
        </is>
      </c>
      <c r="O46" s="10" t="inlineStr">
        <is>
          <t>#44 #12</t>
        </is>
      </c>
      <c r="P46" s="10" t="inlineStr"/>
      <c r="Q46" s="10" t="inlineStr">
        <is>
          <t>OLD-9</t>
        </is>
      </c>
      <c r="R46" s="8" t="inlineStr">
        <is>
          <t>Form builder</t>
        </is>
      </c>
      <c r="S46" s="10" t="inlineStr">
        <is>
          <t>No</t>
        </is>
      </c>
      <c r="T46" s="10" t="n"/>
      <c r="U46" s="10" t="n"/>
    </row>
    <row r="47">
      <c r="A47" s="10" t="n">
        <v>46</v>
      </c>
      <c r="B47" s="10" t="inlineStr">
        <is>
          <t>Claude</t>
        </is>
      </c>
      <c r="C47" s="8" t="inlineStr">
        <is>
          <t>Dynamic Form Builder</t>
        </is>
      </c>
      <c r="D47" s="8" t="inlineStr">
        <is>
          <t>Validation rule builder (required, regex, range, uniqueness, lookup existence, cross-field, server-only)</t>
        </is>
      </c>
      <c r="E47" s="10" t="inlineStr">
        <is>
          <t>Feature</t>
        </is>
      </c>
      <c r="F47" s="10" t="inlineStr">
        <is>
          <t>Not Started</t>
        </is>
      </c>
      <c r="G47" s="10" t="inlineStr">
        <is>
          <t>P0</t>
        </is>
      </c>
      <c r="H47" s="8" t="inlineStr">
        <is>
          <t>All rules should live in one validation object with one interpreter. 2026-10-28 plan audit: dependency/milestone corrected (see docs/audits/2026-10-28-dynamic-restful-audit.md).</t>
        </is>
      </c>
      <c r="I47" s="8" t="inlineStr">
        <is>
          <t>A rule UI with identical server/client execution and translatable messages.</t>
        </is>
      </c>
      <c r="J47" s="8" t="inlineStr">
        <is>
          <t>Every rule has a unit test; import and API honor the same rules.</t>
        </is>
      </c>
      <c r="K47" s="8" t="n"/>
      <c r="L47" s="10" t="inlineStr">
        <is>
          <t>M2</t>
        </is>
      </c>
      <c r="M47" s="10" t="inlineStr">
        <is>
          <t>L</t>
        </is>
      </c>
      <c r="N47" s="10" t="inlineStr">
        <is>
          <t>High</t>
        </is>
      </c>
      <c r="O47" s="10" t="inlineStr">
        <is>
          <t>#15 #45 #355</t>
        </is>
      </c>
      <c r="P47" s="10" t="inlineStr">
        <is>
          <t>Titan #10 #11 #12</t>
        </is>
      </c>
      <c r="Q47" s="10" t="inlineStr">
        <is>
          <t>OLD-10</t>
        </is>
      </c>
      <c r="R47" s="8" t="inlineStr">
        <is>
          <t>Form builder</t>
        </is>
      </c>
      <c r="S47" s="10" t="inlineStr">
        <is>
          <t>No</t>
        </is>
      </c>
      <c r="T47" s="10" t="n"/>
      <c r="U47" s="10" t="n"/>
    </row>
    <row r="48">
      <c r="A48" s="10" t="n">
        <v>47</v>
      </c>
      <c r="B48" s="10" t="inlineStr">
        <is>
          <t>Claude</t>
        </is>
      </c>
      <c r="C48" s="8" t="inlineStr">
        <is>
          <t>Dynamic Form Builder</t>
        </is>
      </c>
      <c r="D48" s="8" t="inlineStr">
        <is>
          <t>Conditional visibility/editability/required by role, unit, project, confidentiality, workflow status and field value</t>
        </is>
      </c>
      <c r="E48" s="10" t="inlineStr">
        <is>
          <t>Feature</t>
        </is>
      </c>
      <c r="F48" s="10" t="inlineStr">
        <is>
          <t>Not Started</t>
        </is>
      </c>
      <c r="G48" s="10" t="inlineStr">
        <is>
          <t>P0</t>
        </is>
      </c>
      <c r="H48" s="8" t="inlineStr">
        <is>
          <t>Core need of permit-to-work, MOC and NCR forms.</t>
        </is>
      </c>
      <c r="I48" s="8" t="inlineStr">
        <is>
          <t>A visual condition editor with server-side evaluation (UI is only a hint).</t>
        </is>
      </c>
      <c r="J48" s="8" t="inlineStr">
        <is>
          <t>A hidden field is not returned by the API either.</t>
        </is>
      </c>
      <c r="K48" s="8" t="n"/>
      <c r="L48" s="10" t="inlineStr">
        <is>
          <t>M2</t>
        </is>
      </c>
      <c r="M48" s="10" t="inlineStr">
        <is>
          <t>L</t>
        </is>
      </c>
      <c r="N48" s="10" t="inlineStr">
        <is>
          <t>High</t>
        </is>
      </c>
      <c r="O48" s="10" t="inlineStr">
        <is>
          <t>#45 #181</t>
        </is>
      </c>
      <c r="P48" s="10" t="inlineStr">
        <is>
          <t>Titan #83</t>
        </is>
      </c>
      <c r="Q48" s="10" t="inlineStr">
        <is>
          <t>OLD-11</t>
        </is>
      </c>
      <c r="R48" s="8" t="inlineStr">
        <is>
          <t>Form builder</t>
        </is>
      </c>
      <c r="S48" s="10" t="inlineStr">
        <is>
          <t>No</t>
        </is>
      </c>
      <c r="T48" s="10" t="n"/>
      <c r="U48" s="10" t="n"/>
    </row>
    <row r="49">
      <c r="A49" s="10" t="n">
        <v>48</v>
      </c>
      <c r="B49" s="10" t="inlineStr">
        <is>
          <t>Claude</t>
        </is>
      </c>
      <c r="C49" s="8" t="inlineStr">
        <is>
          <t>Dynamic Form Builder</t>
        </is>
      </c>
      <c r="D49" s="8" t="inlineStr">
        <is>
          <t>Child table (line items) inside a form with computed totals</t>
        </is>
      </c>
      <c r="E49" s="10" t="inlineStr">
        <is>
          <t>Feature</t>
        </is>
      </c>
      <c r="F49" s="10" t="inlineStr">
        <is>
          <t>Not Started</t>
        </is>
      </c>
      <c r="G49" s="10" t="inlineStr">
        <is>
          <t>P0</t>
        </is>
      </c>
      <c r="H49" s="8" t="inlineStr">
        <is>
          <t>Purchase requests, work orders and parts lists need it; modeling resources as a child model is a proven approach.</t>
        </is>
      </c>
      <c r="I49" s="8" t="inlineStr">
        <is>
          <t>Child rows with validation, ordering and sum/average.</t>
        </is>
      </c>
      <c r="J49" s="8" t="inlineStr">
        <is>
          <t>Entering 200 child rows is not slow.</t>
        </is>
      </c>
      <c r="K49" s="8" t="n"/>
      <c r="L49" s="10" t="inlineStr">
        <is>
          <t>M2</t>
        </is>
      </c>
      <c r="M49" s="10" t="inlineStr">
        <is>
          <t>L</t>
        </is>
      </c>
      <c r="N49" s="10" t="inlineStr">
        <is>
          <t>High</t>
        </is>
      </c>
      <c r="O49" s="10" t="inlineStr">
        <is>
          <t>#45</t>
        </is>
      </c>
      <c r="P49" s="10" t="inlineStr">
        <is>
          <t>Titan #85</t>
        </is>
      </c>
      <c r="Q49" s="10" t="inlineStr"/>
      <c r="R49" s="8" t="inlineStr">
        <is>
          <t>Form builder</t>
        </is>
      </c>
      <c r="S49" s="10" t="inlineStr">
        <is>
          <t>No</t>
        </is>
      </c>
      <c r="T49" s="10" t="n"/>
      <c r="U49" s="10" t="n"/>
    </row>
    <row r="50">
      <c r="A50" s="10" t="n">
        <v>49</v>
      </c>
      <c r="B50" s="10" t="inlineStr">
        <is>
          <t>Claude</t>
        </is>
      </c>
      <c r="C50" s="8" t="inlineStr">
        <is>
          <t>Dynamic Form Builder</t>
        </is>
      </c>
      <c r="D50" s="8" t="inlineStr">
        <is>
          <t>Form versioning and field-migration assistant (map old field to new)</t>
        </is>
      </c>
      <c r="E50" s="10" t="inlineStr">
        <is>
          <t>Feature</t>
        </is>
      </c>
      <c r="F50" s="10" t="inlineStr">
        <is>
          <t>Not Started</t>
        </is>
      </c>
      <c r="G50" s="10" t="inlineStr">
        <is>
          <t>P1</t>
        </is>
      </c>
      <c r="H50" s="8" t="inlineStr">
        <is>
          <t>Records must stay viewable under the old form version.</t>
        </is>
      </c>
      <c r="I50" s="8" t="inlineStr">
        <is>
          <t>Version diff, mapping, batch execution.</t>
        </is>
      </c>
      <c r="J50" s="8" t="inlineStr">
        <is>
          <t>Upgrading a form with 10k records loses no data.</t>
        </is>
      </c>
      <c r="K50" s="8" t="n"/>
      <c r="L50" s="10" t="inlineStr">
        <is>
          <t>M4</t>
        </is>
      </c>
      <c r="M50" s="10" t="inlineStr">
        <is>
          <t>L</t>
        </is>
      </c>
      <c r="N50" s="10" t="inlineStr">
        <is>
          <t>High</t>
        </is>
      </c>
      <c r="O50" s="10" t="inlineStr">
        <is>
          <t>#45 #13</t>
        </is>
      </c>
      <c r="P50" s="10" t="inlineStr"/>
      <c r="Q50" s="10" t="inlineStr">
        <is>
          <t>OLD-13</t>
        </is>
      </c>
      <c r="R50" s="8" t="inlineStr">
        <is>
          <t>Form builder</t>
        </is>
      </c>
      <c r="S50" s="10" t="inlineStr">
        <is>
          <t>No</t>
        </is>
      </c>
      <c r="T50" s="10" t="n"/>
      <c r="U50" s="10" t="n"/>
    </row>
    <row r="51">
      <c r="A51" s="10" t="n">
        <v>50</v>
      </c>
      <c r="B51" s="10" t="inlineStr">
        <is>
          <t>Claude</t>
        </is>
      </c>
      <c r="C51" s="8" t="inlineStr">
        <is>
          <t>Dynamic Form Builder</t>
        </is>
      </c>
      <c r="D51" s="8" t="inlineStr">
        <is>
          <t>Field-level security: hide, mask, read-only, require step-up before reveal</t>
        </is>
      </c>
      <c r="E51" s="10" t="inlineStr">
        <is>
          <t>Feature</t>
        </is>
      </c>
      <c r="F51" s="10" t="inlineStr">
        <is>
          <t>Not Started</t>
        </is>
      </c>
      <c r="G51" s="10" t="inlineStr">
        <is>
          <t>P1</t>
        </is>
      </c>
      <c r="H51" s="8" t="inlineStr">
        <is>
          <t>WebAuthn/FIDO2 already exists and can serve as step-up.</t>
        </is>
      </c>
      <c r="I51" s="8" t="inlineStr">
        <is>
          <t>Field policy in metadata, enforced on the server.</t>
        </is>
      </c>
      <c r="J51" s="8" t="inlineStr">
        <is>
          <t>A sensitive field is not visible in API/export without step-up.</t>
        </is>
      </c>
      <c r="K51" s="8" t="n"/>
      <c r="L51" s="10" t="inlineStr">
        <is>
          <t>M4</t>
        </is>
      </c>
      <c r="M51" s="10" t="inlineStr">
        <is>
          <t>M</t>
        </is>
      </c>
      <c r="N51" s="10" t="inlineStr">
        <is>
          <t>High</t>
        </is>
      </c>
      <c r="O51" s="10" t="inlineStr">
        <is>
          <t>#181</t>
        </is>
      </c>
      <c r="P51" s="10" t="inlineStr"/>
      <c r="Q51" s="10" t="inlineStr">
        <is>
          <t>OLD-12</t>
        </is>
      </c>
      <c r="R51" s="8" t="inlineStr">
        <is>
          <t>Form builder</t>
        </is>
      </c>
      <c r="S51" s="10" t="inlineStr">
        <is>
          <t>No</t>
        </is>
      </c>
      <c r="T51" s="10" t="n"/>
      <c r="U51" s="10" t="n"/>
    </row>
    <row r="52">
      <c r="A52" s="10" t="n">
        <v>51</v>
      </c>
      <c r="B52" s="10" t="inlineStr">
        <is>
          <t>Claude</t>
        </is>
      </c>
      <c r="C52" s="8" t="inlineStr">
        <is>
          <t>Dynamic Form Builder</t>
        </is>
      </c>
      <c r="D52" s="8" t="inlineStr">
        <is>
          <t>Cascading lookups (dependent filters between fields) and data sources from relations/OptionSets</t>
        </is>
      </c>
      <c r="E52" s="10" t="inlineStr">
        <is>
          <t>Feature</t>
        </is>
      </c>
      <c r="F52" s="10" t="inlineStr">
        <is>
          <t>Not Started</t>
        </is>
      </c>
      <c r="G52" s="10" t="inlineStr">
        <is>
          <t>P1</t>
        </is>
      </c>
      <c r="H52" s="8" t="inlineStr">
        <is>
          <t>Example: unit to system to equipment.</t>
        </is>
      </c>
      <c r="I52" s="8" t="inlineStr">
        <is>
          <t>Dependent filter configuration in the designer.</t>
        </is>
      </c>
      <c r="J52" s="8" t="inlineStr">
        <is>
          <t>Choosing the parent restricts the child's options.</t>
        </is>
      </c>
      <c r="K52" s="8" t="n"/>
      <c r="L52" s="10" t="inlineStr">
        <is>
          <t>M4</t>
        </is>
      </c>
      <c r="M52" s="10" t="inlineStr">
        <is>
          <t>M</t>
        </is>
      </c>
      <c r="N52" s="10" t="inlineStr">
        <is>
          <t>Medium</t>
        </is>
      </c>
      <c r="O52" s="10" t="inlineStr">
        <is>
          <t>#21 #35</t>
        </is>
      </c>
      <c r="P52" s="10" t="inlineStr"/>
      <c r="Q52" s="10" t="inlineStr"/>
      <c r="R52" s="8" t="inlineStr">
        <is>
          <t>Form builder</t>
        </is>
      </c>
      <c r="S52" s="10" t="inlineStr">
        <is>
          <t>No</t>
        </is>
      </c>
      <c r="T52" s="10" t="n"/>
      <c r="U52" s="10" t="n"/>
    </row>
    <row r="53">
      <c r="A53" s="10" t="n">
        <v>52</v>
      </c>
      <c r="B53" s="10" t="inlineStr">
        <is>
          <t>Claude</t>
        </is>
      </c>
      <c r="C53" s="8" t="inlineStr">
        <is>
          <t>Dynamic Form Builder</t>
        </is>
      </c>
      <c r="D53" s="8" t="inlineStr">
        <is>
          <t>Ready form template library (permit to work, MOC, NCR, inspection, minutes, work request)</t>
        </is>
      </c>
      <c r="E53" s="10" t="inlineStr">
        <is>
          <t>Feature</t>
        </is>
      </c>
      <c r="F53" s="10" t="inlineStr">
        <is>
          <t>Not Started</t>
        </is>
      </c>
      <c r="G53" s="10" t="inlineStr">
        <is>
          <t>P1</t>
        </is>
      </c>
      <c r="H53" s="8" t="inlineStr">
        <is>
          <t>Templates are both teaching samples and sellable value (template packs).</t>
        </is>
      </c>
      <c r="I53" s="8" t="inlineStr">
        <is>
          <t>Each template ships with form + workflow + report + sample data.</t>
        </is>
      </c>
      <c r="J53" s="8" t="inlineStr">
        <is>
          <t>Installing a template takes one click on a clean instance.</t>
        </is>
      </c>
      <c r="K53" s="8" t="n"/>
      <c r="L53" s="10" t="inlineStr">
        <is>
          <t>M4</t>
        </is>
      </c>
      <c r="M53" s="10" t="inlineStr">
        <is>
          <t>L</t>
        </is>
      </c>
      <c r="N53" s="10" t="inlineStr">
        <is>
          <t>Sales blocker</t>
        </is>
      </c>
      <c r="O53" s="10" t="inlineStr">
        <is>
          <t>#45 #67</t>
        </is>
      </c>
      <c r="P53" s="10" t="inlineStr"/>
      <c r="Q53" s="10" t="inlineStr">
        <is>
          <t>OLD-86 OLD-110</t>
        </is>
      </c>
      <c r="R53" s="8" t="inlineStr">
        <is>
          <t>Form builder</t>
        </is>
      </c>
      <c r="S53" s="10" t="inlineStr">
        <is>
          <t>No</t>
        </is>
      </c>
      <c r="T53" s="10" t="n"/>
      <c r="U53" s="10" t="n"/>
    </row>
    <row r="54">
      <c r="A54" s="10" t="n">
        <v>53</v>
      </c>
      <c r="B54" s="10" t="inlineStr">
        <is>
          <t>Claude</t>
        </is>
      </c>
      <c r="C54" s="8" t="inlineStr">
        <is>
          <t>Dynamic Form Builder</t>
        </is>
      </c>
      <c r="D54" s="8" t="inlineStr">
        <is>
          <t>Electronic/image signature field and templated printable forms (PDF)</t>
        </is>
      </c>
      <c r="E54" s="10" t="inlineStr">
        <is>
          <t>Feature</t>
        </is>
      </c>
      <c r="F54" s="10" t="inlineStr">
        <is>
          <t>Not Started</t>
        </is>
      </c>
      <c r="G54" s="10" t="inlineStr">
        <is>
          <t>P2</t>
        </is>
      </c>
      <c r="H54" s="8" t="inlineStr">
        <is>
          <t>PEMS already has QuestPDF. E-signature for contract/work-order/document sign-off is a recognized need.</t>
        </is>
      </c>
      <c r="I54" s="8" t="inlineStr">
        <is>
          <t>A signature field type and a designable print template.</t>
        </is>
      </c>
      <c r="J54" s="8" t="inlineStr">
        <is>
          <t>Output PDF carries the signature and a tracking number.</t>
        </is>
      </c>
      <c r="K54" s="8" t="n"/>
      <c r="L54" s="10" t="inlineStr">
        <is>
          <t>M5</t>
        </is>
      </c>
      <c r="M54" s="10" t="inlineStr">
        <is>
          <t>M</t>
        </is>
      </c>
      <c r="N54" s="10" t="inlineStr">
        <is>
          <t>Medium</t>
        </is>
      </c>
      <c r="O54" s="10" t="inlineStr">
        <is>
          <t>#45</t>
        </is>
      </c>
      <c r="P54" s="10" t="inlineStr">
        <is>
          <t>Titan #197</t>
        </is>
      </c>
      <c r="Q54" s="10" t="inlineStr"/>
      <c r="R54" s="8" t="inlineStr">
        <is>
          <t>Form builder</t>
        </is>
      </c>
      <c r="S54" s="10" t="inlineStr">
        <is>
          <t>No</t>
        </is>
      </c>
      <c r="T54" s="10" t="n"/>
      <c r="U54" s="10" t="n"/>
    </row>
    <row r="55">
      <c r="A55" s="10" t="n">
        <v>54</v>
      </c>
      <c r="B55" s="10" t="inlineStr">
        <is>
          <t>Claude</t>
        </is>
      </c>
      <c r="C55" s="8" t="inlineStr">
        <is>
          <t>Dynamic Form Builder</t>
        </is>
      </c>
      <c r="D55" s="8" t="inlineStr">
        <is>
          <t>Multi-step wizard forms with draft and autosave</t>
        </is>
      </c>
      <c r="E55" s="10" t="inlineStr">
        <is>
          <t>Feature</t>
        </is>
      </c>
      <c r="F55" s="10" t="inlineStr">
        <is>
          <t>Not Started</t>
        </is>
      </c>
      <c r="G55" s="10" t="inlineStr">
        <is>
          <t>P2</t>
        </is>
      </c>
      <c r="H55" s="8" t="inlineStr">
        <is>
          <t>Closing step 2 must not close step 1, and open-form state should live in the URL.</t>
        </is>
      </c>
      <c r="I55" s="8" t="inlineStr">
        <is>
          <t>A form state machine plus URL state.</t>
        </is>
      </c>
      <c r="J55" s="8" t="inlineStr">
        <is>
          <t>Back/refresh does not lose data.</t>
        </is>
      </c>
      <c r="K55" s="8" t="n"/>
      <c r="L55" s="10" t="inlineStr">
        <is>
          <t>M5</t>
        </is>
      </c>
      <c r="M55" s="10" t="inlineStr">
        <is>
          <t>M</t>
        </is>
      </c>
      <c r="N55" s="10" t="inlineStr">
        <is>
          <t>Low</t>
        </is>
      </c>
      <c r="O55" s="10" t="inlineStr">
        <is>
          <t>#45</t>
        </is>
      </c>
      <c r="P55" s="10" t="inlineStr">
        <is>
          <t>Titan #37 #40</t>
        </is>
      </c>
      <c r="Q55" s="10" t="inlineStr"/>
      <c r="R55" s="8" t="inlineStr">
        <is>
          <t>Form builder</t>
        </is>
      </c>
      <c r="S55" s="10" t="inlineStr">
        <is>
          <t>No</t>
        </is>
      </c>
      <c r="T55" s="10" t="n"/>
      <c r="U55" s="10" t="n"/>
    </row>
    <row r="56">
      <c r="A56" s="10" t="n">
        <v>55</v>
      </c>
      <c r="B56" s="10" t="inlineStr">
        <is>
          <t>Claude</t>
        </is>
      </c>
      <c r="C56" s="8" t="inlineStr">
        <is>
          <t>Dynamic Form Builder</t>
        </is>
      </c>
      <c r="D56" s="8" t="inlineStr">
        <is>
          <t>Public form via token link for contractors/vendors without an account</t>
        </is>
      </c>
      <c r="E56" s="10" t="inlineStr">
        <is>
          <t>Feature</t>
        </is>
      </c>
      <c r="F56" s="10" t="inlineStr">
        <is>
          <t>Not Started</t>
        </is>
      </c>
      <c r="G56" s="10" t="inlineStr">
        <is>
          <t>P3</t>
        </is>
      </c>
      <c r="H56" s="8" t="inlineStr">
        <is>
          <t>Useful for VDR/TQ with external parties.</t>
        </is>
      </c>
      <c r="I56" s="8" t="inlineStr">
        <is>
          <t>One-time link, rate limit, captcha.</t>
        </is>
      </c>
      <c r="J56" s="8" t="inlineStr">
        <is>
          <t>A contractor with no account fills the form and attaches files.</t>
        </is>
      </c>
      <c r="K56" s="8" t="n"/>
      <c r="L56" s="10" t="inlineStr">
        <is>
          <t>M6</t>
        </is>
      </c>
      <c r="M56" s="10" t="inlineStr">
        <is>
          <t>M</t>
        </is>
      </c>
      <c r="N56" s="10" t="inlineStr">
        <is>
          <t>Medium</t>
        </is>
      </c>
      <c r="O56" s="10" t="inlineStr">
        <is>
          <t>#45 #183</t>
        </is>
      </c>
      <c r="P56" s="10" t="inlineStr">
        <is>
          <t>Titan #178</t>
        </is>
      </c>
      <c r="Q56" s="10" t="inlineStr"/>
      <c r="R56" s="8" t="inlineStr">
        <is>
          <t>Form builder</t>
        </is>
      </c>
      <c r="S56" s="10" t="inlineStr">
        <is>
          <t>No</t>
        </is>
      </c>
      <c r="T56" s="10" t="n"/>
      <c r="U56" s="10" t="n"/>
    </row>
    <row r="57">
      <c r="A57" s="10" t="n">
        <v>56</v>
      </c>
      <c r="B57" s="10" t="inlineStr">
        <is>
          <t>Claude</t>
        </is>
      </c>
      <c r="C57" s="8" t="inlineStr">
        <is>
          <t>Dynamic Module Builder</t>
        </is>
      </c>
      <c r="D57" s="8" t="inlineStr">
        <is>
          <t>Module creation wizard: app + module + entities + menu + base permissions</t>
        </is>
      </c>
      <c r="E57" s="10" t="inlineStr">
        <is>
          <t>Feature</t>
        </is>
      </c>
      <c r="F57" s="10" t="inlineStr">
        <is>
          <t>Not Started</t>
        </is>
      </c>
      <c r="G57" s="10" t="inlineStr">
        <is>
          <t>P0</t>
        </is>
      </c>
      <c r="H57" s="8" t="inlineStr">
        <is>
          <t>Without a guided scaffold the 'module builder' is only a table builder. 2026-10-28 audit: the designer saves through the definition store API (#434), not its own storage.</t>
        </is>
      </c>
      <c r="I57" s="8" t="inlineStr">
        <is>
          <t>A five-step wizard with starter templates and preview.</t>
        </is>
      </c>
      <c r="J57" s="8" t="inlineStr">
        <is>
          <t>An authorized user builds a 'Lab Asset Management' module with no developer.</t>
        </is>
      </c>
      <c r="K57" s="8" t="n"/>
      <c r="L57" s="10" t="inlineStr">
        <is>
          <t>M2</t>
        </is>
      </c>
      <c r="M57" s="10" t="inlineStr">
        <is>
          <t>L</t>
        </is>
      </c>
      <c r="N57" s="10" t="inlineStr">
        <is>
          <t>Sales blocker</t>
        </is>
      </c>
      <c r="O57" s="10" t="inlineStr">
        <is>
          <t>#10 #44 #20 #434</t>
        </is>
      </c>
      <c r="P57" s="10" t="inlineStr">
        <is>
          <t>Titan #30</t>
        </is>
      </c>
      <c r="Q57" s="10" t="inlineStr"/>
      <c r="R57" s="8" t="inlineStr">
        <is>
          <t>Module builder</t>
        </is>
      </c>
      <c r="S57" s="10" t="inlineStr">
        <is>
          <t>No</t>
        </is>
      </c>
      <c r="T57" s="10" t="n"/>
      <c r="U57" s="10" t="n"/>
    </row>
    <row r="58">
      <c r="A58" s="10" t="n">
        <v>57</v>
      </c>
      <c r="B58" s="10" t="inlineStr">
        <is>
          <t>Claude</t>
        </is>
      </c>
      <c r="C58" s="8" t="inlineStr">
        <is>
          <t>Dynamic Module Builder</t>
        </is>
      </c>
      <c r="D58" s="8" t="inlineStr">
        <is>
          <t>View designer (columns, saved filters, grouping, conditional coloring, column sizes)</t>
        </is>
      </c>
      <c r="E58" s="10" t="inlineStr">
        <is>
          <t>Feature</t>
        </is>
      </c>
      <c r="F58" s="10" t="inlineStr">
        <is>
          <t>Not Started</t>
        </is>
      </c>
      <c r="G58" s="10" t="inlineStr">
        <is>
          <t>P0</t>
        </is>
      </c>
      <c r="H58" s="8" t="inlineStr">
        <is>
          <t>List sizes must be structured metadata, not ad-hoc. 2026-10-28 audit: the designer saves through the definition store API (#434), not its own storage. 2026-10-28: the stored shape follows ADR-0011 (UI definition model).</t>
        </is>
      </c>
      <c r="I58" s="8" t="inlineStr">
        <is>
          <t>A view designer with sharing across roles.</t>
        </is>
      </c>
      <c r="J58" s="8" t="inlineStr">
        <is>
          <t>A view is saved and published to roles.</t>
        </is>
      </c>
      <c r="K58" s="8" t="n"/>
      <c r="L58" s="10" t="inlineStr">
        <is>
          <t>M2</t>
        </is>
      </c>
      <c r="M58" s="10" t="inlineStr">
        <is>
          <t>L</t>
        </is>
      </c>
      <c r="N58" s="10" t="inlineStr">
        <is>
          <t>High</t>
        </is>
      </c>
      <c r="O58" s="10" t="inlineStr">
        <is>
          <t>#32 #434</t>
        </is>
      </c>
      <c r="P58" s="10" t="inlineStr">
        <is>
          <t>Titan #32 #52</t>
        </is>
      </c>
      <c r="Q58" s="10" t="inlineStr"/>
      <c r="R58" s="8" t="inlineStr">
        <is>
          <t>Module builder</t>
        </is>
      </c>
      <c r="S58" s="10" t="inlineStr">
        <is>
          <t>No</t>
        </is>
      </c>
      <c r="T58" s="10" t="n"/>
      <c r="U58" s="10" t="n"/>
    </row>
    <row r="59">
      <c r="A59" s="10" t="n">
        <v>58</v>
      </c>
      <c r="B59" s="10" t="inlineStr">
        <is>
          <t>Claude</t>
        </is>
      </c>
      <c r="C59" s="8" t="inlineStr">
        <is>
          <t>Dynamic Module Builder</t>
        </is>
      </c>
      <c r="D59" s="8" t="inlineStr">
        <is>
          <t>Per-module dashboard designer (KPI, chart, list, reference date, cross-filter)</t>
        </is>
      </c>
      <c r="E59" s="10" t="inlineStr">
        <is>
          <t>Feature</t>
        </is>
      </c>
      <c r="F59" s="10" t="inlineStr">
        <is>
          <t>Not Started</t>
        </is>
      </c>
      <c r="G59" s="10" t="inlineStr">
        <is>
          <t>P1</t>
        </is>
      </c>
      <c r="H59" s="8" t="inlineStr">
        <is>
          <t>PEMS has a fixed engineering dashboard and DashboardSettings. Cross-filter dashboards driven by a formula engine are proven; a drag-drop editor is the gap.</t>
        </is>
      </c>
      <c r="I59" s="8" t="inlineStr">
        <is>
          <t>Widgets driven by saved queries with RLS.</t>
        </is>
      </c>
      <c r="J59" s="8" t="inlineStr">
        <is>
          <t>A dashboard built with no code, with cross-filtering and PDF.</t>
        </is>
      </c>
      <c r="K59" s="8" t="n"/>
      <c r="L59" s="10" t="inlineStr">
        <is>
          <t>M4</t>
        </is>
      </c>
      <c r="M59" s="10" t="inlineStr">
        <is>
          <t>XL</t>
        </is>
      </c>
      <c r="N59" s="10" t="inlineStr">
        <is>
          <t>High</t>
        </is>
      </c>
      <c r="O59" s="10" t="inlineStr">
        <is>
          <t>#12 #31</t>
        </is>
      </c>
      <c r="P59" s="10" t="inlineStr">
        <is>
          <t>Titan #101 #102 #103</t>
        </is>
      </c>
      <c r="Q59" s="10" t="inlineStr"/>
      <c r="R59" s="8" t="inlineStr">
        <is>
          <t>Module builder</t>
        </is>
      </c>
      <c r="S59" s="10" t="inlineStr">
        <is>
          <t>No</t>
        </is>
      </c>
      <c r="T59" s="10" t="n"/>
      <c r="U59" s="10" t="n"/>
    </row>
    <row r="60">
      <c r="A60" s="10" t="n">
        <v>59</v>
      </c>
      <c r="B60" s="10" t="inlineStr">
        <is>
          <t>Claude</t>
        </is>
      </c>
      <c r="C60" s="8" t="inlineStr">
        <is>
          <t>Dynamic Module Builder</t>
        </is>
      </c>
      <c r="D60" s="8" t="inlineStr">
        <is>
          <t>Report designer (fields, filters, grouping, charts, scheduled delivery, Excel/PDF export) with RLS</t>
        </is>
      </c>
      <c r="E60" s="10" t="inlineStr">
        <is>
          <t>Feature</t>
        </is>
      </c>
      <c r="F60" s="10" t="inlineStr">
        <is>
          <t>Not Started</t>
        </is>
      </c>
      <c r="G60" s="10" t="inlineStr">
        <is>
          <t>P1</t>
        </is>
      </c>
      <c r="H60" s="8" t="inlineStr">
        <is>
          <t>Current outputs are fixed QuestPDF reports.</t>
        </is>
      </c>
      <c r="I60" s="8" t="inlineStr">
        <is>
          <t>A designer plus asynchronous execution plus print template.</t>
        </is>
      </c>
      <c r="J60" s="8" t="inlineStr">
        <is>
          <t>A weekly scheduled report emails only the data the recipient may see.</t>
        </is>
      </c>
      <c r="K60" s="8" t="n"/>
      <c r="L60" s="10" t="inlineStr">
        <is>
          <t>M4</t>
        </is>
      </c>
      <c r="M60" s="10" t="inlineStr">
        <is>
          <t>XL</t>
        </is>
      </c>
      <c r="N60" s="10" t="inlineStr">
        <is>
          <t>High</t>
        </is>
      </c>
      <c r="O60" s="10" t="inlineStr">
        <is>
          <t>#12 #210</t>
        </is>
      </c>
      <c r="P60" s="10" t="inlineStr"/>
      <c r="Q60" s="10" t="inlineStr">
        <is>
          <t>OLD-59</t>
        </is>
      </c>
      <c r="R60" s="8" t="inlineStr">
        <is>
          <t>Module builder</t>
        </is>
      </c>
      <c r="S60" s="10" t="inlineStr">
        <is>
          <t>No</t>
        </is>
      </c>
      <c r="T60" s="10" t="n"/>
      <c r="U60" s="10" t="n"/>
    </row>
    <row r="61">
      <c r="A61" s="10" t="n">
        <v>60</v>
      </c>
      <c r="B61" s="10" t="inlineStr">
        <is>
          <t>Claude</t>
        </is>
      </c>
      <c r="C61" s="8" t="inlineStr">
        <is>
          <t>Dynamic Module Builder</t>
        </is>
      </c>
      <c r="D61" s="8" t="inlineStr">
        <is>
          <t>Module access designer: roles, RLS, rules and an editable permission matrix</t>
        </is>
      </c>
      <c r="E61" s="10" t="inlineStr">
        <is>
          <t>Feature</t>
        </is>
      </c>
      <c r="F61" s="10" t="inlineStr">
        <is>
          <t>Not Started</t>
        </is>
      </c>
      <c r="G61" s="10" t="inlineStr">
        <is>
          <t>P0</t>
        </is>
      </c>
      <c r="H61" s="8" t="inlineStr">
        <is>
          <t>An editable authority matrix on unit/user forms is a proven pattern.</t>
        </is>
      </c>
      <c r="I61" s="8" t="inlineStr">
        <is>
          <t>A permission matrix UI on the existing RoleAssignment/Permission model.</t>
        </is>
      </c>
      <c r="J61" s="8" t="inlineStr">
        <is>
          <t>A new module is closed by default and only designated roles can access it.</t>
        </is>
      </c>
      <c r="K61" s="8" t="n"/>
      <c r="L61" s="10" t="inlineStr">
        <is>
          <t>M2</t>
        </is>
      </c>
      <c r="M61" s="10" t="inlineStr">
        <is>
          <t>L</t>
        </is>
      </c>
      <c r="N61" s="10" t="inlineStr">
        <is>
          <t>High</t>
        </is>
      </c>
      <c r="O61" s="10" t="inlineStr">
        <is>
          <t>#10 #178</t>
        </is>
      </c>
      <c r="P61" s="10" t="inlineStr">
        <is>
          <t>Titan #1 #3</t>
        </is>
      </c>
      <c r="Q61" s="10" t="inlineStr"/>
      <c r="R61" s="8" t="inlineStr">
        <is>
          <t>Module builder</t>
        </is>
      </c>
      <c r="S61" s="10" t="inlineStr">
        <is>
          <t>No</t>
        </is>
      </c>
      <c r="T61" s="10" t="n"/>
      <c r="U61" s="10" t="n"/>
    </row>
    <row r="62">
      <c r="A62" s="10" t="n">
        <v>61</v>
      </c>
      <c r="B62" s="10" t="inlineStr">
        <is>
          <t>Claude</t>
        </is>
      </c>
      <c r="C62" s="8" t="inlineStr">
        <is>
          <t>Dynamic Module Builder</t>
        </is>
      </c>
      <c r="D62" s="8" t="inlineStr">
        <is>
          <t>Notification designer (template, event, audience, email/in-app/SMS)</t>
        </is>
      </c>
      <c r="E62" s="10" t="inlineStr">
        <is>
          <t>Feature</t>
        </is>
      </c>
      <c r="F62" s="10" t="inlineStr">
        <is>
          <t>Not Started</t>
        </is>
      </c>
      <c r="G62" s="10" t="inlineStr">
        <is>
          <t>P1</t>
        </is>
      </c>
      <c r="H62" s="8" t="inlineStr">
        <is>
          <t>PEMS has a Notification folder.</t>
        </is>
      </c>
      <c r="I62" s="8" t="inlineStr">
        <is>
          <t>Templates with variables, scheduling, user preferences.</t>
        </is>
      </c>
      <c r="J62" s="8" t="inlineStr">
        <is>
          <t>A workflow event sends a notification in the user's language.</t>
        </is>
      </c>
      <c r="K62" s="8" t="n"/>
      <c r="L62" s="10" t="inlineStr">
        <is>
          <t>M4</t>
        </is>
      </c>
      <c r="M62" s="10" t="inlineStr">
        <is>
          <t>M</t>
        </is>
      </c>
      <c r="N62" s="10" t="inlineStr">
        <is>
          <t>High</t>
        </is>
      </c>
      <c r="O62" s="10" t="inlineStr">
        <is>
          <t>#10 #67</t>
        </is>
      </c>
      <c r="P62" s="10" t="inlineStr">
        <is>
          <t>Titan #105</t>
        </is>
      </c>
      <c r="Q62" s="10" t="inlineStr"/>
      <c r="R62" s="8" t="inlineStr">
        <is>
          <t>Module builder</t>
        </is>
      </c>
      <c r="S62" s="10" t="inlineStr">
        <is>
          <t>No</t>
        </is>
      </c>
      <c r="T62" s="10" t="n"/>
      <c r="U62" s="10" t="n"/>
    </row>
    <row r="63">
      <c r="A63" s="10" t="n">
        <v>62</v>
      </c>
      <c r="B63" s="10" t="inlineStr">
        <is>
          <t>Claude</t>
        </is>
      </c>
      <c r="C63" s="8" t="inlineStr">
        <is>
          <t>Dynamic Module Builder</t>
        </is>
      </c>
      <c r="D63" s="8" t="inlineStr">
        <is>
          <t>Module package: install/uninstall, dependency graph and blocking unsafe disablement</t>
        </is>
      </c>
      <c r="E63" s="10" t="inlineStr">
        <is>
          <t>Feature</t>
        </is>
      </c>
      <c r="F63" s="10" t="inlineStr">
        <is>
          <t>Not Started</t>
        </is>
      </c>
      <c r="G63" s="10" t="inlineStr">
        <is>
          <t>P1</t>
        </is>
      </c>
      <c r="H63" s="8" t="inlineStr">
        <is>
          <t>Audit E6: a module dependency graph is needed.</t>
        </is>
      </c>
      <c r="I63" s="8" t="inlineStr">
        <is>
          <t>Required/optional/historical dependencies; removal with impact preview.</t>
        </is>
      </c>
      <c r="J63" s="8" t="inlineStr">
        <is>
          <t>Removing a dependent module is blocked or leaves read-only historical links.</t>
        </is>
      </c>
      <c r="K63" s="8" t="n"/>
      <c r="L63" s="10" t="inlineStr">
        <is>
          <t>M4</t>
        </is>
      </c>
      <c r="M63" s="10" t="inlineStr">
        <is>
          <t>L</t>
        </is>
      </c>
      <c r="N63" s="10" t="inlineStr">
        <is>
          <t>High</t>
        </is>
      </c>
      <c r="O63" s="10" t="inlineStr">
        <is>
          <t>#23</t>
        </is>
      </c>
      <c r="P63" s="10" t="inlineStr"/>
      <c r="Q63" s="10" t="inlineStr">
        <is>
          <t>OLD-34 OLD-35</t>
        </is>
      </c>
      <c r="R63" s="8" t="inlineStr">
        <is>
          <t>Module builder</t>
        </is>
      </c>
      <c r="S63" s="10" t="inlineStr">
        <is>
          <t>No</t>
        </is>
      </c>
      <c r="T63" s="10" t="n"/>
      <c r="U63" s="10" t="n"/>
    </row>
    <row r="64">
      <c r="A64" s="10" t="n">
        <v>63</v>
      </c>
      <c r="B64" s="10" t="inlineStr">
        <is>
          <t>Claude</t>
        </is>
      </c>
      <c r="C64" s="8" t="inlineStr">
        <is>
          <t>Dynamic Module Builder</t>
        </is>
      </c>
      <c r="D64" s="8" t="inlineStr">
        <is>
          <t>Per-module settings page and product configuration center</t>
        </is>
      </c>
      <c r="E64" s="10" t="inlineStr">
        <is>
          <t>Feature</t>
        </is>
      </c>
      <c r="F64" s="10" t="inlineStr">
        <is>
          <t>Not Started</t>
        </is>
      </c>
      <c r="G64" s="10" t="inlineStr">
        <is>
          <t>P2</t>
        </is>
      </c>
      <c r="H64" s="8" t="inlineStr">
        <is>
          <t>Settings should be grouped, validated, audited and exportable.</t>
        </is>
      </c>
      <c r="I64" s="8" t="inlineStr">
        <is>
          <t>A categorized settings UI with export/import.</t>
        </is>
      </c>
      <c r="J64" s="8" t="inlineStr">
        <is>
          <t>A setting change is audited.</t>
        </is>
      </c>
      <c r="K64" s="8" t="n"/>
      <c r="L64" s="10" t="inlineStr">
        <is>
          <t>M5</t>
        </is>
      </c>
      <c r="M64" s="10" t="inlineStr">
        <is>
          <t>M</t>
        </is>
      </c>
      <c r="N64" s="10" t="inlineStr">
        <is>
          <t>Medium</t>
        </is>
      </c>
      <c r="O64" s="10" t="inlineStr">
        <is>
          <t>#10</t>
        </is>
      </c>
      <c r="P64" s="10" t="inlineStr">
        <is>
          <t>Titan #34 #114</t>
        </is>
      </c>
      <c r="Q64" s="10" t="inlineStr">
        <is>
          <t>OLD-105</t>
        </is>
      </c>
      <c r="R64" s="8" t="inlineStr">
        <is>
          <t>Module builder</t>
        </is>
      </c>
      <c r="S64" s="10" t="inlineStr">
        <is>
          <t>No</t>
        </is>
      </c>
      <c r="T64" s="10" t="n"/>
      <c r="U64" s="10" t="n"/>
    </row>
    <row r="65">
      <c r="A65" s="10" t="n">
        <v>64</v>
      </c>
      <c r="B65" s="10" t="inlineStr">
        <is>
          <t>Claude</t>
        </is>
      </c>
      <c r="C65" s="8" t="inlineStr">
        <is>
          <t>Dynamic Module Builder</t>
        </is>
      </c>
      <c r="D65" s="8" t="inlineStr">
        <is>
          <t>Draft/test mode: try a module with sample data before publishing</t>
        </is>
      </c>
      <c r="E65" s="10" t="inlineStr">
        <is>
          <t>Feature</t>
        </is>
      </c>
      <c r="F65" s="10" t="inlineStr">
        <is>
          <t>Not Started</t>
        </is>
      </c>
      <c r="G65" s="10" t="inlineStr">
        <is>
          <t>P1</t>
        </is>
      </c>
      <c r="H65" s="8" t="inlineStr">
        <is>
          <t>Without it customers test in production.</t>
        </is>
      </c>
      <c r="I65" s="8" t="inlineStr">
        <is>
          <t>A test area inside the same instance with separate data.</t>
        </is>
      </c>
      <c r="J65" s="8" t="inlineStr">
        <is>
          <t>A Draft module is visible only to its creator/testers.</t>
        </is>
      </c>
      <c r="K65" s="8" t="n"/>
      <c r="L65" s="10" t="inlineStr">
        <is>
          <t>M4</t>
        </is>
      </c>
      <c r="M65" s="10" t="inlineStr">
        <is>
          <t>M</t>
        </is>
      </c>
      <c r="N65" s="10" t="inlineStr">
        <is>
          <t>High</t>
        </is>
      </c>
      <c r="O65" s="10" t="inlineStr">
        <is>
          <t>#10</t>
        </is>
      </c>
      <c r="P65" s="10" t="inlineStr"/>
      <c r="Q65" s="10" t="inlineStr"/>
      <c r="R65" s="8" t="inlineStr">
        <is>
          <t>Module builder</t>
        </is>
      </c>
      <c r="S65" s="10" t="inlineStr">
        <is>
          <t>No</t>
        </is>
      </c>
      <c r="T65" s="10" t="n"/>
      <c r="U65" s="10" t="n"/>
    </row>
    <row r="66">
      <c r="A66" s="10" t="n">
        <v>65</v>
      </c>
      <c r="B66" s="10" t="inlineStr">
        <is>
          <t>Claude</t>
        </is>
      </c>
      <c r="C66" s="8" t="inlineStr">
        <is>
          <t>Dynamic Module Builder</t>
        </is>
      </c>
      <c r="D66" s="8" t="inlineStr">
        <is>
          <t>Self-service kanban/task boards (Trello-style) without admin setup</t>
        </is>
      </c>
      <c r="E66" s="10" t="inlineStr">
        <is>
          <t>Feature</t>
        </is>
      </c>
      <c r="F66" s="10" t="inlineStr">
        <is>
          <t>Not Started</t>
        </is>
      </c>
      <c r="G66" s="10" t="inlineStr">
        <is>
          <t>P3</t>
        </is>
      </c>
      <c r="H66" s="8" t="inlineStr">
        <is>
          <t>Personal/team boards.</t>
        </is>
      </c>
      <c r="I66" s="8" t="inlineStr">
        <is>
          <t>Board creation by ordinary users.</t>
        </is>
      </c>
      <c r="J66" s="8" t="inlineStr">
        <is>
          <t>A regular user creates a board.</t>
        </is>
      </c>
      <c r="K66" s="8" t="n"/>
      <c r="L66" s="10" t="inlineStr">
        <is>
          <t>M6</t>
        </is>
      </c>
      <c r="M66" s="10" t="inlineStr">
        <is>
          <t>M</t>
        </is>
      </c>
      <c r="N66" s="10" t="inlineStr">
        <is>
          <t>Low</t>
        </is>
      </c>
      <c r="O66" s="10" t="inlineStr">
        <is>
          <t>#33</t>
        </is>
      </c>
      <c r="P66" s="10" t="inlineStr">
        <is>
          <t>Titan #200</t>
        </is>
      </c>
      <c r="Q66" s="10" t="inlineStr"/>
      <c r="R66" s="8" t="inlineStr">
        <is>
          <t>Module builder</t>
        </is>
      </c>
      <c r="S66" s="10" t="inlineStr">
        <is>
          <t>No</t>
        </is>
      </c>
      <c r="T66" s="10" t="n"/>
      <c r="U66" s="10" t="n"/>
    </row>
    <row r="67">
      <c r="A67" s="10" t="n">
        <v>66</v>
      </c>
      <c r="B67" s="10" t="inlineStr">
        <is>
          <t>Claude</t>
        </is>
      </c>
      <c r="C67" s="8" t="inlineStr">
        <is>
          <t>Dynamic Module Builder</t>
        </is>
      </c>
      <c r="D67" s="8" t="inlineStr">
        <is>
          <t>Builder limits (custom modules, forms, workflows) are taken from the Supportability Matrix, not from the edition</t>
        </is>
      </c>
      <c r="E67" s="10" t="inlineStr">
        <is>
          <t>Feature</t>
        </is>
      </c>
      <c r="F67" s="10" t="inlineStr">
        <is>
          <t>Not Started</t>
        </is>
      </c>
      <c r="G67" s="10" t="inlineStr">
        <is>
          <t>P1</t>
        </is>
      </c>
      <c r="H67" s="8" t="inlineStr">
        <is>
          <t>Owner decision 2026-10-18: limits follow the supportability matrix. The matrix is created now and is updated in every finished task.</t>
        </is>
      </c>
      <c r="I67" s="8" t="inlineStr">
        <is>
          <t>Enforce on the server, at publish time, the limits recorded in the Supportability Matrix (custom modules, forms per module, fields per entity, workflows).</t>
        </is>
      </c>
      <c r="J67" s="8" t="inlineStr">
        <is>
          <t>Exceeding a supported limit warns or blocks per the matrix, and the matrix value and the enforced value are the same number.</t>
        </is>
      </c>
      <c r="K67" s="8" t="inlineStr">
        <is>
          <t>Redefined 2026-10-18: limits come from the Supportability Matrix.</t>
        </is>
      </c>
      <c r="L67" s="10" t="inlineStr">
        <is>
          <t>M4</t>
        </is>
      </c>
      <c r="M67" s="10" t="inlineStr">
        <is>
          <t>S</t>
        </is>
      </c>
      <c r="N67" s="10" t="inlineStr">
        <is>
          <t>Sales blocker</t>
        </is>
      </c>
      <c r="O67" s="10" t="inlineStr">
        <is>
          <t>#281 #56</t>
        </is>
      </c>
      <c r="P67" s="10" t="inlineStr"/>
      <c r="Q67" s="10" t="inlineStr"/>
      <c r="R67" s="8" t="inlineStr">
        <is>
          <t>Module builder</t>
        </is>
      </c>
      <c r="S67" s="10" t="inlineStr">
        <is>
          <t>No</t>
        </is>
      </c>
      <c r="T67" s="10" t="n"/>
      <c r="U67" s="10" t="n"/>
    </row>
    <row r="68">
      <c r="A68" s="10" t="n">
        <v>67</v>
      </c>
      <c r="B68" s="10" t="inlineStr">
        <is>
          <t>Claude</t>
        </is>
      </c>
      <c r="C68" s="8" t="inlineStr">
        <is>
          <t>Workflow Studio &amp; BPMS</t>
        </is>
      </c>
      <c r="D68" s="8" t="inlineStr">
        <is>
          <t>Visual workflow studio (stages, transitions, roles/users, actions, terminal states, versions)</t>
        </is>
      </c>
      <c r="E68" s="10" t="inlineStr">
        <is>
          <t>Feature</t>
        </is>
      </c>
      <c r="F68" s="10" t="inlineStr">
        <is>
          <t>Not Started</t>
        </is>
      </c>
      <c r="G68" s="10" t="inlineStr">
        <is>
          <t>P0</t>
        </is>
      </c>
      <c r="H68" s="8" t="inlineStr">
        <is>
          <t>PEMS has WorkflowDefinition/Version/Stage/Transition and one runtime (Done) but no designer UI. An editable status-flow chart with drag and colors is a proven pattern.</t>
        </is>
      </c>
      <c r="I68" s="8" t="inlineStr">
        <is>
          <t>A canvas designer on an evaluated library (watch for display-license/watermark terms) with design-time validation.</t>
        </is>
      </c>
      <c r="J68" s="8" t="inlineStr">
        <is>
          <t>An authorized user builds a 5-stage parallel/sequential 'engineering document approval' flow and it runs on the existing runtime.</t>
        </is>
      </c>
      <c r="K68" s="8" t="n"/>
      <c r="L68" s="10" t="inlineStr">
        <is>
          <t>M2</t>
        </is>
      </c>
      <c r="M68" s="10" t="inlineStr">
        <is>
          <t>XL</t>
        </is>
      </c>
      <c r="N68" s="10" t="inlineStr">
        <is>
          <t>Sales blocker</t>
        </is>
      </c>
      <c r="O68" s="10" t="inlineStr">
        <is>
          <t>#6</t>
        </is>
      </c>
      <c r="P68" s="10" t="inlineStr">
        <is>
          <t>Titan #28 #36 #227</t>
        </is>
      </c>
      <c r="Q68" s="10" t="inlineStr">
        <is>
          <t>OLD-14</t>
        </is>
      </c>
      <c r="R68" s="8" t="inlineStr">
        <is>
          <t>Workflow studio &amp; BPMS</t>
        </is>
      </c>
      <c r="S68" s="10" t="inlineStr">
        <is>
          <t>No</t>
        </is>
      </c>
      <c r="T68" s="10" t="n"/>
      <c r="U68" s="10" t="n"/>
    </row>
    <row r="69">
      <c r="A69" s="10" t="n">
        <v>68</v>
      </c>
      <c r="B69" s="10" t="inlineStr">
        <is>
          <t>Claude</t>
        </is>
      </c>
      <c r="C69" s="8" t="inlineStr">
        <is>
          <t>Workflow Studio &amp; BPMS</t>
        </is>
      </c>
      <c r="D69" s="8" t="inlineStr">
        <is>
          <t>Activate SLA, timers, escalation, delegation and notifications in the runtime</t>
        </is>
      </c>
      <c r="E69" s="10" t="inlineStr">
        <is>
          <t>Feature</t>
        </is>
      </c>
      <c r="F69" s="10" t="inlineStr">
        <is>
          <t>Not Started</t>
        </is>
      </c>
      <c r="G69" s="10" t="inlineStr">
        <is>
          <t>P0</t>
        </is>
      </c>
      <c r="H69" s="8" t="inlineStr">
        <is>
          <t>TimeoutHours and escalation fields exist in the schema but nothing executes them (audit E3).</t>
        </is>
      </c>
      <c r="I69" s="8" t="inlineStr">
        <is>
          <t>A scheduler (Hangfire or dedicated service) for deadlines; working calendar with Friday and Iranian public holidays.</t>
        </is>
      </c>
      <c r="J69" s="8" t="inlineStr">
        <is>
          <t>A stage past its deadline is automatically escalated or delegated and recorded.</t>
        </is>
      </c>
      <c r="K69" s="8" t="n"/>
      <c r="L69" s="10" t="inlineStr">
        <is>
          <t>M2</t>
        </is>
      </c>
      <c r="M69" s="10" t="inlineStr">
        <is>
          <t>L</t>
        </is>
      </c>
      <c r="N69" s="10" t="inlineStr">
        <is>
          <t>High</t>
        </is>
      </c>
      <c r="O69" s="10" t="inlineStr">
        <is>
          <t>#67 #206</t>
        </is>
      </c>
      <c r="P69" s="10" t="inlineStr"/>
      <c r="Q69" s="10" t="inlineStr">
        <is>
          <t>OLD-15</t>
        </is>
      </c>
      <c r="R69" s="8" t="inlineStr">
        <is>
          <t>Workflow studio &amp; BPMS</t>
        </is>
      </c>
      <c r="S69" s="10" t="inlineStr">
        <is>
          <t>No</t>
        </is>
      </c>
      <c r="T69" s="10" t="n"/>
      <c r="U69" s="10" t="n"/>
    </row>
    <row r="70">
      <c r="A70" s="10" t="n">
        <v>69</v>
      </c>
      <c r="B70" s="10" t="inlineStr">
        <is>
          <t>Claude</t>
        </is>
      </c>
      <c r="C70" s="8" t="inlineStr">
        <is>
          <t>Workflow Studio &amp; BPMS</t>
        </is>
      </c>
      <c r="D70" s="8" t="inlineStr">
        <is>
          <t>Version governance: published versions immutable; migrate or continue in-flight instances</t>
        </is>
      </c>
      <c r="E70" s="10" t="inlineStr">
        <is>
          <t>Feature</t>
        </is>
      </c>
      <c r="F70" s="10" t="inlineStr">
        <is>
          <t>Not Started</t>
        </is>
      </c>
      <c r="G70" s="10" t="inlineStr">
        <is>
          <t>P0</t>
        </is>
      </c>
      <c r="H70" s="8" t="inlineStr">
        <is>
          <t>Main BPMS risk: changing a process must not break active instances.</t>
        </is>
      </c>
      <c r="I70" s="8" t="inlineStr">
        <is>
          <t>Draft -&gt; Review -&gt; Publish -&gt; Retire; policy 'continue on old version' or 'migrate'.</t>
        </is>
      </c>
      <c r="J70" s="8" t="inlineStr">
        <is>
          <t>Publishing a new version does not break active instances and is reversible.</t>
        </is>
      </c>
      <c r="K70" s="8" t="n"/>
      <c r="L70" s="10" t="inlineStr">
        <is>
          <t>M2</t>
        </is>
      </c>
      <c r="M70" s="10" t="inlineStr">
        <is>
          <t>L</t>
        </is>
      </c>
      <c r="N70" s="10" t="inlineStr">
        <is>
          <t>High</t>
        </is>
      </c>
      <c r="O70" s="10" t="inlineStr">
        <is>
          <t>#67</t>
        </is>
      </c>
      <c r="P70" s="10" t="inlineStr"/>
      <c r="Q70" s="10" t="inlineStr">
        <is>
          <t>OLD-16 OLD-6</t>
        </is>
      </c>
      <c r="R70" s="8" t="inlineStr">
        <is>
          <t>Workflow studio &amp; BPMS</t>
        </is>
      </c>
      <c r="S70" s="10" t="inlineStr">
        <is>
          <t>No</t>
        </is>
      </c>
      <c r="T70" s="10" t="n"/>
      <c r="U70" s="10" t="n"/>
    </row>
    <row r="71">
      <c r="A71" s="10" t="n">
        <v>70</v>
      </c>
      <c r="B71" s="10" t="inlineStr">
        <is>
          <t>Claude</t>
        </is>
      </c>
      <c r="C71" s="8" t="inlineStr">
        <is>
          <t>Workflow Studio &amp; BPMS</t>
        </is>
      </c>
      <c r="D71" s="8" t="inlineStr">
        <is>
          <t>Decision tables and rule designer (versioned, testable, callable from workflow/forms/import/API)</t>
        </is>
      </c>
      <c r="E71" s="10" t="inlineStr">
        <is>
          <t>Feature</t>
        </is>
      </c>
      <c r="F71" s="10" t="inlineStr">
        <is>
          <t>Not Started</t>
        </is>
      </c>
      <c r="G71" s="10" t="inlineStr">
        <is>
          <t>P0</t>
        </is>
      </c>
      <c r="H71" s="8" t="inlineStr">
        <is>
          <t>Needed for conditional routing (amount &gt; X goes to the finance manager).</t>
        </is>
      </c>
      <c r="I71" s="8" t="inlineStr">
        <is>
          <t>A decision-table UI with an input/output tester.</t>
        </is>
      </c>
      <c r="J71" s="8" t="inlineStr">
        <is>
          <t>A decision table is called from a workflow and audited.</t>
        </is>
      </c>
      <c r="K71" s="8" t="n"/>
      <c r="L71" s="10" t="inlineStr">
        <is>
          <t>M2</t>
        </is>
      </c>
      <c r="M71" s="10" t="inlineStr">
        <is>
          <t>L</t>
        </is>
      </c>
      <c r="N71" s="10" t="inlineStr">
        <is>
          <t>High</t>
        </is>
      </c>
      <c r="O71" s="10" t="inlineStr">
        <is>
          <t>#15</t>
        </is>
      </c>
      <c r="P71" s="10" t="inlineStr"/>
      <c r="Q71" s="10" t="inlineStr">
        <is>
          <t>OLD-74</t>
        </is>
      </c>
      <c r="R71" s="8" t="inlineStr">
        <is>
          <t>Workflow studio &amp; BPMS</t>
        </is>
      </c>
      <c r="S71" s="10" t="inlineStr">
        <is>
          <t>No</t>
        </is>
      </c>
      <c r="T71" s="10" t="n"/>
      <c r="U71" s="10" t="n"/>
    </row>
    <row r="72">
      <c r="A72" s="10" t="n">
        <v>71</v>
      </c>
      <c r="B72" s="10" t="inlineStr">
        <is>
          <t>Claude</t>
        </is>
      </c>
      <c r="C72" s="8" t="inlineStr">
        <is>
          <t>Workflow Studio &amp; BPMS</t>
        </is>
      </c>
      <c r="D72" s="8" t="inlineStr">
        <is>
          <t>Unified 'My Work' inbox across all processes with deadline and priority</t>
        </is>
      </c>
      <c r="E72" s="10" t="inlineStr">
        <is>
          <t>Feature</t>
        </is>
      </c>
      <c r="F72" s="10" t="inlineStr">
        <is>
          <t>Not Started</t>
        </is>
      </c>
      <c r="G72" s="10" t="inlineStr">
        <is>
          <t>P0</t>
        </is>
      </c>
      <c r="H72" s="8" t="inlineStr">
        <is>
          <t>A cross-model universal inbox and automatic ball-in-court derivation are proven needs.</t>
        </is>
      </c>
      <c r="I72" s="8" t="inlineStr">
        <is>
          <t>List the user's/role's/group's tasks from every dynamic and static module.</t>
        </is>
      </c>
      <c r="J72" s="8" t="inlineStr">
        <is>
          <t>A user sees and opens all overdue work on one page.</t>
        </is>
      </c>
      <c r="K72" s="8" t="n"/>
      <c r="L72" s="10" t="inlineStr">
        <is>
          <t>M2</t>
        </is>
      </c>
      <c r="M72" s="10" t="inlineStr">
        <is>
          <t>M</t>
        </is>
      </c>
      <c r="N72" s="10" t="inlineStr">
        <is>
          <t>Sales blocker</t>
        </is>
      </c>
      <c r="O72" s="10" t="inlineStr">
        <is>
          <t>#67</t>
        </is>
      </c>
      <c r="P72" s="10" t="inlineStr">
        <is>
          <t>Titan #15 #170 #169</t>
        </is>
      </c>
      <c r="Q72" s="10" t="inlineStr"/>
      <c r="R72" s="8" t="inlineStr">
        <is>
          <t>Workflow studio &amp; BPMS</t>
        </is>
      </c>
      <c r="S72" s="10" t="inlineStr">
        <is>
          <t>No</t>
        </is>
      </c>
      <c r="T72" s="10" t="n"/>
      <c r="U72" s="10" t="n"/>
    </row>
    <row r="73">
      <c r="A73" s="10" t="n">
        <v>72</v>
      </c>
      <c r="B73" s="10" t="inlineStr">
        <is>
          <t>Claude</t>
        </is>
      </c>
      <c r="C73" s="8" t="inlineStr">
        <is>
          <t>Workflow Studio &amp; BPMS</t>
        </is>
      </c>
      <c r="D73" s="8" t="inlineStr">
        <is>
          <t>Bind a form to a stage: field permissions, form and actions per stage</t>
        </is>
      </c>
      <c r="E73" s="10" t="inlineStr">
        <is>
          <t>Feature</t>
        </is>
      </c>
      <c r="F73" s="10" t="inlineStr">
        <is>
          <t>Not Started</t>
        </is>
      </c>
      <c r="G73" s="10" t="inlineStr">
        <is>
          <t>P0</t>
        </is>
      </c>
      <c r="H73" s="8" t="inlineStr">
        <is>
          <t>The form of each stage may differ (requester vs approver).</t>
        </is>
      </c>
      <c r="I73" s="8" t="inlineStr">
        <is>
          <t>Map stage to form and field policy.</t>
        </is>
      </c>
      <c r="J73" s="8" t="inlineStr">
        <is>
          <t>At the approval stage only the permitted fields are editable.</t>
        </is>
      </c>
      <c r="K73" s="8" t="n"/>
      <c r="L73" s="10" t="inlineStr">
        <is>
          <t>M2</t>
        </is>
      </c>
      <c r="M73" s="10" t="inlineStr">
        <is>
          <t>M</t>
        </is>
      </c>
      <c r="N73" s="10" t="inlineStr">
        <is>
          <t>High</t>
        </is>
      </c>
      <c r="O73" s="10" t="inlineStr">
        <is>
          <t>#67 #47</t>
        </is>
      </c>
      <c r="P73" s="10" t="inlineStr"/>
      <c r="Q73" s="10" t="inlineStr"/>
      <c r="R73" s="8" t="inlineStr">
        <is>
          <t>Workflow studio &amp; BPMS</t>
        </is>
      </c>
      <c r="S73" s="10" t="inlineStr">
        <is>
          <t>No</t>
        </is>
      </c>
      <c r="T73" s="10" t="n"/>
      <c r="U73" s="10" t="n"/>
    </row>
    <row r="74">
      <c r="A74" s="10" t="n">
        <v>73</v>
      </c>
      <c r="B74" s="10" t="inlineStr">
        <is>
          <t>Claude</t>
        </is>
      </c>
      <c r="C74" s="8" t="inlineStr">
        <is>
          <t>Workflow Studio &amp; BPMS</t>
        </is>
      </c>
      <c r="D74" s="8" t="inlineStr">
        <is>
          <t>Parallel/join, sub-process, loop and conditional routing</t>
        </is>
      </c>
      <c r="E74" s="10" t="inlineStr">
        <is>
          <t>Feature</t>
        </is>
      </c>
      <c r="F74" s="10" t="inlineStr">
        <is>
          <t>Not Started</t>
        </is>
      </c>
      <c r="G74" s="10" t="inlineStr">
        <is>
          <t>P1</t>
        </is>
      </c>
      <c r="H74" s="8" t="inlineStr">
        <is>
          <t>The runtime supports parallel stages; UI and tests for sub-process/loop are needed.</t>
        </is>
      </c>
      <c r="I74" s="8" t="inlineStr">
        <is>
          <t>Core BPMN patterns.</t>
        </is>
      </c>
      <c r="J74" s="8" t="inlineStr">
        <is>
          <t>A 3-way parallel instance with an any/all/quorum join works.</t>
        </is>
      </c>
      <c r="K74" s="8" t="n"/>
      <c r="L74" s="10" t="inlineStr">
        <is>
          <t>M4</t>
        </is>
      </c>
      <c r="M74" s="10" t="inlineStr">
        <is>
          <t>L</t>
        </is>
      </c>
      <c r="N74" s="10" t="inlineStr">
        <is>
          <t>High</t>
        </is>
      </c>
      <c r="O74" s="10" t="inlineStr">
        <is>
          <t>#67</t>
        </is>
      </c>
      <c r="P74" s="10" t="inlineStr"/>
      <c r="Q74" s="10" t="inlineStr"/>
      <c r="R74" s="8" t="inlineStr">
        <is>
          <t>Workflow studio &amp; BPMS</t>
        </is>
      </c>
      <c r="S74" s="10" t="inlineStr">
        <is>
          <t>No</t>
        </is>
      </c>
      <c r="T74" s="10" t="n"/>
      <c r="U74" s="10" t="n"/>
    </row>
    <row r="75">
      <c r="A75" s="10" t="n">
        <v>74</v>
      </c>
      <c r="B75" s="10" t="inlineStr">
        <is>
          <t>Claude</t>
        </is>
      </c>
      <c r="C75" s="8" t="inlineStr">
        <is>
          <t>Workflow Studio &amp; BPMS</t>
        </is>
      </c>
      <c r="D75" s="8" t="inlineStr">
        <is>
          <t>Service tasks: call API/webhook, email, create/update record, run rule</t>
        </is>
      </c>
      <c r="E75" s="10" t="inlineStr">
        <is>
          <t>Feature</t>
        </is>
      </c>
      <c r="F75" s="10" t="inlineStr">
        <is>
          <t>Not Started</t>
        </is>
      </c>
      <c r="G75" s="10" t="inlineStr">
        <is>
          <t>P1</t>
        </is>
      </c>
      <c r="H75" s="8" t="inlineStr">
        <is>
          <t>Without them it is only an approval flow, not a full BPMS.</t>
        </is>
      </c>
      <c r="I75" s="8" t="inlineStr">
        <is>
          <t>An action library with permissions and timeouts.</t>
        </is>
      </c>
      <c r="J75" s="8" t="inlineStr">
        <is>
          <t>A process calls an external webhook and retries on failure.</t>
        </is>
      </c>
      <c r="K75" s="8" t="n"/>
      <c r="L75" s="10" t="inlineStr">
        <is>
          <t>M4</t>
        </is>
      </c>
      <c r="M75" s="10" t="inlineStr">
        <is>
          <t>L</t>
        </is>
      </c>
      <c r="N75" s="10" t="inlineStr">
        <is>
          <t>High</t>
        </is>
      </c>
      <c r="O75" s="10" t="inlineStr">
        <is>
          <t>#67 #195</t>
        </is>
      </c>
      <c r="P75" s="10" t="inlineStr"/>
      <c r="Q75" s="10" t="inlineStr"/>
      <c r="R75" s="8" t="inlineStr">
        <is>
          <t>Workflow studio &amp; BPMS</t>
        </is>
      </c>
      <c r="S75" s="10" t="inlineStr">
        <is>
          <t>No</t>
        </is>
      </c>
      <c r="T75" s="10" t="n"/>
      <c r="U75" s="10" t="n"/>
    </row>
    <row r="76">
      <c r="A76" s="10" t="n">
        <v>75</v>
      </c>
      <c r="B76" s="10" t="inlineStr">
        <is>
          <t>Claude</t>
        </is>
      </c>
      <c r="C76" s="8" t="inlineStr">
        <is>
          <t>Workflow Studio &amp; BPMS</t>
        </is>
      </c>
      <c r="D76" s="8" t="inlineStr">
        <is>
          <t>Triggers: record created/changed, schedule, inbound webhook</t>
        </is>
      </c>
      <c r="E76" s="10" t="inlineStr">
        <is>
          <t>Feature</t>
        </is>
      </c>
      <c r="F76" s="10" t="inlineStr">
        <is>
          <t>Not Started</t>
        </is>
      </c>
      <c r="G76" s="10" t="inlineStr">
        <is>
          <t>P1</t>
        </is>
      </c>
      <c r="H76" s="8" t="inlineStr">
        <is>
          <t>Allows processes to start automatically.</t>
        </is>
      </c>
      <c r="I76" s="8" t="inlineStr">
        <is>
          <t>Register triggers in metadata.</t>
        </is>
      </c>
      <c r="J76" s="8" t="inlineStr">
        <is>
          <t>Creating a purchase request starts the approval process automatically.</t>
        </is>
      </c>
      <c r="K76" s="8" t="n"/>
      <c r="L76" s="10" t="inlineStr">
        <is>
          <t>M4</t>
        </is>
      </c>
      <c r="M76" s="10" t="inlineStr">
        <is>
          <t>M</t>
        </is>
      </c>
      <c r="N76" s="10" t="inlineStr">
        <is>
          <t>High</t>
        </is>
      </c>
      <c r="O76" s="10" t="inlineStr">
        <is>
          <t>#67 #194</t>
        </is>
      </c>
      <c r="P76" s="10" t="inlineStr"/>
      <c r="Q76" s="10" t="inlineStr"/>
      <c r="R76" s="8" t="inlineStr">
        <is>
          <t>Workflow studio &amp; BPMS</t>
        </is>
      </c>
      <c r="S76" s="10" t="inlineStr">
        <is>
          <t>No</t>
        </is>
      </c>
      <c r="T76" s="10" t="n"/>
      <c r="U76" s="10" t="n"/>
    </row>
    <row r="77">
      <c r="A77" s="10" t="n">
        <v>76</v>
      </c>
      <c r="B77" s="10" t="inlineStr">
        <is>
          <t>Claude</t>
        </is>
      </c>
      <c r="C77" s="8" t="inlineStr">
        <is>
          <t>Workflow Studio &amp; BPMS</t>
        </is>
      </c>
      <c r="D77" s="8" t="inlineStr">
        <is>
          <t>Segregation of duties and workflow guards through AccessControlService with evidence</t>
        </is>
      </c>
      <c r="E77" s="10" t="inlineStr">
        <is>
          <t>Feature</t>
        </is>
      </c>
      <c r="F77" s="10" t="inlineStr">
        <is>
          <t>Not Started</t>
        </is>
      </c>
      <c r="G77" s="10" t="inlineStr">
        <is>
          <t>P1</t>
        </is>
      </c>
      <c r="H77" s="8" t="inlineStr">
        <is>
          <t>PEMS has SoDPolicy (Done) but no general workflow guard.</t>
        </is>
      </c>
      <c r="I77" s="8" t="inlineStr">
        <is>
          <t>Configurable guard on a transition.</t>
        </is>
      </c>
      <c r="J77" s="8" t="inlineStr">
        <is>
          <t>An approver equal to the requester is blocked and logged.</t>
        </is>
      </c>
      <c r="K77" s="8" t="n"/>
      <c r="L77" s="10" t="inlineStr">
        <is>
          <t>M4</t>
        </is>
      </c>
      <c r="M77" s="10" t="inlineStr">
        <is>
          <t>M</t>
        </is>
      </c>
      <c r="N77" s="10" t="inlineStr">
        <is>
          <t>High</t>
        </is>
      </c>
      <c r="O77" s="10" t="inlineStr">
        <is>
          <t>#67</t>
        </is>
      </c>
      <c r="P77" s="10" t="inlineStr"/>
      <c r="Q77" s="10" t="inlineStr">
        <is>
          <t>OLD-17</t>
        </is>
      </c>
      <c r="R77" s="8" t="inlineStr">
        <is>
          <t>Workflow studio &amp; BPMS</t>
        </is>
      </c>
      <c r="S77" s="10" t="inlineStr">
        <is>
          <t>No</t>
        </is>
      </c>
      <c r="T77" s="10" t="n"/>
      <c r="U77" s="10" t="n"/>
    </row>
    <row r="78">
      <c r="A78" s="10" t="n">
        <v>77</v>
      </c>
      <c r="B78" s="10" t="inlineStr">
        <is>
          <t>Claude</t>
        </is>
      </c>
      <c r="C78" s="8" t="inlineStr">
        <is>
          <t>Workflow Studio &amp; BPMS</t>
        </is>
      </c>
      <c r="D78" s="8" t="inlineStr">
        <is>
          <t>Simulator: detect dead ends, roles with no members, unreachable stages and SoD conflicts</t>
        </is>
      </c>
      <c r="E78" s="10" t="inlineStr">
        <is>
          <t>Feature</t>
        </is>
      </c>
      <c r="F78" s="10" t="inlineStr">
        <is>
          <t>Not Started</t>
        </is>
      </c>
      <c r="G78" s="10" t="inlineStr">
        <is>
          <t>P1</t>
        </is>
      </c>
      <c r="H78" s="8" t="inlineStr">
        <is>
          <t>Raises process design quality.</t>
        </is>
      </c>
      <c r="I78" s="8" t="inlineStr">
        <is>
          <t>A dry run with sample data.</t>
        </is>
      </c>
      <c r="J78" s="8" t="inlineStr">
        <is>
          <t>A faulty process cannot be published.</t>
        </is>
      </c>
      <c r="K78" s="8" t="n"/>
      <c r="L78" s="10" t="inlineStr">
        <is>
          <t>M4</t>
        </is>
      </c>
      <c r="M78" s="10" t="inlineStr">
        <is>
          <t>M</t>
        </is>
      </c>
      <c r="N78" s="10" t="inlineStr">
        <is>
          <t>Medium</t>
        </is>
      </c>
      <c r="O78" s="10" t="inlineStr">
        <is>
          <t>#67 #76</t>
        </is>
      </c>
      <c r="P78" s="10" t="inlineStr"/>
      <c r="Q78" s="10" t="inlineStr">
        <is>
          <t>OLD-18</t>
        </is>
      </c>
      <c r="R78" s="8" t="inlineStr">
        <is>
          <t>Workflow studio &amp; BPMS</t>
        </is>
      </c>
      <c r="S78" s="10" t="inlineStr">
        <is>
          <t>No</t>
        </is>
      </c>
      <c r="T78" s="10" t="n"/>
      <c r="U78" s="10" t="n"/>
    </row>
    <row r="79">
      <c r="A79" s="10" t="n">
        <v>78</v>
      </c>
      <c r="B79" s="10" t="inlineStr">
        <is>
          <t>Claude</t>
        </is>
      </c>
      <c r="C79" s="8" t="inlineStr">
        <is>
          <t>Workflow Studio &amp; BPMS</t>
        </is>
      </c>
      <c r="D79" s="8" t="inlineStr">
        <is>
          <t>Process analytics: cycle time, bottlenecks, SLA breaches, overdue leaderboard</t>
        </is>
      </c>
      <c r="E79" s="10" t="inlineStr">
        <is>
          <t>Feature</t>
        </is>
      </c>
      <c r="F79" s="10" t="inlineStr">
        <is>
          <t>Not Started</t>
        </is>
      </c>
      <c r="G79" s="10" t="inlineStr">
        <is>
          <t>P2</t>
        </is>
      </c>
      <c r="H79" s="8" t="inlineStr">
        <is>
          <t>Funnel, per-step cycle time and overdue-by-assignee tiles are a known need.</t>
        </is>
      </c>
      <c r="I79" s="8" t="inlineStr">
        <is>
          <t>Ready dashboards from instance history.</t>
        </is>
      </c>
      <c r="J79" s="8" t="inlineStr">
        <is>
          <t>A bottleneck chart exists for every process.</t>
        </is>
      </c>
      <c r="K79" s="8" t="n"/>
      <c r="L79" s="10" t="inlineStr">
        <is>
          <t>M5</t>
        </is>
      </c>
      <c r="M79" s="10" t="inlineStr">
        <is>
          <t>L</t>
        </is>
      </c>
      <c r="N79" s="10" t="inlineStr">
        <is>
          <t>Medium</t>
        </is>
      </c>
      <c r="O79" s="10" t="inlineStr">
        <is>
          <t>#67 #58</t>
        </is>
      </c>
      <c r="P79" s="10" t="inlineStr">
        <is>
          <t>Titan #171</t>
        </is>
      </c>
      <c r="Q79" s="10" t="inlineStr"/>
      <c r="R79" s="8" t="inlineStr">
        <is>
          <t>Workflow studio &amp; BPMS</t>
        </is>
      </c>
      <c r="S79" s="10" t="inlineStr">
        <is>
          <t>No</t>
        </is>
      </c>
      <c r="T79" s="10" t="n"/>
      <c r="U79" s="10" t="n"/>
    </row>
    <row r="80">
      <c r="A80" s="10" t="n">
        <v>79</v>
      </c>
      <c r="B80" s="10" t="inlineStr">
        <is>
          <t>Claude</t>
        </is>
      </c>
      <c r="C80" s="8" t="inlineStr">
        <is>
          <t>Workflow Studio &amp; BPMS</t>
        </is>
      </c>
      <c r="D80" s="8" t="inlineStr">
        <is>
          <t>Case management model: intake, triage, assignment, SLA, closure and reopen</t>
        </is>
      </c>
      <c r="E80" s="10" t="inlineStr">
        <is>
          <t>Feature</t>
        </is>
      </c>
      <c r="F80" s="10" t="inlineStr">
        <is>
          <t>Not Started</t>
        </is>
      </c>
      <c r="G80" s="10" t="inlineStr">
        <is>
          <t>P2</t>
        </is>
      </c>
      <c r="H80" s="8" t="inlineStr">
        <is>
          <t>Needed for support requests and TQ.</t>
        </is>
      </c>
      <c r="I80" s="8" t="inlineStr">
        <is>
          <t>A case is an entity plus a flexible workflow.</t>
        </is>
      </c>
      <c r="J80" s="8" t="inlineStr">
        <is>
          <t>A case with no fixed path can be managed.</t>
        </is>
      </c>
      <c r="K80" s="8" t="n"/>
      <c r="L80" s="10" t="inlineStr">
        <is>
          <t>M5</t>
        </is>
      </c>
      <c r="M80" s="10" t="inlineStr">
        <is>
          <t>L</t>
        </is>
      </c>
      <c r="N80" s="10" t="inlineStr">
        <is>
          <t>Medium</t>
        </is>
      </c>
      <c r="O80" s="10" t="inlineStr">
        <is>
          <t>#67</t>
        </is>
      </c>
      <c r="P80" s="10" t="inlineStr"/>
      <c r="Q80" s="10" t="inlineStr">
        <is>
          <t>OLD-73</t>
        </is>
      </c>
      <c r="R80" s="8" t="inlineStr">
        <is>
          <t>Workflow studio &amp; BPMS</t>
        </is>
      </c>
      <c r="S80" s="10" t="inlineStr">
        <is>
          <t>No</t>
        </is>
      </c>
      <c r="T80" s="10" t="n"/>
      <c r="U80" s="10" t="n"/>
    </row>
    <row r="81">
      <c r="A81" s="10" t="n">
        <v>80</v>
      </c>
      <c r="B81" s="10" t="inlineStr">
        <is>
          <t>Claude</t>
        </is>
      </c>
      <c r="C81" s="8" t="inlineStr">
        <is>
          <t>Workflow Studio &amp; BPMS</t>
        </is>
      </c>
      <c r="D81" s="8" t="inlineStr">
        <is>
          <t>Runtime UI (history, delegation, escalation, comments, evidence) on the existing runtime</t>
        </is>
      </c>
      <c r="E81" s="10" t="inlineStr">
        <is>
          <t>Feature</t>
        </is>
      </c>
      <c r="F81" s="10" t="inlineStr">
        <is>
          <t>Not Started</t>
        </is>
      </c>
      <c r="G81" s="10" t="inlineStr">
        <is>
          <t>P1</t>
        </is>
      </c>
      <c r="H81" s="8" t="inlineStr">
        <is>
          <t>PEMS has the runtime but no unified user experience.</t>
        </is>
      </c>
      <c r="I81" s="8" t="inlineStr">
        <is>
          <t>One status view for all processes.</t>
        </is>
      </c>
      <c r="J81" s="8" t="inlineStr">
        <is>
          <t>All processes share one status page.</t>
        </is>
      </c>
      <c r="K81" s="8" t="n"/>
      <c r="L81" s="10" t="inlineStr">
        <is>
          <t>M4</t>
        </is>
      </c>
      <c r="M81" s="10" t="inlineStr">
        <is>
          <t>M</t>
        </is>
      </c>
      <c r="N81" s="10" t="inlineStr">
        <is>
          <t>High</t>
        </is>
      </c>
      <c r="O81" s="10" t="inlineStr">
        <is>
          <t>#36</t>
        </is>
      </c>
      <c r="P81" s="10" t="inlineStr"/>
      <c r="Q81" s="10" t="inlineStr"/>
      <c r="R81" s="8" t="inlineStr">
        <is>
          <t>Workflow studio &amp; BPMS</t>
        </is>
      </c>
      <c r="S81" s="10" t="inlineStr">
        <is>
          <t>No</t>
        </is>
      </c>
      <c r="T81" s="10" t="n"/>
      <c r="U81" s="10" t="n"/>
    </row>
    <row r="82">
      <c r="A82" s="10" t="n">
        <v>81</v>
      </c>
      <c r="B82" s="10" t="inlineStr">
        <is>
          <t>Claude</t>
        </is>
      </c>
      <c r="C82" s="8" t="inlineStr">
        <is>
          <t>Workflow Studio &amp; BPMS</t>
        </is>
      </c>
      <c r="D82" s="8" t="inlineStr">
        <is>
          <t>Evidence package: record state, history, comments, attachments, hashes and audit trail</t>
        </is>
      </c>
      <c r="E82" s="10" t="inlineStr">
        <is>
          <t>Feature</t>
        </is>
      </c>
      <c r="F82" s="10" t="inlineStr">
        <is>
          <t>Not Started</t>
        </is>
      </c>
      <c r="G82" s="10" t="inlineStr">
        <is>
          <t>P1</t>
        </is>
      </c>
      <c r="H82" s="8" t="inlineStr">
        <is>
          <t>Value for audits and certification.</t>
        </is>
      </c>
      <c r="I82" s="8" t="inlineStr">
        <is>
          <t>A signed export.</t>
        </is>
      </c>
      <c r="J82" s="8" t="inlineStr">
        <is>
          <t>The package can be verified independently.</t>
        </is>
      </c>
      <c r="K82" s="8" t="n"/>
      <c r="L82" s="10" t="inlineStr">
        <is>
          <t>M4</t>
        </is>
      </c>
      <c r="M82" s="10" t="inlineStr">
        <is>
          <t>M</t>
        </is>
      </c>
      <c r="N82" s="10" t="inlineStr">
        <is>
          <t>High</t>
        </is>
      </c>
      <c r="O82" s="10" t="inlineStr">
        <is>
          <t>#17 #67</t>
        </is>
      </c>
      <c r="P82" s="10" t="inlineStr"/>
      <c r="Q82" s="10" t="inlineStr">
        <is>
          <t>OLD-58</t>
        </is>
      </c>
      <c r="R82" s="8" t="inlineStr">
        <is>
          <t>Workflow studio &amp; BPMS</t>
        </is>
      </c>
      <c r="S82" s="10" t="inlineStr">
        <is>
          <t>No</t>
        </is>
      </c>
      <c r="T82" s="10" t="n"/>
      <c r="U82" s="10" t="n"/>
    </row>
    <row r="83">
      <c r="A83" s="10" t="n">
        <v>82</v>
      </c>
      <c r="B83" s="10" t="inlineStr">
        <is>
          <t>Claude</t>
        </is>
      </c>
      <c r="C83" s="8" t="inlineStr">
        <is>
          <t>Workflow Studio &amp; BPMS</t>
        </is>
      </c>
      <c r="D83" s="8" t="inlineStr">
        <is>
          <t>Ready process templates (document approval, MOC, permit, work order) and conversion of today's fixed flows</t>
        </is>
      </c>
      <c r="E83" s="10" t="inlineStr">
        <is>
          <t>Feature</t>
        </is>
      </c>
      <c r="F83" s="10" t="inlineStr">
        <is>
          <t>Not Started</t>
        </is>
      </c>
      <c r="G83" s="10" t="inlineStr">
        <is>
          <t>P1</t>
        </is>
      </c>
      <c r="H83" s="8" t="inlineStr">
        <is>
          <t>Fixed flows are hard-coded in DocumentWorkflow, Permit and MOC services.</t>
        </is>
      </c>
      <c r="I83" s="8" t="inlineStr">
        <is>
          <t>Convert each fixed flow into a versioned Definition.</t>
        </is>
      </c>
      <c r="J83" s="8" t="inlineStr">
        <is>
          <t>Behavior matches the old flow under acceptance tests.</t>
        </is>
      </c>
      <c r="K83" s="8" t="inlineStr">
        <is>
          <t>2026-10-27 SCRUM-103: the flows were already definitions on the single engine; 10 of 13 were view-only (whitelist, no binding, module code reading stage names/actions). Added module contracts (PemsWorkflowContracts, validator CONTRACT_* errors), a pinned binding backfill (same version as the legacy path) and removed the whitelist: all 13 editable, edits that would break a module are refused, running instances keep their version. Acceptance: PemsWorkflowContractTests (35). Follow-ups: SCRUM-90 instance migration, BusinessStatus for document/MOC/TQ status. SM-43.</t>
        </is>
      </c>
      <c r="L83" s="10" t="inlineStr">
        <is>
          <t>M4</t>
        </is>
      </c>
      <c r="M83" s="10" t="inlineStr">
        <is>
          <t>L</t>
        </is>
      </c>
      <c r="N83" s="10" t="inlineStr">
        <is>
          <t>Sales blocker</t>
        </is>
      </c>
      <c r="O83" s="10" t="inlineStr">
        <is>
          <t>#67</t>
        </is>
      </c>
      <c r="P83" s="10" t="inlineStr"/>
      <c r="Q83" s="10" t="inlineStr">
        <is>
          <t>OLD-110</t>
        </is>
      </c>
      <c r="R83" s="8" t="inlineStr">
        <is>
          <t>Workflow studio &amp; BPMS</t>
        </is>
      </c>
      <c r="S83" s="10" t="inlineStr">
        <is>
          <t>No</t>
        </is>
      </c>
      <c r="T83" s="10" t="n"/>
      <c r="U83" s="10" t="n"/>
    </row>
    <row r="84">
      <c r="A84" s="10" t="n">
        <v>83</v>
      </c>
      <c r="B84" s="10" t="inlineStr">
        <is>
          <t>Claude</t>
        </is>
      </c>
      <c r="C84" s="8" t="inlineStr">
        <is>
          <t>Workflow Studio &amp; BPMS</t>
        </is>
      </c>
      <c r="D84" s="8" t="inlineStr">
        <is>
          <t>Environment promotion of process definitions and smoke test</t>
        </is>
      </c>
      <c r="E84" s="10" t="inlineStr">
        <is>
          <t>Feature</t>
        </is>
      </c>
      <c r="F84" s="10" t="inlineStr">
        <is>
          <t>Not Started</t>
        </is>
      </c>
      <c r="G84" s="10" t="inlineStr">
        <is>
          <t>P1</t>
        </is>
      </c>
      <c r="H84" s="8" t="inlineStr">
        <is>
          <t>Aligned with D_PKG.</t>
        </is>
      </c>
      <c r="I84" s="8" t="inlineStr">
        <is>
          <t>Sign and transfer the process package like a metadata package; diff, approval and smoke test before activation.</t>
        </is>
      </c>
      <c r="J84" s="8" t="inlineStr">
        <is>
          <t>A process moves from Test to Prod with a diff and approval.</t>
        </is>
      </c>
      <c r="K84" s="8" t="n"/>
      <c r="L84" s="10" t="inlineStr">
        <is>
          <t>M4</t>
        </is>
      </c>
      <c r="M84" s="10" t="inlineStr">
        <is>
          <t>M</t>
        </is>
      </c>
      <c r="N84" s="10" t="inlineStr">
        <is>
          <t>Medium</t>
        </is>
      </c>
      <c r="O84" s="10" t="inlineStr">
        <is>
          <t>#23 #67</t>
        </is>
      </c>
      <c r="P84" s="10" t="inlineStr"/>
      <c r="Q84" s="10" t="inlineStr">
        <is>
          <t>OLD-75</t>
        </is>
      </c>
      <c r="R84" s="8" t="inlineStr">
        <is>
          <t>Workflow studio &amp; BPMS</t>
        </is>
      </c>
      <c r="S84" s="10" t="inlineStr">
        <is>
          <t>No</t>
        </is>
      </c>
      <c r="T84" s="10" t="n"/>
      <c r="U84" s="10" t="n"/>
    </row>
    <row r="85">
      <c r="A85" s="10" t="n">
        <v>84</v>
      </c>
      <c r="B85" s="10" t="inlineStr">
        <is>
          <t>Claude</t>
        </is>
      </c>
      <c r="C85" s="8" t="inlineStr">
        <is>
          <t>Workflow Studio &amp; BPMS</t>
        </is>
      </c>
      <c r="D85" s="8" t="inlineStr">
        <is>
          <t>BPMN 2.0 import/export (optional)</t>
        </is>
      </c>
      <c r="E85" s="10" t="inlineStr">
        <is>
          <t>Feature</t>
        </is>
      </c>
      <c r="F85" s="10" t="inlineStr">
        <is>
          <t>Not Started</t>
        </is>
      </c>
      <c r="G85" s="10" t="inlineStr">
        <is>
          <t>P3</t>
        </is>
      </c>
      <c r="H85" s="8" t="inlineStr">
        <is>
          <t>Competitive with modeling tools.</t>
        </is>
      </c>
      <c r="I85" s="8" t="inlineStr">
        <is>
          <t>Import/export simple definitions (task, gateway, event) mapped to the internal model; report unsupported elements explicitly.</t>
        </is>
      </c>
      <c r="J85" s="8" t="inlineStr">
        <is>
          <t>A simple sample round-trips.</t>
        </is>
      </c>
      <c r="K85" s="8" t="n"/>
      <c r="L85" s="10" t="inlineStr">
        <is>
          <t>M6</t>
        </is>
      </c>
      <c r="M85" s="10" t="inlineStr">
        <is>
          <t>M</t>
        </is>
      </c>
      <c r="N85" s="10" t="inlineStr">
        <is>
          <t>Low</t>
        </is>
      </c>
      <c r="O85" s="10" t="inlineStr">
        <is>
          <t>#67</t>
        </is>
      </c>
      <c r="P85" s="10" t="inlineStr"/>
      <c r="Q85" s="10" t="inlineStr"/>
      <c r="R85" s="8" t="inlineStr">
        <is>
          <t>Workflow studio &amp; BPMS</t>
        </is>
      </c>
      <c r="S85" s="10" t="inlineStr">
        <is>
          <t>No</t>
        </is>
      </c>
      <c r="T85" s="10" t="n"/>
      <c r="U85" s="10" t="n"/>
    </row>
    <row r="86">
      <c r="A86" s="10" t="n">
        <v>85</v>
      </c>
      <c r="B86" s="10" t="inlineStr">
        <is>
          <t>Claude</t>
        </is>
      </c>
      <c r="C86" s="8" t="inlineStr">
        <is>
          <t>Static-to-Dynamic Module Migration</t>
        </is>
      </c>
      <c r="D86" s="8" t="inlineStr">
        <is>
          <t>Classify every static module: fully convertible / hybrid / permanently static</t>
        </is>
      </c>
      <c r="E86" s="10" t="inlineStr">
        <is>
          <t>Research</t>
        </is>
      </c>
      <c r="F86" s="10" t="inlineStr">
        <is>
          <t>Not Started</t>
        </is>
      </c>
      <c r="G86" s="10" t="inlineStr">
        <is>
          <t>P0</t>
        </is>
      </c>
      <c r="H86" s="8" t="inlineStr">
        <is>
          <t>98 controllers and 91 view folders (Asset, Contract, Crew, Permit, WorkOrder, DocumentRegister, VDR, ...). 2026-10-28: REST inventory done, see docs/audits/REST_INVENTORY_2026-10-28.md and rest-inventory.csv (#432).</t>
        </is>
      </c>
      <c r="I86" s="8" t="inlineStr">
        <is>
          <t>A module table with risk, data volume, dependencies and migration wave. Also classify the ~303 pages and the 147 controllers: definable from a Page definition (#438), convertible form/list/detail, or code-only; reuse the REST inventory (#432).</t>
        </is>
      </c>
      <c r="J86" s="8" t="inlineStr">
        <is>
          <t>Every module has exactly one wave and one owner.</t>
        </is>
      </c>
      <c r="K86" s="8" t="n"/>
      <c r="L86" s="10" t="inlineStr">
        <is>
          <t>M0</t>
        </is>
      </c>
      <c r="M86" s="10" t="inlineStr">
        <is>
          <t>M</t>
        </is>
      </c>
      <c r="N86" s="10" t="inlineStr">
        <is>
          <t>Sales blocker</t>
        </is>
      </c>
      <c r="O86" s="10" t="inlineStr">
        <is>
          <t>#29 #432</t>
        </is>
      </c>
      <c r="P86" s="10" t="inlineStr"/>
      <c r="Q86" s="10" t="inlineStr"/>
      <c r="R86" s="8" t="inlineStr">
        <is>
          <t>Static-to-dynamic migration</t>
        </is>
      </c>
      <c r="S86" s="10" t="inlineStr">
        <is>
          <t>No</t>
        </is>
      </c>
      <c r="T86" s="10" t="n"/>
      <c r="U86" s="10" t="n"/>
    </row>
    <row r="87">
      <c r="A87" s="10" t="n">
        <v>86</v>
      </c>
      <c r="B87" s="10" t="inlineStr">
        <is>
          <t>Claude</t>
        </is>
      </c>
      <c r="C87" s="8" t="inlineStr">
        <is>
          <t>Static-to-Dynamic Module Migration</t>
        </is>
      </c>
      <c r="D87" s="8" t="inlineStr">
        <is>
          <t>Strangler pattern and parity gate before removing a static version</t>
        </is>
      </c>
      <c r="E87" s="10" t="inlineStr">
        <is>
          <t>Docs</t>
        </is>
      </c>
      <c r="F87" s="10" t="inlineStr">
        <is>
          <t>Not Started</t>
        </is>
      </c>
      <c r="G87" s="10" t="inlineStr">
        <is>
          <t>P0</t>
        </is>
      </c>
      <c r="H87" s="8" t="inlineStr">
        <is>
          <t>Without it migration is a production risk.</t>
        </is>
      </c>
      <c r="I87" s="8" t="inlineStr">
        <is>
          <t>Automated acceptance tests proving old/new behavior parity; redirect old URLs.</t>
        </is>
      </c>
      <c r="J87" s="8" t="inlineStr">
        <is>
          <t>No module is removed without passing the gate.</t>
        </is>
      </c>
      <c r="K87" s="8" t="n"/>
      <c r="L87" s="10" t="inlineStr">
        <is>
          <t>M2</t>
        </is>
      </c>
      <c r="M87" s="10" t="inlineStr">
        <is>
          <t>S</t>
        </is>
      </c>
      <c r="N87" s="10" t="inlineStr">
        <is>
          <t>High</t>
        </is>
      </c>
      <c r="O87" s="10" t="inlineStr">
        <is>
          <t>#85</t>
        </is>
      </c>
      <c r="P87" s="10" t="inlineStr"/>
      <c r="Q87" s="10" t="inlineStr"/>
      <c r="R87" s="8" t="inlineStr">
        <is>
          <t>Static-to-dynamic migration</t>
        </is>
      </c>
      <c r="S87" s="10" t="inlineStr">
        <is>
          <t>No</t>
        </is>
      </c>
      <c r="T87" s="10" t="n"/>
      <c r="U87" s="10" t="n"/>
    </row>
    <row r="88">
      <c r="A88" s="10" t="n">
        <v>87</v>
      </c>
      <c r="B88" s="10" t="inlineStr">
        <is>
          <t>Claude</t>
        </is>
      </c>
      <c r="C88" s="8" t="inlineStr">
        <is>
          <t>Static-to-Dynamic Module Migration</t>
        </is>
      </c>
      <c r="D88" s="8" t="inlineStr">
        <is>
          <t>Wave 1 (pilot): base data - Department, Discipline, Team, Crew, Vendor, Tag, Instrument, EquipmentClassification</t>
        </is>
      </c>
      <c r="E88" s="10" t="inlineStr">
        <is>
          <t>Feature</t>
        </is>
      </c>
      <c r="F88" s="10" t="inlineStr">
        <is>
          <t>Not Started</t>
        </is>
      </c>
      <c r="G88" s="10" t="inlineStr">
        <is>
          <t>P0</t>
        </is>
      </c>
      <c r="H88" s="8" t="inlineStr">
        <is>
          <t>The simplest modules; they prove the engine and become demo samples.</t>
        </is>
      </c>
      <c r="I88" s="8" t="inlineStr">
        <is>
          <t>Convert to metadata, migrate data, delete the controller/view.</t>
        </is>
      </c>
      <c r="J88" s="8" t="inlineStr">
        <is>
          <t>Eight modules run on the dynamic engine with the same permissions.</t>
        </is>
      </c>
      <c r="K88" s="8" t="n"/>
      <c r="L88" s="10" t="inlineStr">
        <is>
          <t>M2</t>
        </is>
      </c>
      <c r="M88" s="10" t="inlineStr">
        <is>
          <t>L</t>
        </is>
      </c>
      <c r="N88" s="10" t="inlineStr">
        <is>
          <t>Sales blocker</t>
        </is>
      </c>
      <c r="O88" s="10" t="inlineStr">
        <is>
          <t>#12 #45 #32 #86</t>
        </is>
      </c>
      <c r="P88" s="10" t="inlineStr"/>
      <c r="Q88" s="10" t="inlineStr"/>
      <c r="R88" s="8" t="inlineStr">
        <is>
          <t>Static-to-dynamic migration</t>
        </is>
      </c>
      <c r="S88" s="10" t="inlineStr">
        <is>
          <t>No</t>
        </is>
      </c>
      <c r="T88" s="10" t="n"/>
      <c r="U88" s="10" t="n"/>
    </row>
    <row r="89">
      <c r="A89" s="10" t="n">
        <v>88</v>
      </c>
      <c r="B89" s="10" t="inlineStr">
        <is>
          <t>Claude</t>
        </is>
      </c>
      <c r="C89" s="8" t="inlineStr">
        <is>
          <t>Static-to-Dynamic Module Migration</t>
        </is>
      </c>
      <c r="D89" s="8" t="inlineStr">
        <is>
          <t>Wave 2: form-driven - WorkRequest, Task, Meeting, ShiftHandover, Inspection, MOC, Permit</t>
        </is>
      </c>
      <c r="E89" s="10" t="inlineStr">
        <is>
          <t>Feature</t>
        </is>
      </c>
      <c r="F89" s="10" t="inlineStr">
        <is>
          <t>Not Started</t>
        </is>
      </c>
      <c r="G89" s="10" t="inlineStr">
        <is>
          <t>P1</t>
        </is>
      </c>
      <c r="H89" s="8" t="inlineStr">
        <is>
          <t>Form + workflow; the main benchmark of the form builder and studio.</t>
        </is>
      </c>
      <c r="I89" s="8" t="inlineStr">
        <is>
          <t>For each module build the equivalent form and workflow with the builders, migrate data, run old/new acceptance tests, then delete the static version (M_PATTERN gate).</t>
        </is>
      </c>
      <c r="J89" s="8" t="inlineStr">
        <is>
          <t>Permit to work runs with the same safety rules (LOTO/gas test).</t>
        </is>
      </c>
      <c r="K89" s="8" t="n"/>
      <c r="L89" s="10" t="inlineStr">
        <is>
          <t>M4</t>
        </is>
      </c>
      <c r="M89" s="10" t="inlineStr">
        <is>
          <t>XL</t>
        </is>
      </c>
      <c r="N89" s="10" t="inlineStr">
        <is>
          <t>High</t>
        </is>
      </c>
      <c r="O89" s="10" t="inlineStr">
        <is>
          <t>#87 #82 #52</t>
        </is>
      </c>
      <c r="P89" s="10" t="inlineStr"/>
      <c r="Q89" s="10" t="inlineStr">
        <is>
          <t>OLD-110</t>
        </is>
      </c>
      <c r="R89" s="8" t="inlineStr">
        <is>
          <t>Static-to-dynamic migration</t>
        </is>
      </c>
      <c r="S89" s="10" t="inlineStr">
        <is>
          <t>No</t>
        </is>
      </c>
      <c r="T89" s="10" t="n"/>
      <c r="U89" s="10" t="n"/>
    </row>
    <row r="90">
      <c r="A90" s="10" t="n">
        <v>89</v>
      </c>
      <c r="B90" s="10" t="inlineStr">
        <is>
          <t>Claude</t>
        </is>
      </c>
      <c r="C90" s="8" t="inlineStr">
        <is>
          <t>Static-to-Dynamic Module Migration</t>
        </is>
      </c>
      <c r="D90" s="8" t="inlineStr">
        <is>
          <t>Wave 3: assets and maintenance - Equipment, FunctionalLocation, Asset, MaintenancePlan, MaintenanceStrategy, WorkOrder, SparePart</t>
        </is>
      </c>
      <c r="E90" s="10" t="inlineStr">
        <is>
          <t>Feature</t>
        </is>
      </c>
      <c r="F90" s="10" t="inlineStr">
        <is>
          <t>Not Started</t>
        </is>
      </c>
      <c r="G90" s="10" t="inlineStr">
        <is>
          <t>P2</t>
        </is>
      </c>
      <c r="H90" s="8" t="inlineStr">
        <is>
          <t>Heavy domain logic (planning, strategy); hybrid: dynamic model plus code extension.</t>
        </is>
      </c>
      <c r="I90" s="8" t="inlineStr">
        <is>
          <t>Make the asset/hierarchy models dynamic, keep planning and strategy logic as code extensions (M_SDK), measure large-list performance with QA_PERF.</t>
        </is>
      </c>
      <c r="J90" s="8" t="inlineStr">
        <is>
          <t>No performance regression on large lists.</t>
        </is>
      </c>
      <c r="K90" s="8" t="n"/>
      <c r="L90" s="10" t="inlineStr">
        <is>
          <t>M5</t>
        </is>
      </c>
      <c r="M90" s="10" t="inlineStr">
        <is>
          <t>XL</t>
        </is>
      </c>
      <c r="N90" s="10" t="inlineStr">
        <is>
          <t>High</t>
        </is>
      </c>
      <c r="O90" s="10" t="inlineStr">
        <is>
          <t>#88 #94</t>
        </is>
      </c>
      <c r="P90" s="10" t="inlineStr"/>
      <c r="Q90" s="10" t="inlineStr">
        <is>
          <t>OLD-109</t>
        </is>
      </c>
      <c r="R90" s="8" t="inlineStr">
        <is>
          <t>Static-to-dynamic migration</t>
        </is>
      </c>
      <c r="S90" s="10" t="inlineStr">
        <is>
          <t>No</t>
        </is>
      </c>
      <c r="T90" s="10" t="n"/>
      <c r="U90" s="10" t="n"/>
    </row>
    <row r="91">
      <c r="A91" s="10" t="n">
        <v>90</v>
      </c>
      <c r="B91" s="10" t="inlineStr">
        <is>
          <t>Claude</t>
        </is>
      </c>
      <c r="C91" s="8" t="inlineStr">
        <is>
          <t>Static-to-Dynamic Module Migration</t>
        </is>
      </c>
      <c r="D91" s="8" t="inlineStr">
        <is>
          <t>Wave 4: procurement and warehouse - Inventory, MaterialItem, MaterialRequisition, StoreRequisition, ProcurementPackage, Contract</t>
        </is>
      </c>
      <c r="E91" s="10" t="inlineStr">
        <is>
          <t>Feature</t>
        </is>
      </c>
      <c r="F91" s="10" t="inlineStr">
        <is>
          <t>Not Started</t>
        </is>
      </c>
      <c r="G91" s="10" t="inlineStr">
        <is>
          <t>P2</t>
        </is>
      </c>
      <c r="H91" s="8" t="inlineStr">
        <is>
          <t>Shared master data with CMMS.</t>
        </is>
      </c>
      <c r="I91" s="8" t="inlineStr">
        <is>
          <t>Build the MR to procurement package to contract to receipt to store issue chain on the dynamic engine and align shared master data with INT_MASTER.</t>
        </is>
      </c>
      <c r="J91" s="8" t="inlineStr">
        <is>
          <t>MR to PO to receipt to consumption works end to end.</t>
        </is>
      </c>
      <c r="K91" s="8" t="n"/>
      <c r="L91" s="10" t="inlineStr">
        <is>
          <t>M5</t>
        </is>
      </c>
      <c r="M91" s="10" t="inlineStr">
        <is>
          <t>XL</t>
        </is>
      </c>
      <c r="N91" s="10" t="inlineStr">
        <is>
          <t>Medium</t>
        </is>
      </c>
      <c r="O91" s="10" t="inlineStr">
        <is>
          <t>#88</t>
        </is>
      </c>
      <c r="P91" s="10" t="inlineStr"/>
      <c r="Q91" s="10" t="inlineStr">
        <is>
          <t>OLD-111</t>
        </is>
      </c>
      <c r="R91" s="8" t="inlineStr">
        <is>
          <t>Static-to-dynamic migration</t>
        </is>
      </c>
      <c r="S91" s="10" t="inlineStr">
        <is>
          <t>No</t>
        </is>
      </c>
      <c r="T91" s="10" t="n"/>
      <c r="U91" s="10" t="n"/>
    </row>
    <row r="92">
      <c r="A92" s="10" t="n">
        <v>91</v>
      </c>
      <c r="B92" s="10" t="inlineStr">
        <is>
          <t>Claude</t>
        </is>
      </c>
      <c r="C92" s="8" t="inlineStr">
        <is>
          <t>Static-to-Dynamic Module Migration</t>
        </is>
      </c>
      <c r="D92" s="8" t="inlineStr">
        <is>
          <t>Wave 5: engineering/EDMS - DocumentRegister, Revisions, Upload, Workflow, Transmittal, TQ, DCC, VDR, MDB</t>
        </is>
      </c>
      <c r="E92" s="10" t="inlineStr">
        <is>
          <t>Feature</t>
        </is>
      </c>
      <c r="F92" s="10" t="inlineStr">
        <is>
          <t>Not Started</t>
        </is>
      </c>
      <c r="G92" s="10" t="inlineStr">
        <is>
          <t>P2</t>
        </is>
      </c>
      <c r="H92" s="8" t="inlineStr">
        <is>
          <t>The deepest domain and a competitive advantage; only forms/workflows become dynamic, the revision engine stays static.</t>
        </is>
      </c>
      <c r="I92" s="8" t="inlineStr">
        <is>
          <t>Make EDMS forms, workflows and registers dynamic but keep the revision/transmittal engine as a specialized extension; pass revision and transmittal acceptance tests with unchanged behavior.</t>
        </is>
      </c>
      <c r="J92" s="8" t="inlineStr">
        <is>
          <t>Revision and transmittal behave exactly as before.</t>
        </is>
      </c>
      <c r="K92" s="8" t="n"/>
      <c r="L92" s="10" t="inlineStr">
        <is>
          <t>M5</t>
        </is>
      </c>
      <c r="M92" s="10" t="inlineStr">
        <is>
          <t>XL</t>
        </is>
      </c>
      <c r="N92" s="10" t="inlineStr">
        <is>
          <t>High</t>
        </is>
      </c>
      <c r="O92" s="10" t="inlineStr">
        <is>
          <t>#88 #94</t>
        </is>
      </c>
      <c r="P92" s="10" t="inlineStr"/>
      <c r="Q92" s="10" t="inlineStr">
        <is>
          <t>OLD-109</t>
        </is>
      </c>
      <c r="R92" s="8" t="inlineStr">
        <is>
          <t>Static-to-dynamic migration</t>
        </is>
      </c>
      <c r="S92" s="10" t="inlineStr">
        <is>
          <t>No</t>
        </is>
      </c>
      <c r="T92" s="10" t="n"/>
      <c r="U92" s="10" t="n"/>
    </row>
    <row r="93">
      <c r="A93" s="10" t="n">
        <v>92</v>
      </c>
      <c r="B93" s="10" t="inlineStr">
        <is>
          <t>Claude</t>
        </is>
      </c>
      <c r="C93" s="8" t="inlineStr">
        <is>
          <t>Static-to-Dynamic Module Migration</t>
        </is>
      </c>
      <c r="D93" s="8" t="inlineStr">
        <is>
          <t>Wave 6: production and projects - Production, ProductionOrder, ProductionRun, QC, Projects</t>
        </is>
      </c>
      <c r="E93" s="10" t="inlineStr">
        <is>
          <t>Feature</t>
        </is>
      </c>
      <c r="F93" s="10" t="inlineStr">
        <is>
          <t>Not Started</t>
        </is>
      </c>
      <c r="G93" s="10" t="inlineStr">
        <is>
          <t>P3</t>
        </is>
      </c>
      <c r="H93" s="8" t="inlineStr">
        <is>
          <t>Lowest sales priority.</t>
        </is>
      </c>
      <c r="I93" s="8" t="inlineStr">
        <is>
          <t>After earlier waves are proven, move the production and project modules with the same pattern.</t>
        </is>
      </c>
      <c r="J93" s="8" t="inlineStr">
        <is>
          <t>Each module passed the parity gate and its static version is removed.</t>
        </is>
      </c>
      <c r="K93" s="8" t="n"/>
      <c r="L93" s="10" t="inlineStr">
        <is>
          <t>M6</t>
        </is>
      </c>
      <c r="M93" s="10" t="inlineStr">
        <is>
          <t>L</t>
        </is>
      </c>
      <c r="N93" s="10" t="inlineStr">
        <is>
          <t>Low</t>
        </is>
      </c>
      <c r="O93" s="10" t="inlineStr">
        <is>
          <t>#89</t>
        </is>
      </c>
      <c r="P93" s="10" t="inlineStr"/>
      <c r="Q93" s="10" t="inlineStr"/>
      <c r="R93" s="8" t="inlineStr">
        <is>
          <t>Static-to-dynamic migration</t>
        </is>
      </c>
      <c r="S93" s="10" t="inlineStr">
        <is>
          <t>No</t>
        </is>
      </c>
      <c r="T93" s="10" t="n"/>
      <c r="U93" s="10" t="n"/>
    </row>
    <row r="94">
      <c r="A94" s="10" t="n">
        <v>93</v>
      </c>
      <c r="B94" s="10" t="inlineStr">
        <is>
          <t>Claude</t>
        </is>
      </c>
      <c r="C94" s="8" t="inlineStr">
        <is>
          <t>Static-to-Dynamic Module Migration</t>
        </is>
      </c>
      <c r="D94" s="8" t="inlineStr">
        <is>
          <t>Permanently static modules with extension points: AI, OCR, TableExtraction, Reliability/RCM-FMEA, Barcode, Relationship</t>
        </is>
      </c>
      <c r="E94" s="10" t="inlineStr">
        <is>
          <t>Docs</t>
        </is>
      </c>
      <c r="F94" s="10" t="inlineStr">
        <is>
          <t>Not Started</t>
        </is>
      </c>
      <c r="G94" s="10" t="inlineStr">
        <is>
          <t>P2</t>
        </is>
      </c>
      <c r="H94" s="8" t="inlineStr">
        <is>
          <t>Specialized logic; must be callable from and composable with the dynamic engine.</t>
        </is>
      </c>
      <c r="I94" s="8" t="inlineStr">
        <is>
          <t>Document the extension contract for each.</t>
        </is>
      </c>
      <c r="J94" s="8" t="inlineStr">
        <is>
          <t>Each kept module has an extension-contract document (inputs/outputs, events, permissions) and an integration test with the dynamic engine.</t>
        </is>
      </c>
      <c r="K94" s="8" t="n"/>
      <c r="L94" s="10" t="inlineStr">
        <is>
          <t>M5</t>
        </is>
      </c>
      <c r="M94" s="10" t="inlineStr">
        <is>
          <t>S</t>
        </is>
      </c>
      <c r="N94" s="10" t="inlineStr">
        <is>
          <t>Medium</t>
        </is>
      </c>
      <c r="O94" s="10" t="inlineStr">
        <is>
          <t>#94</t>
        </is>
      </c>
      <c r="P94" s="10" t="inlineStr"/>
      <c r="Q94" s="10" t="inlineStr"/>
      <c r="R94" s="8" t="inlineStr">
        <is>
          <t>Static-to-dynamic migration</t>
        </is>
      </c>
      <c r="S94" s="10" t="inlineStr">
        <is>
          <t>No</t>
        </is>
      </c>
      <c r="T94" s="10" t="n"/>
      <c r="U94" s="10" t="n"/>
    </row>
    <row r="95">
      <c r="A95" s="10" t="n">
        <v>94</v>
      </c>
      <c r="B95" s="10" t="inlineStr">
        <is>
          <t>Claude</t>
        </is>
      </c>
      <c r="C95" s="8" t="inlineStr">
        <is>
          <t>Static-to-Dynamic Module Migration</t>
        </is>
      </c>
      <c r="D95" s="8" t="inlineStr">
        <is>
          <t>Extension SDK (Domain Pack): custom actions, widgets, validators and views written in code inside the dynamic engine</t>
        </is>
      </c>
      <c r="E95" s="10" t="inlineStr">
        <is>
          <t>Feature</t>
        </is>
      </c>
      <c r="F95" s="10" t="inlineStr">
        <is>
          <t>Not Started</t>
        </is>
      </c>
      <c r="G95" s="10" t="inlineStr">
        <is>
          <t>P1</t>
        </is>
      </c>
      <c r="H95" s="8" t="inlineStr">
        <is>
          <t>Without extension points every customer-specific need becomes a fork.</t>
        </is>
      </c>
      <c r="I95" s="8" t="inlineStr">
        <is>
          <t>Stable interfaces, an extension API version and signed loading.</t>
        </is>
      </c>
      <c r="J95" s="8" t="inlineStr">
        <is>
          <t>A sample extension adds a custom action to a workflow.</t>
        </is>
      </c>
      <c r="K95" s="8" t="n"/>
      <c r="L95" s="10" t="inlineStr">
        <is>
          <t>M4</t>
        </is>
      </c>
      <c r="M95" s="10" t="inlineStr">
        <is>
          <t>L</t>
        </is>
      </c>
      <c r="N95" s="10" t="inlineStr">
        <is>
          <t>High</t>
        </is>
      </c>
      <c r="O95" s="10" t="inlineStr">
        <is>
          <t>#10 #74</t>
        </is>
      </c>
      <c r="P95" s="10" t="inlineStr"/>
      <c r="Q95" s="10" t="inlineStr"/>
      <c r="R95" s="8" t="inlineStr">
        <is>
          <t>Static-to-dynamic migration</t>
        </is>
      </c>
      <c r="S95" s="10" t="inlineStr">
        <is>
          <t>No</t>
        </is>
      </c>
      <c r="T95" s="10" t="n"/>
      <c r="U95" s="10" t="n"/>
    </row>
    <row r="96">
      <c r="A96" s="10" t="n">
        <v>95</v>
      </c>
      <c r="B96" s="10" t="inlineStr">
        <is>
          <t>User</t>
        </is>
      </c>
      <c r="C96" s="8" t="inlineStr">
        <is>
          <t>Static-to-Dynamic Module Migration</t>
        </is>
      </c>
      <c r="D96" s="8" t="inlineStr">
        <is>
          <t>Production data migration and user training (script, verification, rollback)</t>
        </is>
      </c>
      <c r="E96" s="10" t="inlineStr">
        <is>
          <t>Ops Process</t>
        </is>
      </c>
      <c r="F96" s="10" t="inlineStr">
        <is>
          <t>Not Started</t>
        </is>
      </c>
      <c r="G96" s="10" t="inlineStr">
        <is>
          <t>P1</t>
        </is>
      </c>
      <c r="H96" s="8" t="inlineStr">
        <is>
          <t>Each wave has real data (141 existing migrations).</t>
        </is>
      </c>
      <c r="I96" s="8" t="inlineStr">
        <is>
          <t>Trial run on a copy, compare counts/hashes.</t>
        </is>
      </c>
      <c r="J96" s="8" t="inlineStr">
        <is>
          <t>For each wave: record count and hash comparison report, pre-run backup, rollback path and key-user sign-off.</t>
        </is>
      </c>
      <c r="K96" s="8" t="n"/>
      <c r="L96" s="10" t="inlineStr">
        <is>
          <t>M4</t>
        </is>
      </c>
      <c r="M96" s="10" t="inlineStr">
        <is>
          <t>M</t>
        </is>
      </c>
      <c r="N96" s="10" t="inlineStr">
        <is>
          <t>High</t>
        </is>
      </c>
      <c r="O96" s="10" t="inlineStr">
        <is>
          <t>#86</t>
        </is>
      </c>
      <c r="P96" s="10" t="inlineStr"/>
      <c r="Q96" s="10" t="inlineStr"/>
      <c r="R96" s="8" t="inlineStr">
        <is>
          <t>Static-to-dynamic migration</t>
        </is>
      </c>
      <c r="S96" s="10" t="inlineStr">
        <is>
          <t>No</t>
        </is>
      </c>
      <c r="T96" s="10" t="n"/>
      <c r="U96" s="10" t="n"/>
    </row>
    <row r="97">
      <c r="A97" s="10" t="n">
        <v>96</v>
      </c>
      <c r="B97" s="10" t="inlineStr">
        <is>
          <t>User</t>
        </is>
      </c>
      <c r="C97" s="8" t="inlineStr">
        <is>
          <t>Licensing &amp; Protection</t>
        </is>
      </c>
      <c r="D97" s="8" t="inlineStr">
        <is>
          <t>Licensing threat model and protection level (decided: casual-copy defense plus contract/EULA, no hardware token)</t>
        </is>
      </c>
      <c r="E97" s="10" t="inlineStr">
        <is>
          <t>Decision Needed</t>
        </is>
      </c>
      <c r="F97" s="10" t="inlineStr">
        <is>
          <t>Done</t>
        </is>
      </c>
      <c r="G97" s="10" t="inlineStr">
        <is>
          <t>P0</t>
        </is>
      </c>
      <c r="H97" s="8" t="inlineStr">
        <is>
          <t>Owner goal: lock to machine and install time so that even a full machine image redeployed elsewhere does not work. No offline scheme is unbreakable; the aim is to defeat casual copying and back the rest with the EULA.</t>
        </is>
      </c>
      <c r="I97" s="8" t="inlineStr">
        <is>
          <t>List attack scenarios (disk image on other hardware, VM clone, snapshot restore, clock change, binary patch, licence file reuse) and for each record the defense, the residual weakness and the contractual answer.</t>
        </is>
      </c>
      <c r="J97" s="8" t="inlineStr">
        <is>
          <t>An approved ADR 'licensing threat model' with a scenario x defense x residual-risk table.</t>
        </is>
      </c>
      <c r="K97" s="8" t="inlineStr">
        <is>
          <t>Decided 2026-10-18: casual-copy defense plus contract - machine fingerprint, install seal, signed licence, restore-detection counter, code obfuscation and strong EULA. No hardware token. ADR to be written under F_ADR.
ADR: plan/adr/0005-licensing-threat-model-and-vm-policy.md</t>
        </is>
      </c>
      <c r="L97" s="10" t="inlineStr">
        <is>
          <t>M0</t>
        </is>
      </c>
      <c r="M97" s="10" t="inlineStr">
        <is>
          <t>M</t>
        </is>
      </c>
      <c r="N97" s="10" t="inlineStr">
        <is>
          <t>Sales blocker</t>
        </is>
      </c>
      <c r="O97" s="10" t="inlineStr"/>
      <c r="P97" s="10" t="inlineStr">
        <is>
          <t>Titan #69 #207</t>
        </is>
      </c>
      <c r="Q97" s="10" t="inlineStr">
        <is>
          <t>OLD-38</t>
        </is>
      </c>
      <c r="R97" s="8" t="inlineStr">
        <is>
          <t>Licensing chain</t>
        </is>
      </c>
      <c r="S97" s="10" t="inlineStr">
        <is>
          <t>Yes</t>
        </is>
      </c>
      <c r="T97" s="10" t="n"/>
      <c r="U97" s="10" t="n"/>
    </row>
    <row r="98">
      <c r="A98" s="10" t="n">
        <v>97</v>
      </c>
      <c r="B98" s="10" t="inlineStr">
        <is>
          <t>User</t>
        </is>
      </c>
      <c r="C98" s="8" t="inlineStr">
        <is>
          <t>Licensing &amp; Protection</t>
        </is>
      </c>
      <c r="D98" s="8" t="inlineStr">
        <is>
          <t>Decision: VM/container deployment policy for licensing (decided: allowed, with extra protection)</t>
        </is>
      </c>
      <c r="E98" s="10" t="inlineStr">
        <is>
          <t>Decision Needed</t>
        </is>
      </c>
      <c r="F98" s="10" t="inlineStr">
        <is>
          <t>Done</t>
        </is>
      </c>
      <c r="G98" s="10" t="inlineStr">
        <is>
          <t>P0</t>
        </is>
      </c>
      <c r="H98" s="8" t="inlineStr">
        <is>
          <t>Owner decision 2026-10-15: timed licences are a time period (start and end date); count-based licences are not offered. Still open: a VM or container fingerprint can be cloned, so the sales policy on VM/Docker affects how strong the anti-clone defense can be.</t>
        </is>
      </c>
      <c r="I98" s="8" t="inlineStr">
        <is>
          <t>Implement the decided policy: VMs and Docker are accepted; use a virtual TPM or hypervisor identifier where available, the restore-detection counter (L_CLONE) and a no-cloning EULA clause (L_EULA).</t>
        </is>
      </c>
      <c r="J98" s="8" t="inlineStr">
        <is>
          <t>L_FP, L_CLONE and L_EULA implement the policy; the supportability matrix lists VM and Docker as supported with these conditions.</t>
        </is>
      </c>
      <c r="K98" s="8" t="inlineStr">
        <is>
          <t>Decided 2026-10-18: VMs and Docker are allowed with extra protection (virtual TPM/hypervisor ID where available, restore-detection counter, no-cloning EULA clause).
ADR: plan/adr/0005-licensing-threat-model-and-vm-policy.md</t>
        </is>
      </c>
      <c r="L98" s="10" t="inlineStr">
        <is>
          <t>M0</t>
        </is>
      </c>
      <c r="M98" s="10" t="inlineStr">
        <is>
          <t>S</t>
        </is>
      </c>
      <c r="N98" s="10" t="inlineStr">
        <is>
          <t>High</t>
        </is>
      </c>
      <c r="O98" s="10" t="inlineStr"/>
      <c r="P98" s="10" t="inlineStr"/>
      <c r="Q98" s="10" t="inlineStr"/>
      <c r="R98" s="8" t="inlineStr">
        <is>
          <t>Licensing chain</t>
        </is>
      </c>
      <c r="S98" s="10" t="inlineStr">
        <is>
          <t>Yes</t>
        </is>
      </c>
      <c r="T98" s="10" t="n"/>
      <c r="U98" s="10" t="n"/>
    </row>
    <row r="99">
      <c r="A99" s="10" t="n">
        <v>98</v>
      </c>
      <c r="B99" s="10" t="inlineStr">
        <is>
          <t>Claude</t>
        </is>
      </c>
      <c r="C99" s="8" t="inlineStr">
        <is>
          <t>Licensing &amp; Protection</t>
        </is>
      </c>
      <c r="D99" s="8" t="inlineStr">
        <is>
          <t>Multi-signal machine fingerprint library with tolerance for small changes (Windows + Linux/Docker)</t>
        </is>
      </c>
      <c r="E99" s="10" t="inlineStr">
        <is>
          <t>Feature</t>
        </is>
      </c>
      <c r="F99" s="10" t="inlineStr">
        <is>
          <t>Not Started</t>
        </is>
      </c>
      <c r="G99" s="10" t="inlineStr">
        <is>
          <t>P0</t>
        </is>
      </c>
      <c r="H99" s="8" t="inlineStr">
        <is>
          <t>A machine-bound licence needs a stable fingerprint. PEMS is .NET only and also ships a Docker option.</t>
        </is>
      </c>
      <c r="I99" s="8" t="inlineStr">
        <is>
          <t>Signals: motherboard UUID, CPU id, system disk serial, physical MACs, Windows MachineGuid, /etc/machine-id; weighted with a tolerance threshold (replacing one disk or NIC is allowed, three or more changed signals invalidates the licence).</t>
        </is>
      </c>
      <c r="J99" s="8" t="inlineStr">
        <is>
          <t>Test: the same machine after reboot and one NIC replaced stays valid; another machine is invalid; output is hashed (no raw serials exposed).</t>
        </is>
      </c>
      <c r="K99" s="8" t="n"/>
      <c r="L99" s="10" t="inlineStr">
        <is>
          <t>M1</t>
        </is>
      </c>
      <c r="M99" s="10" t="inlineStr">
        <is>
          <t>L</t>
        </is>
      </c>
      <c r="N99" s="10" t="inlineStr">
        <is>
          <t>Sales blocker</t>
        </is>
      </c>
      <c r="O99" s="10" t="inlineStr">
        <is>
          <t>#96</t>
        </is>
      </c>
      <c r="P99" s="10" t="inlineStr">
        <is>
          <t>Titan #69 #141</t>
        </is>
      </c>
      <c r="Q99" s="10" t="inlineStr"/>
      <c r="R99" s="8" t="inlineStr">
        <is>
          <t>Licensing chain</t>
        </is>
      </c>
      <c r="S99" s="10" t="inlineStr">
        <is>
          <t>Yes</t>
        </is>
      </c>
      <c r="T99" s="10" t="n"/>
      <c r="U99" s="10" t="n"/>
    </row>
    <row r="100">
      <c r="A100" s="10" t="n">
        <v>99</v>
      </c>
      <c r="B100" s="10" t="inlineStr">
        <is>
          <t>Claude</t>
        </is>
      </c>
      <c r="C100" s="8" t="inlineStr">
        <is>
          <t>Licensing &amp; Protection</t>
        </is>
      </c>
      <c r="D100" s="8" t="inlineStr">
        <is>
          <t>Install ID and install seal: install time, install key, state counter in DB and protected file</t>
        </is>
      </c>
      <c r="E100" s="10" t="inlineStr">
        <is>
          <t>Feature</t>
        </is>
      </c>
      <c r="F100" s="10" t="inlineStr">
        <is>
          <t>Not Started</t>
        </is>
      </c>
      <c r="G100" s="10" t="inlineStr">
        <is>
          <t>P0</t>
        </is>
      </c>
      <c r="H100" s="8" t="inlineStr">
        <is>
          <t>Owner need: lock to the machine and to the install time. A random Install ID is created on first run and sealed with a local key (DPAPI/TPM where available); the licence binds to this ID and the fingerprint.</t>
        </is>
      </c>
      <c r="I100" s="8" t="inlineStr">
        <is>
          <t>Generate an install key pair, store the private key non-exportable (DPAPI machine scope or TPM), write the seal in two independent places (DB + file) and verify consistency on every start.</t>
        </is>
      </c>
      <c r="J100" s="8" t="inlineStr">
        <is>
          <t>Copying a disk/image to other hardware cannot open the seal (machine-bound key) and the app drops to 'activation required'.</t>
        </is>
      </c>
      <c r="K100" s="8" t="n"/>
      <c r="L100" s="10" t="inlineStr">
        <is>
          <t>M1</t>
        </is>
      </c>
      <c r="M100" s="10" t="inlineStr">
        <is>
          <t>L</t>
        </is>
      </c>
      <c r="N100" s="10" t="inlineStr">
        <is>
          <t>Sales blocker</t>
        </is>
      </c>
      <c r="O100" s="10" t="inlineStr">
        <is>
          <t>#98</t>
        </is>
      </c>
      <c r="P100" s="10" t="inlineStr">
        <is>
          <t>Titan #64 #65</t>
        </is>
      </c>
      <c r="Q100" s="10" t="inlineStr"/>
      <c r="R100" s="8" t="inlineStr">
        <is>
          <t>Licensing chain</t>
        </is>
      </c>
      <c r="S100" s="10" t="inlineStr">
        <is>
          <t>Yes</t>
        </is>
      </c>
      <c r="T100" s="10" t="n"/>
      <c r="U100" s="10" t="n"/>
    </row>
    <row r="101">
      <c r="A101" s="10" t="n">
        <v>100</v>
      </c>
      <c r="B101" s="10" t="inlineStr">
        <is>
          <t>Claude</t>
        </is>
      </c>
      <c r="C101" s="8" t="inlineStr">
        <is>
          <t>Licensing &amp; Protection</t>
        </is>
      </c>
      <c r="D101" s="8" t="inlineStr">
        <is>
          <t>Activation request file (.pemsreq): generated on the customer server and returned to us</t>
        </is>
      </c>
      <c r="E101" s="10" t="inlineStr">
        <is>
          <t>Feature</t>
        </is>
      </c>
      <c r="F101" s="10" t="inlineStr">
        <is>
          <t>Not Started</t>
        </is>
      </c>
      <c r="G101" s="10" t="inlineStr">
        <is>
          <t>P0</t>
        </is>
      </c>
      <c r="H101" s="8" t="inlineStr">
        <is>
          <t>Owner's process: a file is generated on the customer server, returned to us, then the real licence is issued and delivered. Copying only a fingerprint is not enough; a full request contract is needed.</t>
        </is>
      </c>
      <c r="I101" s="8" t="inlineStr">
        <is>
          <t>File contents: hashed fingerprint, Install ID, install time, product version, customer/order id, random nonce, signature by the install key. The customer generates and downloads it from the licence page. Everything in this flow is done in the UI; no terminal or CLI step is required (a CLI may exist only as an optional extra).</t>
        </is>
      </c>
      <c r="J101" s="8" t="inlineStr">
        <is>
          <t>Changing one byte of the request file makes the vendor tool reject it; every request has a unique nonce; the customer produces the file entirely in the browser UI.</t>
        </is>
      </c>
      <c r="K101" s="8" t="n"/>
      <c r="L101" s="10" t="inlineStr">
        <is>
          <t>M1</t>
        </is>
      </c>
      <c r="M101" s="10" t="inlineStr">
        <is>
          <t>M</t>
        </is>
      </c>
      <c r="N101" s="10" t="inlineStr">
        <is>
          <t>Sales blocker</t>
        </is>
      </c>
      <c r="O101" s="10" t="inlineStr">
        <is>
          <t>#99</t>
        </is>
      </c>
      <c r="P101" s="10" t="inlineStr">
        <is>
          <t>Titan #141</t>
        </is>
      </c>
      <c r="Q101" s="10" t="inlineStr"/>
      <c r="R101" s="8" t="inlineStr">
        <is>
          <t>Licensing chain</t>
        </is>
      </c>
      <c r="S101" s="10" t="inlineStr">
        <is>
          <t>Yes</t>
        </is>
      </c>
      <c r="T101" s="10" t="n"/>
      <c r="U101" s="10" t="n"/>
    </row>
    <row r="102">
      <c r="A102" s="10" t="n">
        <v>101</v>
      </c>
      <c r="B102" s="10" t="inlineStr">
        <is>
          <t>Claude</t>
        </is>
      </c>
      <c r="C102" s="8" t="inlineStr">
        <is>
          <t>Licensing &amp; Protection</t>
        </is>
      </c>
      <c r="D102" s="8" t="inlineStr">
        <is>
          <t>Signed licence file format (.pemslic): Ed25519/ECDSA with fields bound to the request</t>
        </is>
      </c>
      <c r="E102" s="10" t="inlineStr">
        <is>
          <t>Feature</t>
        </is>
      </c>
      <c r="F102" s="10" t="inlineStr">
        <is>
          <t>Not Started</t>
        </is>
      </c>
      <c r="G102" s="10" t="inlineStr">
        <is>
          <t>P0</t>
        </is>
      </c>
      <c r="H102" s="8" t="inlineStr">
        <is>
          <t>Public key in the app, private key only at the vendor (Ed25519 offline licensing is proven).</t>
        </is>
      </c>
      <c r="I102" s="8" t="inlineStr">
        <is>
          <t>Fields: customer, Install ID, fingerprint hash, edition, modules/features, limits (sites and modules; no user limit), type and period, updates-until date (maintenance period, see CV_UPDENT), request nonce, issue counter; support a zip bundle of several licences.</t>
        </is>
      </c>
      <c r="J102" s="8" t="inlineStr">
        <is>
          <t>A licence issued for request A is never valid on install B; a tampered signature test is rejected.</t>
        </is>
      </c>
      <c r="K102" s="8" t="n"/>
      <c r="L102" s="10" t="inlineStr">
        <is>
          <t>M1</t>
        </is>
      </c>
      <c r="M102" s="10" t="inlineStr">
        <is>
          <t>M</t>
        </is>
      </c>
      <c r="N102" s="10" t="inlineStr">
        <is>
          <t>Sales blocker</t>
        </is>
      </c>
      <c r="O102" s="10" t="inlineStr">
        <is>
          <t>#100</t>
        </is>
      </c>
      <c r="P102" s="10" t="inlineStr">
        <is>
          <t>Titan #69 #131 #140</t>
        </is>
      </c>
      <c r="Q102" s="10" t="inlineStr">
        <is>
          <t>OLD-38</t>
        </is>
      </c>
      <c r="R102" s="8" t="inlineStr">
        <is>
          <t>Licensing chain</t>
        </is>
      </c>
      <c r="S102" s="10" t="inlineStr">
        <is>
          <t>Yes</t>
        </is>
      </c>
      <c r="T102" s="10" t="n"/>
      <c r="U102" s="10" t="n"/>
    </row>
    <row r="103">
      <c r="A103" s="10" t="n">
        <v>102</v>
      </c>
      <c r="B103" s="10" t="inlineStr">
        <is>
          <t>Claude</t>
        </is>
      </c>
      <c r="C103" s="8" t="inlineStr">
        <is>
          <t>Licensing &amp; Protection</t>
        </is>
      </c>
      <c r="D103" s="8" t="inlineStr">
        <is>
          <t>Licence types: lifetime, term (time period with start and end date), trial, demo</t>
        </is>
      </c>
      <c r="E103" s="10" t="inlineStr">
        <is>
          <t>Feature</t>
        </is>
      </c>
      <c r="F103" s="10" t="inlineStr">
        <is>
          <t>Not Started</t>
        </is>
      </c>
      <c r="G103" s="10" t="inlineStr">
        <is>
          <t>P0</t>
        </is>
      </c>
      <c r="H103" s="8" t="inlineStr">
        <is>
          <t>Owner decision 2026-10-15: 'times' means a time period. No count-based (activation/launch) licences. Lifetime and term cover sales; trial and demo cover pre-sales.</t>
        </is>
      </c>
      <c r="I103" s="8" t="inlineStr">
        <is>
          <t>Each type has its own validity logic: term = start and end date checked against a tamper-guarded clock (L_CLOCK); lifetime = no expiry; warning before expiry for term licences.</t>
        </is>
      </c>
      <c r="J103" s="8" t="inlineStr">
        <is>
          <t>Boundary tests: expiry at Jalali midnight, renewal before/after expiry, lifetime shows no expiry warning, a trial cannot be extended without a new licence.</t>
        </is>
      </c>
      <c r="K103" s="8" t="n"/>
      <c r="L103" s="10" t="inlineStr">
        <is>
          <t>M1</t>
        </is>
      </c>
      <c r="M103" s="10" t="inlineStr">
        <is>
          <t>M</t>
        </is>
      </c>
      <c r="N103" s="10" t="inlineStr">
        <is>
          <t>Sales blocker</t>
        </is>
      </c>
      <c r="O103" s="10" t="inlineStr">
        <is>
          <t>#101 #105</t>
        </is>
      </c>
      <c r="P103" s="10" t="inlineStr"/>
      <c r="Q103" s="10" t="inlineStr"/>
      <c r="R103" s="8" t="inlineStr">
        <is>
          <t>Licensing chain</t>
        </is>
      </c>
      <c r="S103" s="10" t="inlineStr">
        <is>
          <t>Yes</t>
        </is>
      </c>
      <c r="T103" s="10" t="n"/>
      <c r="U103" s="10" t="n"/>
    </row>
    <row r="104">
      <c r="A104" s="10" t="n">
        <v>103</v>
      </c>
      <c r="B104" s="10" t="inlineStr">
        <is>
          <t>Claude</t>
        </is>
      </c>
      <c r="C104" s="8" t="inlineStr">
        <is>
          <t>Licensing &amp; Protection</t>
        </is>
      </c>
      <c r="D104" s="8" t="inlineStr">
        <is>
          <t>Multiple verification points (start, periodic, sensitive operations) instead of one central 'if'</t>
        </is>
      </c>
      <c r="E104" s="10" t="inlineStr">
        <is>
          <t>Feature</t>
        </is>
      </c>
      <c r="F104" s="10" t="inlineStr">
        <is>
          <t>Not Started</t>
        </is>
      </c>
      <c r="G104" s="10" t="inlineStr">
        <is>
          <t>P0</t>
        </is>
      </c>
      <c r="H104" s="8" t="inlineStr">
        <is>
          <t>An ordinary attacker patches one condition; several independent checks with different consequences are needed.</t>
        </is>
      </c>
      <c r="I104" s="8" t="inlineStr">
        <is>
          <t>Checks at startup, in middleware, in a periodic Hangfire job and when publishing a module or enabling a feature; failure means read-only restricted mode, not a crash.</t>
        </is>
      </c>
      <c r="J104" s="8" t="inlineStr">
        <is>
          <t>Disabling one check does not bypass the others (internal penetration test).</t>
        </is>
      </c>
      <c r="K104" s="8" t="n"/>
      <c r="L104" s="10" t="inlineStr">
        <is>
          <t>M1</t>
        </is>
      </c>
      <c r="M104" s="10" t="inlineStr">
        <is>
          <t>M</t>
        </is>
      </c>
      <c r="N104" s="10" t="inlineStr">
        <is>
          <t>High</t>
        </is>
      </c>
      <c r="O104" s="10" t="inlineStr">
        <is>
          <t>#101</t>
        </is>
      </c>
      <c r="P104" s="10" t="inlineStr">
        <is>
          <t>Titan #143</t>
        </is>
      </c>
      <c r="Q104" s="10" t="inlineStr"/>
      <c r="R104" s="8" t="inlineStr">
        <is>
          <t>Licensing chain</t>
        </is>
      </c>
      <c r="S104" s="10" t="inlineStr">
        <is>
          <t>Yes</t>
        </is>
      </c>
      <c r="T104" s="10" t="n"/>
      <c r="U104" s="10" t="n"/>
    </row>
    <row r="105">
      <c r="A105" s="10" t="n">
        <v>104</v>
      </c>
      <c r="B105" s="10" t="inlineStr">
        <is>
          <t>Claude</t>
        </is>
      </c>
      <c r="C105" s="8" t="inlineStr">
        <is>
          <t>Licensing &amp; Protection</t>
        </is>
      </c>
      <c r="D105" s="8" t="inlineStr">
        <is>
          <t>Anti-clone: detect snapshot/image restore and simultaneous running on two machines</t>
        </is>
      </c>
      <c r="E105" s="10" t="inlineStr">
        <is>
          <t>Feature</t>
        </is>
      </c>
      <c r="F105" s="10" t="inlineStr">
        <is>
          <t>Not Started</t>
        </is>
      </c>
      <c r="G105" s="10" t="inlineStr">
        <is>
          <t>P0</t>
        </is>
      </c>
      <c r="H105" s="8" t="inlineStr">
        <is>
          <t>The scenario the owner described: a full machine image brought up elsewhere. Different hardware fails the fingerprint and machine-bound seal; restoring on the same hardware or an identical VM needs a monotonic counter and lifecycle trail.</t>
        </is>
      </c>
      <c r="I105" s="8" t="inlineStr">
        <is>
          <t>Monotonic counter in the seal plus a hash chain of the audit log; each start raises the counter; a counter lower than recorded means suspected restore; log the event and require re-activation.</t>
        </is>
      </c>
      <c r="J105" s="8" t="inlineStr">
        <is>
          <t>Documented test scenarios: (1) image on different hardware: rejected; (2) cloned VM: detected through the virtual TPM/hypervisor identifier where available, otherwise by the restore-detection counter, with the EULA clause as backstop; (3) restore from an old snapshot: warning and re-activation.</t>
        </is>
      </c>
      <c r="K105" s="8" t="n"/>
      <c r="L105" s="10" t="inlineStr">
        <is>
          <t>M1</t>
        </is>
      </c>
      <c r="M105" s="10" t="inlineStr">
        <is>
          <t>L</t>
        </is>
      </c>
      <c r="N105" s="10" t="inlineStr">
        <is>
          <t>Sales blocker</t>
        </is>
      </c>
      <c r="O105" s="10" t="inlineStr">
        <is>
          <t>#99 #103</t>
        </is>
      </c>
      <c r="P105" s="10" t="inlineStr"/>
      <c r="Q105" s="10" t="inlineStr"/>
      <c r="R105" s="8" t="inlineStr">
        <is>
          <t>Licensing chain</t>
        </is>
      </c>
      <c r="S105" s="10" t="inlineStr">
        <is>
          <t>Yes</t>
        </is>
      </c>
      <c r="T105" s="10" t="n"/>
      <c r="U105" s="10" t="n"/>
    </row>
    <row r="106">
      <c r="A106" s="10" t="n">
        <v>105</v>
      </c>
      <c r="B106" s="10" t="inlineStr">
        <is>
          <t>Claude</t>
        </is>
      </c>
      <c r="C106" s="8" t="inlineStr">
        <is>
          <t>Licensing &amp; Protection</t>
        </is>
      </c>
      <c r="D106" s="8" t="inlineStr">
        <is>
          <t>Clock-tampering guard for time-limited licences</t>
        </is>
      </c>
      <c r="E106" s="10" t="inlineStr">
        <is>
          <t>Feature</t>
        </is>
      </c>
      <c r="F106" s="10" t="inlineStr">
        <is>
          <t>Not Started</t>
        </is>
      </c>
      <c r="G106" s="10" t="inlineStr">
        <is>
          <t>P0</t>
        </is>
      </c>
      <c r="H106" s="8" t="inlineStr">
        <is>
          <t>A term licence can be bypassed by setting the clock back.</t>
        </is>
      </c>
      <c r="I106" s="8" t="inlineStr">
        <is>
          <t>Seal the last-seen time plus an audit clock; a jump backwards means a soft lock and a confirmation request.</t>
        </is>
      </c>
      <c r="J106" s="8" t="inlineStr">
        <is>
          <t>Setting the clock back 30 days does not extend the licence.</t>
        </is>
      </c>
      <c r="K106" s="8" t="inlineStr">
        <is>
          <t>PM 2026-10-18: raised to P0/M1 (licence chain).</t>
        </is>
      </c>
      <c r="L106" s="10" t="inlineStr">
        <is>
          <t>M1</t>
        </is>
      </c>
      <c r="M106" s="10" t="inlineStr">
        <is>
          <t>M</t>
        </is>
      </c>
      <c r="N106" s="10" t="inlineStr">
        <is>
          <t>High</t>
        </is>
      </c>
      <c r="O106" s="10" t="inlineStr">
        <is>
          <t>#103</t>
        </is>
      </c>
      <c r="P106" s="10" t="inlineStr"/>
      <c r="Q106" s="10" t="inlineStr"/>
      <c r="R106" s="8" t="inlineStr">
        <is>
          <t>Licensing chain</t>
        </is>
      </c>
      <c r="S106" s="10" t="inlineStr">
        <is>
          <t>Yes</t>
        </is>
      </c>
      <c r="T106" s="10" t="n"/>
      <c r="U106" s="10" t="n"/>
    </row>
    <row r="107">
      <c r="A107" s="10" t="n">
        <v>106</v>
      </c>
      <c r="B107" s="10" t="inlineStr">
        <is>
          <t>Claude</t>
        </is>
      </c>
      <c r="C107" s="8" t="inlineStr">
        <is>
          <t>Licensing &amp; Protection</t>
        </is>
      </c>
      <c r="D107" s="8" t="inlineStr">
        <is>
          <t>Vendor tool (superowner): validate request, issue licence, register customer/licence and audit</t>
        </is>
      </c>
      <c r="E107" s="10" t="inlineStr">
        <is>
          <t>Feature</t>
        </is>
      </c>
      <c r="F107" s="10" t="inlineStr">
        <is>
          <t>Not Started</t>
        </is>
      </c>
      <c r="G107" s="10" t="inlineStr">
        <is>
          <t>P0</t>
        </is>
      </c>
      <c r="H107" s="8" t="inlineStr">
        <is>
          <t>Issuing was moved from a CLI to a separate web app on a comparable platform, with two flags (build time/run time) so it never ships in the customer build.</t>
        </is>
      </c>
      <c r="I107" s="8" t="inlineStr">
        <is>
          <t>A separate web app (not in the customer package): import a request file, show fingerprint/install time, choose edition/modules/period, issue and download a zip, revoke, generate/rotate signing keys in its offline mode, view the licence ledger and reports; record every action in the ledger. All vendor operations are UI operations; no command-line scripts.</t>
        </is>
      </c>
      <c r="J107" s="8" t="inlineStr">
        <is>
          <t>The tool is absent from every customer release (package scan); every issue is recorded in the ledger with a sequence number; issuing, revoking and key operations need no terminal.</t>
        </is>
      </c>
      <c r="K107" s="8" t="inlineStr">
        <is>
          <t>2026-10-25: the issued-licence ledger (#341) and the licence flow gate (#342) feed the owner-initiated admin reset (#343-#349).</t>
        </is>
      </c>
      <c r="L107" s="10" t="inlineStr">
        <is>
          <t>M1</t>
        </is>
      </c>
      <c r="M107" s="10" t="inlineStr">
        <is>
          <t>L</t>
        </is>
      </c>
      <c r="N107" s="10" t="inlineStr">
        <is>
          <t>Sales blocker</t>
        </is>
      </c>
      <c r="O107" s="10" t="inlineStr">
        <is>
          <t>#101</t>
        </is>
      </c>
      <c r="P107" s="10" t="inlineStr">
        <is>
          <t>Titan #145 #207</t>
        </is>
      </c>
      <c r="Q107" s="10" t="inlineStr">
        <is>
          <t>OLD-38</t>
        </is>
      </c>
      <c r="R107" s="8" t="inlineStr">
        <is>
          <t>Licensing chain</t>
        </is>
      </c>
      <c r="S107" s="10" t="inlineStr">
        <is>
          <t>Yes</t>
        </is>
      </c>
      <c r="T107" s="10" t="n"/>
      <c r="U107" s="10" t="n"/>
    </row>
    <row r="108">
      <c r="A108" s="10" t="n">
        <v>107</v>
      </c>
      <c r="B108" s="10" t="inlineStr">
        <is>
          <t>User</t>
        </is>
      </c>
      <c r="C108" s="8" t="inlineStr">
        <is>
          <t>Licensing &amp; Protection</t>
        </is>
      </c>
      <c r="D108" s="8" t="inlineStr">
        <is>
          <t>Define and perform the licence signing-key procedure (create keys offline, storage, backup, rotation, compromise plan)</t>
        </is>
      </c>
      <c r="E108" s="10" t="inlineStr">
        <is>
          <t>Ops Process</t>
        </is>
      </c>
      <c r="F108" s="10" t="inlineStr">
        <is>
          <t>Not Started</t>
        </is>
      </c>
      <c r="G108" s="10" t="inlineStr">
        <is>
          <t>P0</t>
        </is>
      </c>
      <c r="H108" s="8" t="inlineStr">
        <is>
          <t>Leaking the private signing key ends licensing.</t>
        </is>
      </c>
      <c r="I108" s="8" t="inlineStr">
        <is>
          <t>1) Choose the algorithm (recommended Ed25519) and where the private key lives (an owner computer, meaning the own computer of Hamid or Saber, kept offline between uses, or a hardware token; never a shared, CI or server machine, the assistant's environment or the repository, rule 10). 2) Write docs/process/KEY_MANAGEMENT.md without any secret: who holds the key, two encrypted backups in separate places, rotation schedule, what to do if it leaks. 3) Create the key pair under that procedure and commit only the public key for the verifier (#101).</t>
        </is>
      </c>
      <c r="J108" s="8" t="inlineStr">
        <is>
          <t>Done when: the procedure is approved and followed; the public key is in the repository; a test signature verifies; the private key is only on the owner computers and nowhere else (not in the repository, CI, a shared server or the assistant's environment).</t>
        </is>
      </c>
      <c r="K108" s="8" t="n"/>
      <c r="L108" s="10" t="inlineStr">
        <is>
          <t>M0</t>
        </is>
      </c>
      <c r="M108" s="10" t="inlineStr">
        <is>
          <t>M</t>
        </is>
      </c>
      <c r="N108" s="10" t="inlineStr">
        <is>
          <t>Sales blocker</t>
        </is>
      </c>
      <c r="O108" s="10" t="inlineStr">
        <is>
          <t>#96</t>
        </is>
      </c>
      <c r="P108" s="10" t="inlineStr">
        <is>
          <t>Titan #207</t>
        </is>
      </c>
      <c r="Q108" s="10" t="inlineStr"/>
      <c r="R108" s="8" t="inlineStr">
        <is>
          <t>Licensing chain</t>
        </is>
      </c>
      <c r="S108" s="10" t="inlineStr">
        <is>
          <t>Yes</t>
        </is>
      </c>
      <c r="T108" s="10" t="inlineStr">
        <is>
          <t>Sprint 1</t>
        </is>
      </c>
      <c r="U108" s="10" t="inlineStr">
        <is>
          <t>Member A</t>
        </is>
      </c>
    </row>
    <row r="109">
      <c r="A109" s="10" t="n">
        <v>108</v>
      </c>
      <c r="B109" s="10" t="inlineStr">
        <is>
          <t>Claude</t>
        </is>
      </c>
      <c r="C109" s="8" t="inlineStr">
        <is>
          <t>Licensing &amp; Protection</t>
        </is>
      </c>
      <c r="D109" s="8" t="inlineStr">
        <is>
          <t>Customer licence page: status, fingerprint, request download, licence/zip upload, expiry warnings</t>
        </is>
      </c>
      <c r="E109" s="10" t="inlineStr">
        <is>
          <t>Feature</t>
        </is>
      </c>
      <c r="F109" s="10" t="inlineStr">
        <is>
          <t>Not Started</t>
        </is>
      </c>
      <c r="G109" s="10" t="inlineStr">
        <is>
          <t>P0</t>
        </is>
      </c>
      <c r="H109" s="8" t="inlineStr">
        <is>
          <t>Zip upload, show/copy of the fingerprint and automatic restart after a licence upload remove the need for a terminal.</t>
        </is>
      </c>
      <c r="I109" s="8" t="inlineStr">
        <is>
          <t>A browser UI for the whole customer licence life: status, fingerprint, generate/download the request file, upload a licence or zip, renewal and transfer requests, emergency licence, expiry warnings. Everything in this flow is done in the UI; no terminal or CLI step is required (a CLI may exist only as an optional extra).</t>
        </is>
      </c>
      <c r="J109" s="8" t="inlineStr">
        <is>
          <t>From first run to an active licence the customer completes every step using only the browser UI, without support staff or a terminal.</t>
        </is>
      </c>
      <c r="K109" s="8" t="inlineStr">
        <is>
          <t>PM 2026-10-18: raised to P0/M1; the whole customer licence life is UI-only.</t>
        </is>
      </c>
      <c r="L109" s="10" t="inlineStr">
        <is>
          <t>M1</t>
        </is>
      </c>
      <c r="M109" s="10" t="inlineStr">
        <is>
          <t>M</t>
        </is>
      </c>
      <c r="N109" s="10" t="inlineStr">
        <is>
          <t>High</t>
        </is>
      </c>
      <c r="O109" s="10" t="inlineStr">
        <is>
          <t>#100 #101</t>
        </is>
      </c>
      <c r="P109" s="10" t="inlineStr">
        <is>
          <t>Titan #131 #140 #141 #146</t>
        </is>
      </c>
      <c r="Q109" s="10" t="inlineStr">
        <is>
          <t>OLD-39</t>
        </is>
      </c>
      <c r="R109" s="8" t="inlineStr">
        <is>
          <t>Licensing chain</t>
        </is>
      </c>
      <c r="S109" s="10" t="inlineStr">
        <is>
          <t>Yes</t>
        </is>
      </c>
      <c r="T109" s="10" t="n"/>
      <c r="U109" s="10" t="n"/>
    </row>
    <row r="110">
      <c r="A110" s="10" t="n">
        <v>109</v>
      </c>
      <c r="B110" s="10" t="inlineStr">
        <is>
          <t>Claude</t>
        </is>
      </c>
      <c r="C110" s="8" t="inlineStr">
        <is>
          <t>Licensing &amp; Protection</t>
        </is>
      </c>
      <c r="D110" s="8" t="inlineStr">
        <is>
          <t>First-run flow: one-time setup token and licence upload before login (safe, DB-independent)</t>
        </is>
      </c>
      <c r="E110" s="10" t="inlineStr">
        <is>
          <t>Bug Fix</t>
        </is>
      </c>
      <c r="F110" s="10" t="inlineStr">
        <is>
          <t>Not Started</t>
        </is>
      </c>
      <c r="G110" s="10" t="inlineStr">
        <is>
          <t>P0</t>
        </is>
      </c>
      <c r="H110" s="8" t="inlineStr">
        <is>
          <t>Known failure modes: the setup token was not created when only the licence was missing, and a DB-bound rate limiter made the request hang.</t>
        </is>
      </c>
      <c r="I110" s="8" t="inlineStr">
        <is>
          <t>First run in the browser: a licence page, then create the admin, then prepare the DB; the first-run pages are reachable only from the server itself or with a one-time token shown by the graphical installer (never by reading a console log); in-memory rate limiting. Everything in this flow is done in the UI; no terminal or CLI step is required (a CLI may exist only as an optional extra).</t>
        </is>
      </c>
      <c r="J110" s="8" t="inlineStr">
        <is>
          <t>A fresh install without a ready DB shows the licence page with no hang and every first-run step is a UI page.</t>
        </is>
      </c>
      <c r="K110" s="8" t="inlineStr">
        <is>
          <t>PM 2026-10-18: moved to M2 (after the licence page and the first-run wizard); UI-only.</t>
        </is>
      </c>
      <c r="L110" s="10" t="inlineStr">
        <is>
          <t>M2</t>
        </is>
      </c>
      <c r="M110" s="10" t="inlineStr">
        <is>
          <t>M</t>
        </is>
      </c>
      <c r="N110" s="10" t="inlineStr">
        <is>
          <t>High</t>
        </is>
      </c>
      <c r="O110" s="10" t="inlineStr">
        <is>
          <t>#108 #169</t>
        </is>
      </c>
      <c r="P110" s="10" t="inlineStr">
        <is>
          <t>Titan #142 #144</t>
        </is>
      </c>
      <c r="Q110" s="10" t="inlineStr">
        <is>
          <t>OLD-94</t>
        </is>
      </c>
      <c r="R110" s="8" t="inlineStr">
        <is>
          <t>Licensing chain</t>
        </is>
      </c>
      <c r="S110" s="10" t="inlineStr">
        <is>
          <t>Yes</t>
        </is>
      </c>
      <c r="T110" s="10" t="n"/>
      <c r="U110" s="10" t="n"/>
    </row>
    <row r="111">
      <c r="A111" s="10" t="n">
        <v>110</v>
      </c>
      <c r="B111" s="10" t="inlineStr">
        <is>
          <t>Claude</t>
        </is>
      </c>
      <c r="C111" s="8" t="inlineStr">
        <is>
          <t>Licensing &amp; Protection</t>
        </is>
      </c>
      <c r="D111" s="8" t="inlineStr">
        <is>
          <t>Uniform enforcement in all environments and no bypass in customer packages</t>
        </is>
      </c>
      <c r="E111" s="10" t="inlineStr">
        <is>
          <t>Bug Fix</t>
        </is>
      </c>
      <c r="F111" s="10" t="inlineStr">
        <is>
          <t>Not Started</t>
        </is>
      </c>
      <c r="G111" s="10" t="inlineStr">
        <is>
          <t>P0</t>
        </is>
      </c>
      <c r="H111" s="8" t="inlineStr">
        <is>
          <t>Known failure modes: licence checked only in production, and a LICENSE_BYPASS flag left behind.</t>
        </is>
      </c>
      <c r="I111" s="8" t="inlineStr">
        <is>
          <t>Dev environments use a signed dev licence; no bypass flag in customer builds. Keep one allowlist of always-free surfaces (login, licence page, setup, public demo page) that never need a licence; everything else is checked.</t>
        </is>
      </c>
      <c r="J111" s="8" t="inlineStr">
        <is>
          <t>Package scan finds no bypass; a build without a licence does not start; only the allowlisted surfaces open without a licence.</t>
        </is>
      </c>
      <c r="K111" s="8" t="inlineStr">
        <is>
          <t>PM 2026-10-18: now also carries the allowlist of always-free surfaces (merged from L_FREE).</t>
        </is>
      </c>
      <c r="L111" s="10" t="inlineStr">
        <is>
          <t>M1</t>
        </is>
      </c>
      <c r="M111" s="10" t="inlineStr">
        <is>
          <t>S</t>
        </is>
      </c>
      <c r="N111" s="10" t="inlineStr">
        <is>
          <t>High</t>
        </is>
      </c>
      <c r="O111" s="10" t="inlineStr">
        <is>
          <t>#103</t>
        </is>
      </c>
      <c r="P111" s="10" t="inlineStr">
        <is>
          <t>Titan #143 #204</t>
        </is>
      </c>
      <c r="Q111" s="10" t="inlineStr"/>
      <c r="R111" s="8" t="inlineStr">
        <is>
          <t>Licensing chain</t>
        </is>
      </c>
      <c r="S111" s="10" t="inlineStr">
        <is>
          <t>Yes</t>
        </is>
      </c>
      <c r="T111" s="10" t="n"/>
      <c r="U111" s="10" t="n"/>
    </row>
    <row r="112">
      <c r="A112" s="10" t="n">
        <v>111</v>
      </c>
      <c r="B112" s="10" t="inlineStr">
        <is>
          <t>Claude</t>
        </is>
      </c>
      <c r="C112" s="8" t="inlineStr">
        <is>
          <t>Licensing &amp; Protection</t>
        </is>
      </c>
      <c r="D112" s="8" t="inlineStr">
        <is>
          <t>Explicit list of always-free surfaces (login, licence, setup, public demo page)</t>
        </is>
      </c>
      <c r="E112" s="10" t="inlineStr">
        <is>
          <t>Bug Fix</t>
        </is>
      </c>
      <c r="F112" s="10" t="inlineStr">
        <is>
          <t>Cancelled</t>
        </is>
      </c>
      <c r="G112" s="10" t="inlineStr">
        <is>
          <t>P1</t>
        </is>
      </c>
      <c r="H112" s="8" t="inlineStr">
        <is>
          <t>Public surfaces must never need a licence, and app licensing should derive from the licensed models.</t>
        </is>
      </c>
      <c r="I112" s="8" t="inlineStr">
        <is>
          <t>One allowlist in one place.</t>
        </is>
      </c>
      <c r="J112" s="8" t="inlineStr">
        <is>
          <t>The public surface opens without a licence and other modules do not.</t>
        </is>
      </c>
      <c r="K112" s="8" t="inlineStr">
        <is>
          <t>Cancelled 2026-10-18: merged into the enforcement row (L_ENFORCE) as an allowlist.</t>
        </is>
      </c>
      <c r="L112" s="10" t="inlineStr">
        <is>
          <t>M3</t>
        </is>
      </c>
      <c r="M112" s="10" t="inlineStr">
        <is>
          <t>S</t>
        </is>
      </c>
      <c r="N112" s="10" t="inlineStr">
        <is>
          <t>Medium</t>
        </is>
      </c>
      <c r="O112" s="10" t="inlineStr">
        <is>
          <t>#103</t>
        </is>
      </c>
      <c r="P112" s="10" t="inlineStr">
        <is>
          <t>Titan #163 #168</t>
        </is>
      </c>
      <c r="Q112" s="10" t="inlineStr"/>
      <c r="R112" s="8" t="inlineStr">
        <is>
          <t>Licensing chain</t>
        </is>
      </c>
      <c r="S112" s="10" t="inlineStr">
        <is>
          <t>Yes</t>
        </is>
      </c>
      <c r="T112" s="10" t="n"/>
      <c r="U112" s="10" t="n"/>
    </row>
    <row r="113">
      <c r="A113" s="10" t="n">
        <v>112</v>
      </c>
      <c r="B113" s="10" t="inlineStr">
        <is>
          <t>User</t>
        </is>
      </c>
      <c r="C113" s="8" t="inlineStr">
        <is>
          <t>Licensing &amp; Protection</t>
        </is>
      </c>
      <c r="D113" s="8" t="inlineStr">
        <is>
          <t>Core edition and module catalogue with independently versioned modules (structure decided; catalogue still to define)</t>
        </is>
      </c>
      <c r="E113" s="10" t="inlineStr">
        <is>
          <t>Docs</t>
        </is>
      </c>
      <c r="F113" s="10" t="inlineStr">
        <is>
          <t>Partial</t>
        </is>
      </c>
      <c r="G113" s="10" t="inlineStr">
        <is>
          <t>P0</t>
        </is>
      </c>
      <c r="H113" s="8" t="inlineStr">
        <is>
          <t>Owner decision 2026-10-18: the BPMS core has its own edition and version (the installed product version is the core version) and every module is a separate component with its own version. Pricing is perpetual licence plus annual maintenance and there is no user limit.</t>
        </is>
      </c>
      <c r="I113" s="8" t="inlineStr">
        <is>
          <t>List the core editions (what the core includes at each edition) and the module catalogue (which dynamic modules exist, their dependencies and the core versions they run on). Record builder limits in the Supportability Matrix, not here.</t>
        </is>
      </c>
      <c r="J113" s="8" t="inlineStr">
        <is>
          <t>An approved catalogue: core editions, modules, module-to-module and module-to-core dependencies. It is the single source for the licence, the website and the registry.</t>
        </is>
      </c>
      <c r="K113" s="8" t="inlineStr">
        <is>
          <t>2026-10-18: structure decided (core edition and version; independently versioned modules). Catalogue of editions and modules still to be defined.</t>
        </is>
      </c>
      <c r="L113" s="10" t="inlineStr">
        <is>
          <t>M0</t>
        </is>
      </c>
      <c r="M113" s="10" t="inlineStr">
        <is>
          <t>M</t>
        </is>
      </c>
      <c r="N113" s="10" t="inlineStr">
        <is>
          <t>Sales blocker</t>
        </is>
      </c>
      <c r="O113" s="10" t="inlineStr">
        <is>
          <t>#3</t>
        </is>
      </c>
      <c r="P113" s="10" t="inlineStr">
        <is>
          <t>Titan #70 #129</t>
        </is>
      </c>
      <c r="Q113" s="10" t="inlineStr">
        <is>
          <t>OLD-37</t>
        </is>
      </c>
      <c r="R113" s="8" t="inlineStr">
        <is>
          <t>Licensing chain</t>
        </is>
      </c>
      <c r="S113" s="10" t="inlineStr">
        <is>
          <t>Yes</t>
        </is>
      </c>
      <c r="T113" s="10" t="n"/>
      <c r="U113" s="10" t="n"/>
    </row>
    <row r="114">
      <c r="A114" s="10" t="n">
        <v>113</v>
      </c>
      <c r="B114" s="10" t="inlineStr">
        <is>
          <t>Claude</t>
        </is>
      </c>
      <c r="C114" s="8" t="inlineStr">
        <is>
          <t>Licensing &amp; Protection</t>
        </is>
      </c>
      <c r="D114" s="8" t="inlineStr">
        <is>
          <t>Simple entitlement engine: the licence lists the enabled modules; the menu and API hide or deny the rest</t>
        </is>
      </c>
      <c r="E114" s="10" t="inlineStr">
        <is>
          <t>Feature</t>
        </is>
      </c>
      <c r="F114" s="10" t="inlineStr">
        <is>
          <t>Not Started</t>
        </is>
      </c>
      <c r="G114" s="10" t="inlineStr">
        <is>
          <t>P0</t>
        </is>
      </c>
      <c r="H114" s="8" t="inlineStr">
        <is>
          <t>PM review 2026-10-18 (licensing chain, cluster C): made simpler. The first version only switches whole modules on and off from the licence; finer feature rules are a separate Hold row (L_ENTITLE_ADV).</t>
        </is>
      </c>
      <c r="I114" s="8" t="inlineStr">
        <is>
          <t>Read the enabled modules from the signed licence; hide disabled modules from the menu (D_MENU) and deny their API calls on the server. One check function, used everywhere.</t>
        </is>
      </c>
      <c r="J114" s="8" t="inlineStr">
        <is>
          <t>A module that is not in the licence is neither in the menu nor reachable through the API; enabling it needs only a new licence.</t>
        </is>
      </c>
      <c r="K114" s="8" t="inlineStr">
        <is>
          <t>PM 2026-10-18: simplified to switching whole modules on/off from the licence; advanced rules moved to L_ENTITLE_ADV (Hold).</t>
        </is>
      </c>
      <c r="L114" s="10" t="inlineStr">
        <is>
          <t>M1</t>
        </is>
      </c>
      <c r="M114" s="10" t="inlineStr">
        <is>
          <t>M</t>
        </is>
      </c>
      <c r="N114" s="10" t="inlineStr">
        <is>
          <t>High</t>
        </is>
      </c>
      <c r="O114" s="10" t="inlineStr">
        <is>
          <t>#112 #103 #10</t>
        </is>
      </c>
      <c r="P114" s="10" t="inlineStr">
        <is>
          <t>Titan #70</t>
        </is>
      </c>
      <c r="Q114" s="10" t="inlineStr">
        <is>
          <t>OLD-38</t>
        </is>
      </c>
      <c r="R114" s="8" t="inlineStr">
        <is>
          <t>Licensing chain</t>
        </is>
      </c>
      <c r="S114" s="10" t="inlineStr">
        <is>
          <t>Yes</t>
        </is>
      </c>
      <c r="T114" s="10" t="n"/>
      <c r="U114" s="10" t="n"/>
    </row>
    <row r="115">
      <c r="A115" s="10" t="n">
        <v>114</v>
      </c>
      <c r="B115" s="10" t="inlineStr">
        <is>
          <t>Claude</t>
        </is>
      </c>
      <c r="C115" s="8" t="inlineStr">
        <is>
          <t>Licensing &amp; Protection</t>
        </is>
      </c>
      <c r="D115" s="8" t="inlineStr">
        <is>
          <t>Limits and metering for users and number of sites (cancelled: no user limit)</t>
        </is>
      </c>
      <c r="E115" s="10" t="inlineStr">
        <is>
          <t>Feature</t>
        </is>
      </c>
      <c r="F115" s="10" t="inlineStr">
        <is>
          <t>Cancelled</t>
        </is>
      </c>
      <c r="G115" s="10" t="inlineStr">
        <is>
          <t>P2</t>
        </is>
      </c>
      <c r="H115" s="8" t="inlineStr">
        <is>
          <t>Owner decision 2026-10-18: there is no user limit; licences are not metered by user.</t>
        </is>
      </c>
      <c r="I115" s="8" t="inlineStr">
        <is>
          <t>Count active users, warn at 90%, soft/hard overage policy.</t>
        </is>
      </c>
      <c r="J115" s="8" t="inlineStr">
        <is>
          <t>An extra user login is blocked or warned per policy.</t>
        </is>
      </c>
      <c r="K115" s="8" t="inlineStr">
        <is>
          <t>Cancelled 2026-10-18: no user limit.</t>
        </is>
      </c>
      <c r="L115" s="10" t="inlineStr">
        <is>
          <t>M5</t>
        </is>
      </c>
      <c r="M115" s="10" t="inlineStr">
        <is>
          <t>M</t>
        </is>
      </c>
      <c r="N115" s="10" t="inlineStr">
        <is>
          <t>High</t>
        </is>
      </c>
      <c r="O115" s="10" t="inlineStr">
        <is>
          <t>#101 #182</t>
        </is>
      </c>
      <c r="P115" s="10" t="inlineStr">
        <is>
          <t>Titan #209</t>
        </is>
      </c>
      <c r="Q115" s="10" t="inlineStr"/>
      <c r="R115" s="8" t="inlineStr">
        <is>
          <t>Licensing chain</t>
        </is>
      </c>
      <c r="S115" s="10" t="inlineStr">
        <is>
          <t>Yes</t>
        </is>
      </c>
      <c r="T115" s="10" t="n"/>
      <c r="U115" s="10" t="n"/>
    </row>
    <row r="116">
      <c r="A116" s="10" t="n">
        <v>115</v>
      </c>
      <c r="B116" s="10" t="inlineStr">
        <is>
          <t>Claude</t>
        </is>
      </c>
      <c r="C116" s="8" t="inlineStr">
        <is>
          <t>Licensing &amp; Protection</t>
        </is>
      </c>
      <c r="D116" s="8" t="inlineStr">
        <is>
          <t>Renewal by uploading a new licence on the licence page (emergency licence and grace period on Hold)</t>
        </is>
      </c>
      <c r="E116" s="10" t="inlineStr">
        <is>
          <t>Feature</t>
        </is>
      </c>
      <c r="F116" s="10" t="inlineStr">
        <is>
          <t>Not Started</t>
        </is>
      </c>
      <c r="G116" s="10" t="inlineStr">
        <is>
          <t>P1</t>
        </is>
      </c>
      <c r="H116" s="8" t="inlineStr">
        <is>
          <t>PM review 2026-10-18 (licensing chain, cluster C): made simpler: renewal is just activating a newer licence in the same licence page. The emergency licence and configurable grace period are a separate Hold row (L_EMERG).</t>
        </is>
      </c>
      <c r="I116" s="8" t="inlineStr">
        <is>
          <t>On the licence page show the expiry date with a warning before it, and let the customer upload a new licence to renew; the new licence replaces the old one. Everything in the UI.</t>
        </is>
      </c>
      <c r="J116" s="8" t="inlineStr">
        <is>
          <t>A term licence is renewed by uploading a new licence on the licence page with no restart outside the automatic one and no terminal; expiry never happens without a prior warning.</t>
        </is>
      </c>
      <c r="K116" s="8" t="inlineStr">
        <is>
          <t>PM 2026-10-18: simplified to renewal by uploading a new licence; emergency licence and grace period moved to L_EMERG (Hold).</t>
        </is>
      </c>
      <c r="L116" s="10" t="inlineStr">
        <is>
          <t>M3</t>
        </is>
      </c>
      <c r="M116" s="10" t="inlineStr">
        <is>
          <t>S</t>
        </is>
      </c>
      <c r="N116" s="10" t="inlineStr">
        <is>
          <t>High</t>
        </is>
      </c>
      <c r="O116" s="10" t="inlineStr">
        <is>
          <t>#102</t>
        </is>
      </c>
      <c r="P116" s="10" t="inlineStr"/>
      <c r="Q116" s="10" t="inlineStr"/>
      <c r="R116" s="8" t="inlineStr">
        <is>
          <t>Licensing chain</t>
        </is>
      </c>
      <c r="S116" s="10" t="inlineStr">
        <is>
          <t>Yes</t>
        </is>
      </c>
      <c r="T116" s="10" t="n"/>
      <c r="U116" s="10" t="n"/>
    </row>
    <row r="117">
      <c r="A117" s="10" t="n">
        <v>116</v>
      </c>
      <c r="B117" s="10" t="inlineStr">
        <is>
          <t>Claude</t>
        </is>
      </c>
      <c r="C117" s="8" t="inlineStr">
        <is>
          <t>Licensing &amp; Protection</t>
        </is>
      </c>
      <c r="D117" s="8" t="inlineStr">
        <is>
          <t>Transfer (re-host) and hardware replacement: new request, revoke the old licence, limit on count</t>
        </is>
      </c>
      <c r="E117" s="10" t="inlineStr">
        <is>
          <t>Feature</t>
        </is>
      </c>
      <c r="F117" s="10" t="inlineStr">
        <is>
          <t>Not Started</t>
        </is>
      </c>
      <c r="G117" s="10" t="inlineStr">
        <is>
          <t>P0</t>
        </is>
      </c>
      <c r="H117" s="8" t="inlineStr">
        <is>
          <t>Real servers fail; without an official path customers will circumvent.</t>
        </is>
      </c>
      <c r="I117" s="8" t="inlineStr">
        <is>
          <t>Customer page 'Request transfer' generates the new request and marks the old install for deactivation; the vendor tool approves and issues the new licence; a transfer counter caps the number of transfers. Everything in this flow is done in the UI; no terminal or CLI step is required (a CLI may exist only as an optional extra).</t>
        </is>
      </c>
      <c r="J117" s="8" t="inlineStr">
        <is>
          <t>Transfers above the cap need manual approval.</t>
        </is>
      </c>
      <c r="K117" s="8" t="inlineStr">
        <is>
          <t>PM 2026-10-18: raised to P0/M2; UI-only flow.</t>
        </is>
      </c>
      <c r="L117" s="10" t="inlineStr">
        <is>
          <t>M2</t>
        </is>
      </c>
      <c r="M117" s="10" t="inlineStr">
        <is>
          <t>M</t>
        </is>
      </c>
      <c r="N117" s="10" t="inlineStr">
        <is>
          <t>High</t>
        </is>
      </c>
      <c r="O117" s="10" t="inlineStr">
        <is>
          <t>#106</t>
        </is>
      </c>
      <c r="P117" s="10" t="inlineStr"/>
      <c r="Q117" s="10" t="inlineStr"/>
      <c r="R117" s="8" t="inlineStr">
        <is>
          <t>Licensing chain</t>
        </is>
      </c>
      <c r="S117" s="10" t="inlineStr">
        <is>
          <t>Yes</t>
        </is>
      </c>
      <c r="T117" s="10" t="n"/>
      <c r="U117" s="10" t="n"/>
    </row>
    <row r="118">
      <c r="A118" s="10" t="n">
        <v>117</v>
      </c>
      <c r="B118" s="10" t="inlineStr">
        <is>
          <t>Claude</t>
        </is>
      </c>
      <c r="C118" s="8" t="inlineStr">
        <is>
          <t>Licensing &amp; Protection</t>
        </is>
      </c>
      <c r="D118" s="8" t="inlineStr">
        <is>
          <t>Offline revocation list delivered via update/renewal package</t>
        </is>
      </c>
      <c r="E118" s="10" t="inlineStr">
        <is>
          <t>Feature</t>
        </is>
      </c>
      <c r="F118" s="10" t="inlineStr">
        <is>
          <t>Hold</t>
        </is>
      </c>
      <c r="G118" s="10" t="inlineStr">
        <is>
          <t>P2</t>
        </is>
      </c>
      <c r="H118" s="8" t="inlineStr">
        <is>
          <t>No online call is allowed.</t>
        </is>
      </c>
      <c r="I118" s="8" t="inlineStr">
        <is>
          <t>A signed revocation list shipped with the update package and imported through the update page in the UI.</t>
        </is>
      </c>
      <c r="J118" s="8" t="inlineStr">
        <is>
          <t>A revoked licence is disabled on the next update.</t>
        </is>
      </c>
      <c r="K118" s="8" t="inlineStr">
        <is>
          <t>ON HOLD per PM 2026-10-18.</t>
        </is>
      </c>
      <c r="L118" s="10" t="inlineStr">
        <is>
          <t>M5</t>
        </is>
      </c>
      <c r="M118" s="10" t="inlineStr">
        <is>
          <t>M</t>
        </is>
      </c>
      <c r="N118" s="10" t="inlineStr">
        <is>
          <t>Medium</t>
        </is>
      </c>
      <c r="O118" s="10" t="inlineStr">
        <is>
          <t>#106 #170</t>
        </is>
      </c>
      <c r="P118" s="10" t="inlineStr"/>
      <c r="Q118" s="10" t="inlineStr"/>
      <c r="R118" s="8" t="inlineStr">
        <is>
          <t>Licensing chain</t>
        </is>
      </c>
      <c r="S118" s="10" t="inlineStr">
        <is>
          <t>Yes</t>
        </is>
      </c>
      <c r="T118" s="10" t="n"/>
      <c r="U118" s="10" t="n"/>
    </row>
    <row r="119">
      <c r="A119" s="10" t="n">
        <v>118</v>
      </c>
      <c r="B119" s="10" t="inlineStr">
        <is>
          <t>Claude</t>
        </is>
      </c>
      <c r="C119" s="8" t="inlineStr">
        <is>
          <t>Licensing &amp; Protection</t>
        </is>
      </c>
      <c r="D119" s="8" t="inlineStr">
        <is>
          <t>Protect .NET code: obfuscation, assembly signing, integrity checks and anti-patching</t>
        </is>
      </c>
      <c r="E119" s="10" t="inlineStr">
        <is>
          <t>Library Modernization</t>
        </is>
      </c>
      <c r="F119" s="10" t="inlineStr">
        <is>
          <t>Hold</t>
        </is>
      </c>
      <c r="G119" s="10" t="inlineStr">
        <is>
          <t>P1</t>
        </is>
      </c>
      <c r="H119" s="8" t="inlineStr">
        <is>
          <t>PM review 2026-10-18 (licensing chain): kept simple for now: code obfuscation and integrity checks are complicated, so the row stays in the backlog on Hold. A comparable platform used V8 bytecode; for .NET evaluate commercial obfuscators/ReadyToRun/NativeAOT and compatibility with EF/Razor.</t>
        </is>
      </c>
      <c r="I119" s="8" t="inlineStr">
        <is>
          <t>Evaluate tools, apply to licence and core assemblies, test performance.</t>
        </is>
      </c>
      <c r="J119" s="8" t="inlineStr">
        <is>
          <t>Simple decompilation does not reveal licence logic; the app passes the full test suite after obfuscation.</t>
        </is>
      </c>
      <c r="K119" s="8" t="inlineStr">
        <is>
          <t>ON HOLD per PM 2026-10-18: kept simple for now; complicated protection work stays in the backlog.</t>
        </is>
      </c>
      <c r="L119" s="10" t="inlineStr">
        <is>
          <t>M3</t>
        </is>
      </c>
      <c r="M119" s="10" t="inlineStr">
        <is>
          <t>L</t>
        </is>
      </c>
      <c r="N119" s="10" t="inlineStr">
        <is>
          <t>High</t>
        </is>
      </c>
      <c r="O119" s="10" t="inlineStr">
        <is>
          <t>#103</t>
        </is>
      </c>
      <c r="P119" s="10" t="inlineStr">
        <is>
          <t>Titan #71</t>
        </is>
      </c>
      <c r="Q119" s="10" t="inlineStr"/>
      <c r="R119" s="8" t="inlineStr">
        <is>
          <t>Licensing chain</t>
        </is>
      </c>
      <c r="S119" s="10" t="inlineStr">
        <is>
          <t>Yes</t>
        </is>
      </c>
      <c r="T119" s="10" t="n"/>
      <c r="U119" s="10" t="n"/>
    </row>
    <row r="120">
      <c r="A120" s="10" t="n">
        <v>119</v>
      </c>
      <c r="B120" s="10" t="inlineStr">
        <is>
          <t>Claude</t>
        </is>
      </c>
      <c r="C120" s="8" t="inlineStr">
        <is>
          <t>Licensing &amp; Protection</t>
        </is>
      </c>
      <c r="D120" s="8" t="inlineStr">
        <is>
          <t>Package allowlist and security scan before each release</t>
        </is>
      </c>
      <c r="E120" s="10" t="inlineStr">
        <is>
          <t>Ops Process</t>
        </is>
      </c>
      <c r="F120" s="10" t="inlineStr">
        <is>
          <t>Not Started</t>
        </is>
      </c>
      <c r="G120" s="10" t="inlineStr">
        <is>
          <t>P1</t>
        </is>
      </c>
      <c r="H120" s="8" t="inlineStr">
        <is>
          <t>Without it development files and keys stay in the package.</t>
        </is>
      </c>
      <c r="I120" s="8" t="inlineStr">
        <is>
          <t>A package content control script. Extend the scan to everything handed to a customer or auditor (package, docs, sources): internal IP addresses, host names and SSH or service account names (audit finding S-6: 192.168.1.x addresses and an SSH account in deploy/caddy/Caddyfile, docs/audits/* and docs/deployment/*), and run a secrets scan (gitleaks, MIT licence) over the delivery.</t>
        </is>
      </c>
      <c r="J120" s="8" t="inlineStr">
        <is>
          <t>A release with a disallowed file fails. A delivery that contains an internal address, account name or secret fails the scan.</t>
        </is>
      </c>
      <c r="K120" s="8" t="n"/>
      <c r="L120" s="10" t="inlineStr">
        <is>
          <t>M3</t>
        </is>
      </c>
      <c r="M120" s="10" t="inlineStr">
        <is>
          <t>S</t>
        </is>
      </c>
      <c r="N120" s="10" t="inlineStr">
        <is>
          <t>High</t>
        </is>
      </c>
      <c r="O120" s="10" t="inlineStr">
        <is>
          <t>#7</t>
        </is>
      </c>
      <c r="P120" s="10" t="inlineStr">
        <is>
          <t>Titan #68</t>
        </is>
      </c>
      <c r="Q120" s="10" t="inlineStr"/>
      <c r="R120" s="8" t="inlineStr">
        <is>
          <t>Licensing chain</t>
        </is>
      </c>
      <c r="S120" s="10" t="inlineStr">
        <is>
          <t>Yes</t>
        </is>
      </c>
      <c r="T120" s="10" t="n"/>
      <c r="U120" s="10" t="n"/>
    </row>
    <row r="121">
      <c r="A121" s="10" t="n">
        <v>120</v>
      </c>
      <c r="B121" s="10" t="inlineStr">
        <is>
          <t>User</t>
        </is>
      </c>
      <c r="C121" s="8" t="inlineStr">
        <is>
          <t>Licensing &amp; Protection</t>
        </is>
      </c>
      <c r="D121" s="8" t="inlineStr">
        <is>
          <t>End-user licence agreement (EULA), terms of use, warranty and limitation of liability</t>
        </is>
      </c>
      <c r="E121" s="10" t="inlineStr">
        <is>
          <t>Legal/Business</t>
        </is>
      </c>
      <c r="F121" s="10" t="inlineStr">
        <is>
          <t>Not Started</t>
        </is>
      </c>
      <c r="G121" s="10" t="inlineStr">
        <is>
          <t>P0</t>
        </is>
      </c>
      <c r="H121" s="8" t="inlineStr">
        <is>
          <t>Technical protection alone is not enough, especially for VM cloning.</t>
        </is>
      </c>
      <c r="I121" s="8" t="inlineStr">
        <is>
          <t>Persian and English text with clauses against reverse engineering, copying and transfer; legal review.</t>
        </is>
      </c>
      <c r="J121" s="8" t="inlineStr">
        <is>
          <t>A legally approved version is shown at install and acceptance is recorded.</t>
        </is>
      </c>
      <c r="K121" s="8" t="n"/>
      <c r="L121" s="10" t="inlineStr">
        <is>
          <t>M1</t>
        </is>
      </c>
      <c r="M121" s="10" t="inlineStr">
        <is>
          <t>M</t>
        </is>
      </c>
      <c r="N121" s="10" t="inlineStr">
        <is>
          <t>Sales blocker</t>
        </is>
      </c>
      <c r="O121" s="10" t="inlineStr">
        <is>
          <t>#96 #126</t>
        </is>
      </c>
      <c r="P121" s="10" t="inlineStr"/>
      <c r="Q121" s="10" t="inlineStr"/>
      <c r="R121" s="8" t="inlineStr">
        <is>
          <t>Licensing chain</t>
        </is>
      </c>
      <c r="S121" s="10" t="inlineStr">
        <is>
          <t>Yes</t>
        </is>
      </c>
      <c r="T121" s="10" t="n"/>
      <c r="U121" s="10" t="n"/>
    </row>
    <row r="122">
      <c r="A122" s="10" t="n">
        <v>121</v>
      </c>
      <c r="B122" s="10" t="inlineStr">
        <is>
          <t>Claude</t>
        </is>
      </c>
      <c r="C122" s="8" t="inlineStr">
        <is>
          <t>Licensing &amp; Protection</t>
        </is>
      </c>
      <c r="D122" s="8" t="inlineStr">
        <is>
          <t>Third-party licence inventory and commercial-licence check of dependencies (manual list for now)</t>
        </is>
      </c>
      <c r="E122" s="10" t="inlineStr">
        <is>
          <t>Legal/Business</t>
        </is>
      </c>
      <c r="F122" s="10" t="inlineStr">
        <is>
          <t>Not Started</t>
        </is>
      </c>
      <c r="G122" s="10" t="inlineStr">
        <is>
          <t>P0</t>
        </is>
      </c>
      <c r="H122" s="8" t="inlineStr">
        <is>
          <t>Dependencies: QuestPDF, Hangfire, Fido2, ZXing.Net, HtmlSanitizer, FluentFTP, Serilog and the front end. Some have commercial or copyleft terms (for example revenue thresholds for QuestPDF and the Hangfire Core licence); this must be verified formally, not guessed. 2026-10-28 (#433): LateApexEarlySpeed.Json.Schema 4.2.2 added to PEMS.UI: BSD-3-Clause (checked in the package nuspec), JSON Schema 2020-12 validation on System.Text.Json. JsonSchema.Net 9.x rejected: Open Source Maintenance Fee EULA, not a plain open-source licence; needs owner approval before any use. Schema generation uses the built-in System.Text.Json JsonSchemaExporter (no package).</t>
        </is>
      </c>
      <c r="I122" s="8" t="inlineStr">
        <is>
          <t>List every third-party component and its licence by hand from the project files (QuestPDF, Hangfire, Fido2, ZXing.Net, HtmlSanitizer, FluentFTP, Serilog and the front-end libraries), mark the ones with commercial or copyleft terms, and have a lawyer check them. Automatic SBOM generation is a separate Hold row (L_SBOMAUTO).</t>
        </is>
      </c>
      <c r="J122" s="8" t="inlineStr">
        <is>
          <t>A one-page table of components, licences and the decision for each (keep, buy, replace); no dependency with an incompatible licence remains; a THIRD-PARTY-NOTICES file ships in the install.</t>
        </is>
      </c>
      <c r="K122" s="8" t="inlineStr">
        <is>
          <t>PM 2026-10-18: simplified to a manual list plus lawyer check; automation moved to L_SBOMAUTO (Hold). 2026-10-27: pdf.js 4.0.379 (pdfjs-dist, Apache-2.0, Mozilla) added to the front-end list - see PEMS.Web/wwwroot/lib/pdfjs/README-PEMS.txt.</t>
        </is>
      </c>
      <c r="L122" s="10" t="inlineStr">
        <is>
          <t>M1</t>
        </is>
      </c>
      <c r="M122" s="10" t="inlineStr">
        <is>
          <t>M</t>
        </is>
      </c>
      <c r="N122" s="10" t="inlineStr">
        <is>
          <t>Sales blocker</t>
        </is>
      </c>
      <c r="O122" s="10" t="inlineStr">
        <is>
          <t>#6</t>
        </is>
      </c>
      <c r="P122" s="10" t="inlineStr"/>
      <c r="Q122" s="10" t="inlineStr"/>
      <c r="R122" s="8" t="inlineStr">
        <is>
          <t>Licensing chain</t>
        </is>
      </c>
      <c r="S122" s="10" t="inlineStr">
        <is>
          <t>Yes</t>
        </is>
      </c>
      <c r="T122" s="10" t="n"/>
      <c r="U122" s="10" t="n"/>
    </row>
    <row r="123">
      <c r="A123" s="10" t="n">
        <v>122</v>
      </c>
      <c r="B123" s="10" t="inlineStr">
        <is>
          <t>Claude</t>
        </is>
      </c>
      <c r="C123" s="8" t="inlineStr">
        <is>
          <t>Licensing &amp; Protection</t>
        </is>
      </c>
      <c r="D123" s="8" t="inlineStr">
        <is>
          <t>Licence acceptance checklist and basic tests (manual checklist now; automated attack suite on Hold)</t>
        </is>
      </c>
      <c r="E123" s="10" t="inlineStr">
        <is>
          <t>Tech Debt</t>
        </is>
      </c>
      <c r="F123" s="10" t="inlineStr">
        <is>
          <t>Not Started</t>
        </is>
      </c>
      <c r="G123" s="10" t="inlineStr">
        <is>
          <t>P0</t>
        </is>
      </c>
      <c r="H123" s="8" t="inlineStr">
        <is>
          <t>Machine-locking has had previously reported failure modes on comparable platforms.</t>
        </is>
      </c>
      <c r="I123" s="8" t="inlineStr">
        <is>
          <t>Write a manual acceptance checklist for the licence flows - activate, expire, renew, transfer, clone/image on other hardware, restore a snapshot, change the clock - performed through the UI, plus unit tests for signature and expiry. The automated attack-scenario suite is a separate Hold row (L_TESTAUTO).</t>
        </is>
      </c>
      <c r="J123" s="8" t="inlineStr">
        <is>
          <t>A signed-off licence acceptance report exists before the first sale; every checklist step passes through the UI and the vendor UI; signature and expiry unit tests pass.</t>
        </is>
      </c>
      <c r="K123" s="8" t="inlineStr">
        <is>
          <t>PM 2026-10-18: simplified to a manual checklist plus basic tests; automation moved to L_TESTAUTO (Hold).</t>
        </is>
      </c>
      <c r="L123" s="10" t="inlineStr">
        <is>
          <t>M1</t>
        </is>
      </c>
      <c r="M123" s="10" t="inlineStr">
        <is>
          <t>M</t>
        </is>
      </c>
      <c r="N123" s="10" t="inlineStr">
        <is>
          <t>High</t>
        </is>
      </c>
      <c r="O123" s="10" t="inlineStr">
        <is>
          <t>#104 #105</t>
        </is>
      </c>
      <c r="P123" s="10" t="inlineStr"/>
      <c r="Q123" s="10" t="inlineStr">
        <is>
          <t>OLD-94</t>
        </is>
      </c>
      <c r="R123" s="8" t="inlineStr">
        <is>
          <t>Licensing chain</t>
        </is>
      </c>
      <c r="S123" s="10" t="inlineStr">
        <is>
          <t>Yes</t>
        </is>
      </c>
      <c r="T123" s="10" t="n"/>
      <c r="U123" s="10" t="n"/>
    </row>
    <row r="124">
      <c r="A124" s="10" t="n">
        <v>123</v>
      </c>
      <c r="B124" s="10" t="inlineStr">
        <is>
          <t>User</t>
        </is>
      </c>
      <c r="C124" s="8" t="inlineStr">
        <is>
          <t>Licensing &amp; Protection</t>
        </is>
      </c>
      <c r="D124" s="8" t="inlineStr">
        <is>
          <t>Licence support procedure: request intake, issuing SLA, customer identity check, licence ledger</t>
        </is>
      </c>
      <c r="E124" s="10" t="inlineStr">
        <is>
          <t>Ops Process</t>
        </is>
      </c>
      <c r="F124" s="10" t="inlineStr">
        <is>
          <t>Not Started</t>
        </is>
      </c>
      <c r="G124" s="10" t="inlineStr">
        <is>
          <t>P1</t>
        </is>
      </c>
      <c r="H124" s="8" t="inlineStr">
        <is>
          <t>The flow 'request -&gt; issue -&gt; deliver' needs an owner and an SLA.</t>
        </is>
      </c>
      <c r="I124" s="8" t="inlineStr">
        <is>
          <t>A one-page SOP and message templates.</t>
        </is>
      </c>
      <c r="J124" s="8" t="inlineStr">
        <is>
          <t>Each request is answered within 2 business days.</t>
        </is>
      </c>
      <c r="K124" s="8" t="inlineStr">
        <is>
          <t>2026-10-25: the issued-licence ledger (#341) and the licence flow gate (#342) feed the owner-initiated admin reset (#343-#349).</t>
        </is>
      </c>
      <c r="L124" s="10" t="inlineStr">
        <is>
          <t>M3</t>
        </is>
      </c>
      <c r="M124" s="10" t="inlineStr">
        <is>
          <t>S</t>
        </is>
      </c>
      <c r="N124" s="10" t="inlineStr">
        <is>
          <t>Medium</t>
        </is>
      </c>
      <c r="O124" s="10" t="inlineStr">
        <is>
          <t>#106</t>
        </is>
      </c>
      <c r="P124" s="10" t="inlineStr">
        <is>
          <t>Titan #206</t>
        </is>
      </c>
      <c r="Q124" s="10" t="inlineStr"/>
      <c r="R124" s="8" t="inlineStr">
        <is>
          <t>Licensing chain</t>
        </is>
      </c>
      <c r="S124" s="10" t="inlineStr">
        <is>
          <t>Yes</t>
        </is>
      </c>
      <c r="T124" s="10" t="n"/>
      <c r="U124" s="10" t="n"/>
    </row>
    <row r="125">
      <c r="A125" s="10" t="n">
        <v>124</v>
      </c>
      <c r="B125" s="10" t="inlineStr">
        <is>
          <t>User</t>
        </is>
      </c>
      <c r="C125" s="8" t="inlineStr">
        <is>
          <t>Company, Brand &amp; Commercial Packaging</t>
        </is>
      </c>
      <c r="D125" s="8" t="inlineStr">
        <is>
          <t>Product name is PEMS (decided); no renaming or naming-structure work for now</t>
        </is>
      </c>
      <c r="E125" s="10" t="inlineStr">
        <is>
          <t>Decision Needed</t>
        </is>
      </c>
      <c r="F125" s="10" t="inlineStr">
        <is>
          <t>Done</t>
        </is>
      </c>
      <c r="G125" s="10" t="inlineStr">
        <is>
          <t>P0</t>
        </is>
      </c>
      <c r="H125" s="8" t="inlineStr">
        <is>
          <t>Owner decision 2026-10-15: the product is PEMS; nothing more is needed on naming at this stage.</t>
        </is>
      </c>
      <c r="I125" s="8" t="inlineStr">
        <is>
          <t>No action. Use PEMS in the EULA, website, licence files and tokens. Revisit only if the trademark search (B_TM) finds a conflict.</t>
        </is>
      </c>
      <c r="J125" s="8" t="inlineStr">
        <is>
          <t>PEMS is the name used everywhere; no open naming task remains.</t>
        </is>
      </c>
      <c r="K125" s="8" t="inlineStr">
        <is>
          <t>Closed by owner decision 2026-10-15: the product name is PEMS.</t>
        </is>
      </c>
      <c r="L125" s="10" t="inlineStr">
        <is>
          <t>M0</t>
        </is>
      </c>
      <c r="M125" s="10" t="inlineStr">
        <is>
          <t>S</t>
        </is>
      </c>
      <c r="N125" s="10" t="inlineStr">
        <is>
          <t>Sales blocker</t>
        </is>
      </c>
      <c r="O125" s="10" t="inlineStr"/>
      <c r="P125" s="10" t="inlineStr"/>
      <c r="Q125" s="10" t="inlineStr"/>
      <c r="R125" s="8" t="inlineStr">
        <is>
          <t>Company, brand &amp; legal</t>
        </is>
      </c>
      <c r="S125" s="10" t="inlineStr">
        <is>
          <t>Yes</t>
        </is>
      </c>
      <c r="T125" s="10" t="n"/>
      <c r="U125" s="10" t="n"/>
    </row>
    <row r="126">
      <c r="A126" s="10" t="n">
        <v>125</v>
      </c>
      <c r="B126" s="10" t="inlineStr">
        <is>
          <t>User</t>
        </is>
      </c>
      <c r="C126" s="8" t="inlineStr">
        <is>
          <t>Company, Brand &amp; Commercial Packaging</t>
        </is>
      </c>
      <c r="D126" s="8" t="inlineStr">
        <is>
          <t>Trademark and domain search/registration (domestic and international)</t>
        </is>
      </c>
      <c r="E126" s="10" t="inlineStr">
        <is>
          <t>Legal/Business</t>
        </is>
      </c>
      <c r="F126" s="10" t="inlineStr">
        <is>
          <t>Not Started</t>
        </is>
      </c>
      <c r="G126" s="10" t="inlineStr">
        <is>
          <t>P0</t>
        </is>
      </c>
      <c r="H126" s="8" t="inlineStr">
        <is>
          <t>Risk of trademark infringement before investing in the brand.</t>
        </is>
      </c>
      <c r="I126" s="8" t="inlineStr">
        <is>
          <t>Check and register the PEMS name and domains (.ir/.com) with an IP lawyer, including the main domain and the demo subdomain delegation; if a conflict is found, reopen the naming decision.</t>
        </is>
      </c>
      <c r="J126" s="8" t="inlineStr">
        <is>
          <t>A trademark application receipt and domain ownership.</t>
        </is>
      </c>
      <c r="K126" s="8" t="n"/>
      <c r="L126" s="10" t="inlineStr">
        <is>
          <t>M0</t>
        </is>
      </c>
      <c r="M126" s="10" t="inlineStr">
        <is>
          <t>M</t>
        </is>
      </c>
      <c r="N126" s="10" t="inlineStr">
        <is>
          <t>High</t>
        </is>
      </c>
      <c r="O126" s="10" t="inlineStr">
        <is>
          <t>#124</t>
        </is>
      </c>
      <c r="P126" s="10" t="inlineStr"/>
      <c r="Q126" s="10" t="inlineStr"/>
      <c r="R126" s="8" t="inlineStr">
        <is>
          <t>Company, brand &amp; legal</t>
        </is>
      </c>
      <c r="S126" s="10" t="inlineStr">
        <is>
          <t>No</t>
        </is>
      </c>
      <c r="T126" s="10" t="n"/>
      <c r="U126" s="10" t="n"/>
    </row>
    <row r="127">
      <c r="A127" s="10" t="n">
        <v>126</v>
      </c>
      <c r="B127" s="10" t="inlineStr">
        <is>
          <t>User</t>
        </is>
      </c>
      <c r="C127" s="8" t="inlineStr">
        <is>
          <t>Company, Brand &amp; Commercial Packaging</t>
        </is>
      </c>
      <c r="D127" s="8" t="inlineStr">
        <is>
          <t>Legal entity structure, code ownership, developer agreements and IP assignment</t>
        </is>
      </c>
      <c r="E127" s="10" t="inlineStr">
        <is>
          <t>Legal/Business</t>
        </is>
      </c>
      <c r="F127" s="10" t="inlineStr">
        <is>
          <t>Not Started</t>
        </is>
      </c>
      <c r="G127" s="10" t="inlineStr">
        <is>
          <t>P0</t>
        </is>
      </c>
      <c r="H127" s="8" t="inlineStr">
        <is>
          <t>Enterprise customers contract with a legal entity. The PEMS repository is public on GitHub under a personal account; ownership and its licence must be clarified.</t>
        </is>
      </c>
      <c r="I127" s="8" t="inlineStr">
        <is>
          <t>Legal review of IP ownership, repository licence and transfer to the organization.</t>
        </is>
      </c>
      <c r="J127" s="8" t="inlineStr">
        <is>
          <t>Code ownership documents and agreements with every contributor.</t>
        </is>
      </c>
      <c r="K127" s="8" t="n"/>
      <c r="L127" s="10" t="inlineStr">
        <is>
          <t>M0</t>
        </is>
      </c>
      <c r="M127" s="10" t="inlineStr">
        <is>
          <t>M</t>
        </is>
      </c>
      <c r="N127" s="10" t="inlineStr">
        <is>
          <t>Sales blocker</t>
        </is>
      </c>
      <c r="O127" s="10" t="inlineStr"/>
      <c r="P127" s="10" t="inlineStr"/>
      <c r="Q127" s="10" t="inlineStr"/>
      <c r="R127" s="8" t="inlineStr">
        <is>
          <t>Company, brand &amp; legal</t>
        </is>
      </c>
      <c r="S127" s="10" t="inlineStr">
        <is>
          <t>No</t>
        </is>
      </c>
      <c r="T127" s="10" t="n"/>
      <c r="U127" s="10" t="n"/>
    </row>
    <row r="128">
      <c r="A128" s="10" t="n">
        <v>127</v>
      </c>
      <c r="B128" s="10" t="inlineStr">
        <is>
          <t>User</t>
        </is>
      </c>
      <c r="C128" s="8" t="inlineStr">
        <is>
          <t>Company, Brand &amp; Commercial Packaging</t>
        </is>
      </c>
      <c r="D128" s="8" t="inlineStr">
        <is>
          <t>Software copyright registration under Iranian rules and review of status such as knowledge-based company</t>
        </is>
      </c>
      <c r="E128" s="10" t="inlineStr">
        <is>
          <t>Legal/Business</t>
        </is>
      </c>
      <c r="F128" s="10" t="inlineStr">
        <is>
          <t>Not Started</t>
        </is>
      </c>
      <c r="G128" s="10" t="inlineStr">
        <is>
          <t>P1</t>
        </is>
      </c>
      <c r="H128" s="8" t="inlineStr">
        <is>
          <t>Legal backing in disputes and for tenders.</t>
        </is>
      </c>
      <c r="I128" s="8" t="inlineStr">
        <is>
          <t>Consult and register.</t>
        </is>
      </c>
      <c r="J128" s="8" t="inlineStr">
        <is>
          <t>A software registration certificate.</t>
        </is>
      </c>
      <c r="K128" s="8" t="n"/>
      <c r="L128" s="10" t="inlineStr">
        <is>
          <t>M3</t>
        </is>
      </c>
      <c r="M128" s="10" t="inlineStr">
        <is>
          <t>S</t>
        </is>
      </c>
      <c r="N128" s="10" t="inlineStr">
        <is>
          <t>Medium</t>
        </is>
      </c>
      <c r="O128" s="10" t="inlineStr">
        <is>
          <t>#126</t>
        </is>
      </c>
      <c r="P128" s="10" t="inlineStr"/>
      <c r="Q128" s="10" t="inlineStr"/>
      <c r="R128" s="8" t="inlineStr">
        <is>
          <t>Company, brand &amp; legal</t>
        </is>
      </c>
      <c r="S128" s="10" t="inlineStr">
        <is>
          <t>No</t>
        </is>
      </c>
      <c r="T128" s="10" t="n"/>
      <c r="U128" s="10" t="n"/>
    </row>
    <row r="129">
      <c r="A129" s="10" t="n">
        <v>128</v>
      </c>
      <c r="B129" s="10" t="inlineStr">
        <is>
          <t>User</t>
        </is>
      </c>
      <c r="C129" s="8" t="inlineStr">
        <is>
          <t>Company, Brand &amp; Commercial Packaging</t>
        </is>
      </c>
      <c r="D129" s="8" t="inlineStr">
        <is>
          <t>Visual identity: logo, palette, Persian typography, tone-of-voice and usage guide</t>
        </is>
      </c>
      <c r="E129" s="10" t="inlineStr">
        <is>
          <t>Feature</t>
        </is>
      </c>
      <c r="F129" s="10" t="inlineStr">
        <is>
          <t>Not Started</t>
        </is>
      </c>
      <c r="G129" s="10" t="inlineStr">
        <is>
          <t>P0</t>
        </is>
      </c>
      <c r="H129" s="8" t="inlineStr">
        <is>
          <t>Input to design tokens, website and reports.</t>
        </is>
      </c>
      <c r="I129" s="8" t="inlineStr">
        <is>
          <t>Design with a designer; deliver SVG and guidelines.</t>
        </is>
      </c>
      <c r="J129" s="8" t="inlineStr">
        <is>
          <t>A brand kit is delivered and applied to the tokens.</t>
        </is>
      </c>
      <c r="K129" s="8" t="n"/>
      <c r="L129" s="10" t="inlineStr">
        <is>
          <t>M2</t>
        </is>
      </c>
      <c r="M129" s="10" t="inlineStr">
        <is>
          <t>M</t>
        </is>
      </c>
      <c r="N129" s="10" t="inlineStr">
        <is>
          <t>High</t>
        </is>
      </c>
      <c r="O129" s="10" t="inlineStr">
        <is>
          <t>#124</t>
        </is>
      </c>
      <c r="P129" s="10" t="inlineStr"/>
      <c r="Q129" s="10" t="inlineStr">
        <is>
          <t>OLD-41</t>
        </is>
      </c>
      <c r="R129" s="8" t="inlineStr">
        <is>
          <t>Company, brand &amp; legal</t>
        </is>
      </c>
      <c r="S129" s="10" t="inlineStr">
        <is>
          <t>No</t>
        </is>
      </c>
      <c r="T129" s="10" t="n"/>
      <c r="U129" s="10" t="n"/>
    </row>
    <row r="130">
      <c r="A130" s="10" t="n">
        <v>129</v>
      </c>
      <c r="B130" s="10" t="inlineStr">
        <is>
          <t>Claude</t>
        </is>
      </c>
      <c r="C130" s="8" t="inlineStr">
        <is>
          <t>Company, Brand &amp; Commercial Packaging</t>
        </is>
      </c>
      <c r="D130" s="8" t="inlineStr">
        <is>
          <t>Customer white-label profile: logo, product alias, colors, report letterhead, email templates, help links</t>
        </is>
      </c>
      <c r="E130" s="10" t="inlineStr">
        <is>
          <t>Feature</t>
        </is>
      </c>
      <c r="F130" s="10" t="inlineStr">
        <is>
          <t>Not Started</t>
        </is>
      </c>
      <c r="G130" s="10" t="inlineStr">
        <is>
          <t>P1</t>
        </is>
      </c>
      <c r="H130" s="8" t="inlineStr">
        <is>
          <t>A database-driven brand profile with public read of approved values is proven; login, logo and favicon must read live from it.</t>
        </is>
      </c>
      <c r="I130" s="8" t="inlineStr">
        <is>
          <t>Profile in metadata plus theme; enabled only for the OEM/Enterprise edition.</t>
        </is>
      </c>
      <c r="J130" s="8" t="inlineStr">
        <is>
          <t>Changing the profile changes the login page and PDFs with no build.</t>
        </is>
      </c>
      <c r="K130" s="8" t="n"/>
      <c r="L130" s="10" t="inlineStr">
        <is>
          <t>M3</t>
        </is>
      </c>
      <c r="M130" s="10" t="inlineStr">
        <is>
          <t>L</t>
        </is>
      </c>
      <c r="N130" s="10" t="inlineStr">
        <is>
          <t>High</t>
        </is>
      </c>
      <c r="O130" s="10" t="inlineStr">
        <is>
          <t>#30 #113</t>
        </is>
      </c>
      <c r="P130" s="10" t="inlineStr">
        <is>
          <t>Titan #98 #241 #236</t>
        </is>
      </c>
      <c r="Q130" s="10" t="inlineStr">
        <is>
          <t>OLD-42 OLD-41</t>
        </is>
      </c>
      <c r="R130" s="8" t="inlineStr">
        <is>
          <t>Company, brand &amp; legal</t>
        </is>
      </c>
      <c r="S130" s="10" t="inlineStr">
        <is>
          <t>No</t>
        </is>
      </c>
      <c r="T130" s="10" t="n"/>
      <c r="U130" s="10" t="n"/>
    </row>
    <row r="131">
      <c r="A131" s="10" t="n">
        <v>130</v>
      </c>
      <c r="B131" s="10" t="inlineStr">
        <is>
          <t>User</t>
        </is>
      </c>
      <c r="C131" s="8" t="inlineStr">
        <is>
          <t>Company, Brand &amp; Commercial Packaging</t>
        </is>
      </c>
      <c r="D131" s="8" t="inlineStr">
        <is>
          <t>Set price list v1 and proposal template (model decided: perpetual licence + annual maintenance)</t>
        </is>
      </c>
      <c r="E131" s="10" t="inlineStr">
        <is>
          <t>Legal/Business</t>
        </is>
      </c>
      <c r="F131" s="10" t="inlineStr">
        <is>
          <t>Partial</t>
        </is>
      </c>
      <c r="G131" s="10" t="inlineStr">
        <is>
          <t>P0</t>
        </is>
      </c>
      <c r="H131" s="8" t="inlineStr">
        <is>
          <t>Owner decision 2026-10-18: pricing is a perpetual licence plus annual maintenance, with no user limit. Maintenance controls which updates a customer may install (CV_UPDENT). Price numbers are not set.</t>
        </is>
      </c>
      <c r="I131" s="8" t="inlineStr">
        <is>
          <t>1) Using the decided model (perpetual licence plus annual maintenance) list the editions and modules from row #112. 2) Propose list prices (domestic and international), the annual maintenance percentage and discount rules; write down the assumptions. 3) Write the one-page proposal template (scope, price, support terms, validity) in Persian and English. Output: docs/commercial/PRICE_LIST_V1.md and docs/commercial/PROPOSAL_TEMPLATE.md (no customer data).</t>
        </is>
      </c>
      <c r="J131" s="8" t="inlineStr">
        <is>
          <t>Done when: Member A approved the price list and the template; the module names in the price list match the module catalogue of #112.</t>
        </is>
      </c>
      <c r="K131" s="8" t="inlineStr">
        <is>
          <t>2026-10-18: model decided (perpetual licence + annual maintenance, no user limit). Price numbers still to be set.</t>
        </is>
      </c>
      <c r="L131" s="10" t="inlineStr">
        <is>
          <t>M0</t>
        </is>
      </c>
      <c r="M131" s="10" t="inlineStr">
        <is>
          <t>M</t>
        </is>
      </c>
      <c r="N131" s="10" t="inlineStr">
        <is>
          <t>Sales blocker</t>
        </is>
      </c>
      <c r="O131" s="10" t="inlineStr">
        <is>
          <t>#112</t>
        </is>
      </c>
      <c r="P131" s="10" t="inlineStr">
        <is>
          <t>Titan #129</t>
        </is>
      </c>
      <c r="Q131" s="10" t="inlineStr"/>
      <c r="R131" s="8" t="inlineStr">
        <is>
          <t>Company, brand &amp; legal</t>
        </is>
      </c>
      <c r="S131" s="10" t="inlineStr">
        <is>
          <t>Yes</t>
        </is>
      </c>
      <c r="T131" s="10" t="inlineStr">
        <is>
          <t>Sprint 1 stretch</t>
        </is>
      </c>
      <c r="U131" s="10" t="inlineStr">
        <is>
          <t>Member A</t>
        </is>
      </c>
    </row>
    <row r="132">
      <c r="A132" s="10" t="n">
        <v>131</v>
      </c>
      <c r="B132" s="10" t="inlineStr">
        <is>
          <t>User</t>
        </is>
      </c>
      <c r="C132" s="8" t="inlineStr">
        <is>
          <t>Company, Brand &amp; Commercial Packaging</t>
        </is>
      </c>
      <c r="D132" s="8" t="inlineStr">
        <is>
          <t>Market positioning, competitor analysis (EAM/CMMS/EDMS/BPMS, domestic and foreign) and value statement</t>
        </is>
      </c>
      <c r="E132" s="10" t="inlineStr">
        <is>
          <t>Research</t>
        </is>
      </c>
      <c r="F132" s="10" t="inlineStr">
        <is>
          <t>Not Started</t>
        </is>
      </c>
      <c r="G132" s="10" t="inlineStr">
        <is>
          <t>P1</t>
        </is>
      </c>
      <c r="H132" s="8" t="inlineStr">
        <is>
          <t>The previous audit has a benchmark (Maximo, SAP EAM, ProjectWise, ServiceNow...). Selling to Iranian customers needs a local angle (sanctions, support, Persian, offline).</t>
        </is>
      </c>
      <c r="I132" s="8" t="inlineStr">
        <is>
          <t>A comparison table and three key messages.</t>
        </is>
      </c>
      <c r="J132" s="8" t="inlineStr">
        <is>
          <t>A positioning document for the website and presentations.</t>
        </is>
      </c>
      <c r="K132" s="8" t="n"/>
      <c r="L132" s="10" t="inlineStr">
        <is>
          <t>M3</t>
        </is>
      </c>
      <c r="M132" s="10" t="inlineStr">
        <is>
          <t>M</t>
        </is>
      </c>
      <c r="N132" s="10" t="inlineStr">
        <is>
          <t>High</t>
        </is>
      </c>
      <c r="O132" s="10" t="inlineStr"/>
      <c r="P132" s="10" t="inlineStr"/>
      <c r="Q132" s="10" t="inlineStr"/>
      <c r="R132" s="8" t="inlineStr">
        <is>
          <t>Company, brand &amp; legal</t>
        </is>
      </c>
      <c r="S132" s="10" t="inlineStr">
        <is>
          <t>No</t>
        </is>
      </c>
      <c r="T132" s="10" t="n"/>
      <c r="U132" s="10" t="n"/>
    </row>
    <row r="133">
      <c r="A133" s="10" t="n">
        <v>132</v>
      </c>
      <c r="B133" s="10" t="inlineStr">
        <is>
          <t>User</t>
        </is>
      </c>
      <c r="C133" s="8" t="inlineStr">
        <is>
          <t>Company, Brand &amp; Commercial Packaging</t>
        </is>
      </c>
      <c r="D133" s="8" t="inlineStr">
        <is>
          <t>Support and SLA policy (tiers, hours, response times), warranty and maintenance contract</t>
        </is>
      </c>
      <c r="E133" s="10" t="inlineStr">
        <is>
          <t>Legal/Business</t>
        </is>
      </c>
      <c r="F133" s="10" t="inlineStr">
        <is>
          <t>Not Started</t>
        </is>
      </c>
      <c r="G133" s="10" t="inlineStr">
        <is>
          <t>P1</t>
        </is>
      </c>
      <c r="H133" s="8" t="inlineStr">
        <is>
          <t>Audit E23: a support/SLA module. There is currently no written policy.</t>
        </is>
      </c>
      <c r="I133" s="8" t="inlineStr">
        <is>
          <t>Three support tiers and a contract template.</t>
        </is>
      </c>
      <c r="J133" s="8" t="inlineStr">
        <is>
          <t>A sample support contract approved legally.</t>
        </is>
      </c>
      <c r="K133" s="8" t="n"/>
      <c r="L133" s="10" t="inlineStr">
        <is>
          <t>M3</t>
        </is>
      </c>
      <c r="M133" s="10" t="inlineStr">
        <is>
          <t>M</t>
        </is>
      </c>
      <c r="N133" s="10" t="inlineStr">
        <is>
          <t>High</t>
        </is>
      </c>
      <c r="O133" s="10" t="inlineStr"/>
      <c r="P133" s="10" t="inlineStr"/>
      <c r="Q133" s="10" t="inlineStr">
        <is>
          <t>OLD-107</t>
        </is>
      </c>
      <c r="R133" s="8" t="inlineStr">
        <is>
          <t>Company, brand &amp; legal</t>
        </is>
      </c>
      <c r="S133" s="10" t="inlineStr">
        <is>
          <t>No</t>
        </is>
      </c>
      <c r="T133" s="10" t="n"/>
      <c r="U133" s="10" t="n"/>
    </row>
    <row r="134">
      <c r="A134" s="10" t="n">
        <v>133</v>
      </c>
      <c r="B134" s="10" t="inlineStr">
        <is>
          <t>User</t>
        </is>
      </c>
      <c r="C134" s="8" t="inlineStr">
        <is>
          <t>Company, Brand &amp; Commercial Packaging</t>
        </is>
      </c>
      <c r="D134" s="8" t="inlineStr">
        <is>
          <t>Sales collateral: brochure, 10-slide deck, one-pager per module, sample proposal</t>
        </is>
      </c>
      <c r="E134" s="10" t="inlineStr">
        <is>
          <t>Docs</t>
        </is>
      </c>
      <c r="F134" s="10" t="inlineStr">
        <is>
          <t>Not Started</t>
        </is>
      </c>
      <c r="G134" s="10" t="inlineStr">
        <is>
          <t>P1</t>
        </is>
      </c>
      <c r="H134" s="8" t="inlineStr">
        <is>
          <t>Enterprise sales needs materials before a demo.</t>
        </is>
      </c>
      <c r="I134" s="8" t="inlineStr">
        <is>
          <t>Produce from website content (one source).</t>
        </is>
      </c>
      <c r="J134" s="8" t="inlineStr">
        <is>
          <t>Sales pack v1 available.</t>
        </is>
      </c>
      <c r="K134" s="8" t="n"/>
      <c r="L134" s="10" t="inlineStr">
        <is>
          <t>M3</t>
        </is>
      </c>
      <c r="M134" s="10" t="inlineStr">
        <is>
          <t>M</t>
        </is>
      </c>
      <c r="N134" s="10" t="inlineStr">
        <is>
          <t>High</t>
        </is>
      </c>
      <c r="O134" s="10" t="inlineStr">
        <is>
          <t>#128 #131</t>
        </is>
      </c>
      <c r="P134" s="10" t="inlineStr"/>
      <c r="Q134" s="10" t="inlineStr"/>
      <c r="R134" s="8" t="inlineStr">
        <is>
          <t>Company, brand &amp; legal</t>
        </is>
      </c>
      <c r="S134" s="10" t="inlineStr">
        <is>
          <t>No</t>
        </is>
      </c>
      <c r="T134" s="10" t="n"/>
      <c r="U134" s="10" t="n"/>
    </row>
    <row r="135">
      <c r="A135" s="10" t="n">
        <v>134</v>
      </c>
      <c r="B135" s="10" t="inlineStr">
        <is>
          <t>User</t>
        </is>
      </c>
      <c r="C135" s="8" t="inlineStr">
        <is>
          <t>Company, Brand &amp; Commercial Packaging</t>
        </is>
      </c>
      <c r="D135" s="8" t="inlineStr">
        <is>
          <t>Pilot customer programme and two case studies with consent</t>
        </is>
      </c>
      <c r="E135" s="10" t="inlineStr">
        <is>
          <t>Ops Process</t>
        </is>
      </c>
      <c r="F135" s="10" t="inlineStr">
        <is>
          <t>Not Started</t>
        </is>
      </c>
      <c r="G135" s="10" t="inlineStr">
        <is>
          <t>P1</t>
        </is>
      </c>
      <c r="H135" s="8" t="inlineStr">
        <is>
          <t>Credibility needs references; the pilot needs clear terms (discount in exchange for feedback and permission to use the name).</t>
        </is>
      </c>
      <c r="I135" s="8" t="inlineStr">
        <is>
          <t>Choose two pilot customers and sign a pilot contract.</t>
        </is>
      </c>
      <c r="J135" s="8" t="inlineStr">
        <is>
          <t>One quote and one published case study.</t>
        </is>
      </c>
      <c r="K135" s="8" t="n"/>
      <c r="L135" s="10" t="inlineStr">
        <is>
          <t>M3</t>
        </is>
      </c>
      <c r="M135" s="10" t="inlineStr">
        <is>
          <t>M</t>
        </is>
      </c>
      <c r="N135" s="10" t="inlineStr">
        <is>
          <t>High</t>
        </is>
      </c>
      <c r="O135" s="10" t="inlineStr">
        <is>
          <t>#120 #130</t>
        </is>
      </c>
      <c r="P135" s="10" t="inlineStr"/>
      <c r="Q135" s="10" t="inlineStr"/>
      <c r="R135" s="8" t="inlineStr">
        <is>
          <t>Company, brand &amp; legal</t>
        </is>
      </c>
      <c r="S135" s="10" t="inlineStr">
        <is>
          <t>No</t>
        </is>
      </c>
      <c r="T135" s="10" t="n"/>
      <c r="U135" s="10" t="n"/>
    </row>
    <row r="136">
      <c r="A136" s="10" t="n">
        <v>135</v>
      </c>
      <c r="B136" s="10" t="inlineStr">
        <is>
          <t>User</t>
        </is>
      </c>
      <c r="C136" s="8" t="inlineStr">
        <is>
          <t>Company, Brand &amp; Commercial Packaging</t>
        </is>
      </c>
      <c r="D136" s="8" t="inlineStr">
        <is>
          <t>Partner/reseller and implementation programme (terms, training, demo licence)</t>
        </is>
      </c>
      <c r="E136" s="10" t="inlineStr">
        <is>
          <t>Legal/Business</t>
        </is>
      </c>
      <c r="F136" s="10" t="inlineStr">
        <is>
          <t>Not Started</t>
        </is>
      </c>
      <c r="G136" s="10" t="inlineStr">
        <is>
          <t>P3</t>
        </is>
      </c>
      <c r="H136" s="8" t="inlineStr">
        <is>
          <t>Expand sales without a large team.</t>
        </is>
      </c>
      <c r="I136" s="8" t="inlineStr">
        <is>
          <t>A partner contract and training programme.</t>
        </is>
      </c>
      <c r="J136" s="8" t="inlineStr">
        <is>
          <t>Partner contract, training plan and demo licence approved.</t>
        </is>
      </c>
      <c r="K136" s="8" t="n"/>
      <c r="L136" s="10" t="inlineStr">
        <is>
          <t>M6</t>
        </is>
      </c>
      <c r="M136" s="10" t="inlineStr">
        <is>
          <t>M</t>
        </is>
      </c>
      <c r="N136" s="10" t="inlineStr">
        <is>
          <t>Medium</t>
        </is>
      </c>
      <c r="O136" s="10" t="inlineStr"/>
      <c r="P136" s="10" t="inlineStr"/>
      <c r="Q136" s="10" t="inlineStr"/>
      <c r="R136" s="8" t="inlineStr">
        <is>
          <t>Company, brand &amp; legal</t>
        </is>
      </c>
      <c r="S136" s="10" t="inlineStr">
        <is>
          <t>No</t>
        </is>
      </c>
      <c r="T136" s="10" t="n"/>
      <c r="U136" s="10" t="n"/>
    </row>
    <row r="137">
      <c r="A137" s="10" t="n">
        <v>136</v>
      </c>
      <c r="B137" s="10" t="inlineStr">
        <is>
          <t>Claude</t>
        </is>
      </c>
      <c r="C137" s="8" t="inlineStr">
        <is>
          <t>Company, Brand &amp; Commercial Packaging</t>
        </is>
      </c>
      <c r="D137" s="8" t="inlineStr">
        <is>
          <t>Customer documentation: deployment, admin, user guide, security, API/import and release notes</t>
        </is>
      </c>
      <c r="E137" s="10" t="inlineStr">
        <is>
          <t>Docs</t>
        </is>
      </c>
      <c r="F137" s="10" t="inlineStr">
        <is>
          <t>Not Started</t>
        </is>
      </c>
      <c r="G137" s="10" t="inlineStr">
        <is>
          <t>P0</t>
        </is>
      </c>
      <c r="H137" s="8" t="inlineStr">
        <is>
          <t>Internal docs in docs/help and docs/deployment are scattered (Phase 4 matrices). They must become a customer-ready product.</t>
        </is>
      </c>
      <c r="I137" s="8" t="inlineStr">
        <is>
          <t>A unified structure with automatic generation from metadata (help for dynamic forms/modules).</t>
        </is>
      </c>
      <c r="J137" s="8" t="inlineStr">
        <is>
          <t>A Persian docs site with no references to internal paths.</t>
        </is>
      </c>
      <c r="K137" s="8" t="n"/>
      <c r="L137" s="10" t="inlineStr">
        <is>
          <t>M2</t>
        </is>
      </c>
      <c r="M137" s="10" t="inlineStr">
        <is>
          <t>L</t>
        </is>
      </c>
      <c r="N137" s="10" t="inlineStr">
        <is>
          <t>High</t>
        </is>
      </c>
      <c r="O137" s="10" t="inlineStr">
        <is>
          <t>#128</t>
        </is>
      </c>
      <c r="P137" s="10" t="inlineStr"/>
      <c r="Q137" s="10" t="inlineStr">
        <is>
          <t>OLD-43</t>
        </is>
      </c>
      <c r="R137" s="8" t="inlineStr">
        <is>
          <t>Company, brand &amp; legal</t>
        </is>
      </c>
      <c r="S137" s="10" t="inlineStr">
        <is>
          <t>No</t>
        </is>
      </c>
      <c r="T137" s="10" t="n"/>
      <c r="U137" s="10" t="n"/>
    </row>
    <row r="138">
      <c r="A138" s="10" t="n">
        <v>137</v>
      </c>
      <c r="B138" s="10" t="inlineStr">
        <is>
          <t>User</t>
        </is>
      </c>
      <c r="C138" s="8" t="inlineStr">
        <is>
          <t>Company, Brand &amp; Commercial Packaging</t>
        </is>
      </c>
      <c r="D138" s="8" t="inlineStr">
        <is>
          <t>Public legal documents: privacy policy, website terms, security and disclosure policy</t>
        </is>
      </c>
      <c r="E138" s="10" t="inlineStr">
        <is>
          <t>Legal/Business</t>
        </is>
      </c>
      <c r="F138" s="10" t="inlineStr">
        <is>
          <t>Not Started</t>
        </is>
      </c>
      <c r="G138" s="10" t="inlineStr">
        <is>
          <t>P1</t>
        </is>
      </c>
      <c r="H138" s="8" t="inlineStr">
        <is>
          <t>Needed for the website and the demo (lead capture).</t>
        </is>
      </c>
      <c r="I138" s="8" t="inlineStr">
        <is>
          <t>Persian text with legal review.</t>
        </is>
      </c>
      <c r="J138" s="8" t="inlineStr">
        <is>
          <t>Legal pages published.</t>
        </is>
      </c>
      <c r="K138" s="8" t="n"/>
      <c r="L138" s="10" t="inlineStr">
        <is>
          <t>M3</t>
        </is>
      </c>
      <c r="M138" s="10" t="inlineStr">
        <is>
          <t>S</t>
        </is>
      </c>
      <c r="N138" s="10" t="inlineStr">
        <is>
          <t>Medium</t>
        </is>
      </c>
      <c r="O138" s="10" t="inlineStr">
        <is>
          <t>#126</t>
        </is>
      </c>
      <c r="P138" s="10" t="inlineStr"/>
      <c r="Q138" s="10" t="inlineStr"/>
      <c r="R138" s="8" t="inlineStr">
        <is>
          <t>Company, brand &amp; legal</t>
        </is>
      </c>
      <c r="S138" s="10" t="inlineStr">
        <is>
          <t>No</t>
        </is>
      </c>
      <c r="T138" s="10" t="n"/>
      <c r="U138" s="10" t="n"/>
    </row>
    <row r="139">
      <c r="A139" s="10" t="n">
        <v>138</v>
      </c>
      <c r="B139" s="10" t="inlineStr">
        <is>
          <t>User</t>
        </is>
      </c>
      <c r="C139" s="8" t="inlineStr">
        <is>
          <t>Online Demo</t>
        </is>
      </c>
      <c r="D139" s="8" t="inlineStr">
        <is>
          <t>Demo architecture (decided: one shared resettable instance for now; per-visitor instances later)</t>
        </is>
      </c>
      <c r="E139" s="10" t="inlineStr">
        <is>
          <t>Decision Needed</t>
        </is>
      </c>
      <c r="F139" s="10" t="inlineStr">
        <is>
          <t>Done</t>
        </is>
      </c>
      <c r="G139" s="10" t="inlineStr">
        <is>
          <t>P0</t>
        </is>
      </c>
      <c r="H139" s="8" t="inlineStr">
        <is>
          <t>PEMS is not multi-tenant; each install has its own DB, and a SaaS pivot was already rejected on a comparable platform. Proposal: phase 1 one shared instance with a nightly reset; phase 2 a temporary container per request.</t>
        </is>
      </c>
      <c r="I139" s="8" t="inlineStr">
        <is>
          <t>Compare cost/risk/time against the existing docker-compose.</t>
        </is>
      </c>
      <c r="J139" s="8" t="inlineStr">
        <is>
          <t>An approved ADR.</t>
        </is>
      </c>
      <c r="K139" s="8" t="inlineStr">
        <is>
          <t>Decided 2026-10-18: shared demo instance only for now, hosted on the demo subdomain of the main host and deployed by its own pipeline (DEM_PIPE); per-visitor instances moved to Later (DM_EPHEMERAL).</t>
        </is>
      </c>
      <c r="L139" s="10" t="inlineStr">
        <is>
          <t>M0</t>
        </is>
      </c>
      <c r="M139" s="10" t="inlineStr">
        <is>
          <t>S</t>
        </is>
      </c>
      <c r="N139" s="10" t="inlineStr">
        <is>
          <t>Sales blocker</t>
        </is>
      </c>
      <c r="O139" s="10" t="inlineStr"/>
      <c r="P139" s="10" t="inlineStr">
        <is>
          <t>Titan #78</t>
        </is>
      </c>
      <c r="Q139" s="10" t="inlineStr"/>
      <c r="R139" s="8" t="inlineStr">
        <is>
          <t>Online demo</t>
        </is>
      </c>
      <c r="S139" s="10" t="inlineStr">
        <is>
          <t>Yes</t>
        </is>
      </c>
      <c r="T139" s="10" t="n"/>
      <c r="U139" s="10" t="n"/>
    </row>
    <row r="140">
      <c r="A140" s="10" t="n">
        <v>139</v>
      </c>
      <c r="B140" s="10" t="inlineStr">
        <is>
          <t>User</t>
        </is>
      </c>
      <c r="C140" s="8" t="inlineStr">
        <is>
          <t>Online Demo</t>
        </is>
      </c>
      <c r="D140" s="8" t="inlineStr">
        <is>
          <t>Provision the main host shared by the landing website (main domain) and the demo (subdomain): provider, OS hardening, firewall, base monitoring</t>
        </is>
      </c>
      <c r="E140" s="10" t="inlineStr">
        <is>
          <t>Ops Process</t>
        </is>
      </c>
      <c r="F140" s="10" t="inlineStr">
        <is>
          <t>Hold</t>
        </is>
      </c>
      <c r="G140" s="10" t="inlineStr">
        <is>
          <t>P0</t>
        </is>
      </c>
      <c r="H140" s="8" t="inlineStr">
        <is>
          <t>Owner requirement 2026-10-18: one main host serves the landing website and the demo; the two must be completely separate in tasks, deployment and failure. The demo is the only part with internet exposure of a full PEMS instance and holds no real customer data.</t>
        </is>
      </c>
      <c r="I140" s="8" t="inlineStr">
        <is>
          <t>Rent or prepare the host per the HST_PLATFORM decision: operating system, updates, firewall (only 80/443 and the deploy channel), SQL Server for the demo, off-site backup target, and a way for GitHub Actions to deploy.</t>
        </is>
      </c>
      <c r="J140" s="8" t="inlineStr">
        <is>
          <t>A hardened host is reachable from Iran and from GitHub as decided; the proxy and the isolated sites (HST_PROXY) can be installed on it.</t>
        </is>
      </c>
      <c r="K140" s="8" t="inlineStr">
        <is>
          <t>ON HOLD per PM 2026-10-18 (option chosen: move to M1 before the proxy; hold for now).</t>
        </is>
      </c>
      <c r="L140" s="10" t="inlineStr">
        <is>
          <t>M1</t>
        </is>
      </c>
      <c r="M140" s="10" t="inlineStr">
        <is>
          <t>M</t>
        </is>
      </c>
      <c r="N140" s="10" t="inlineStr">
        <is>
          <t>Sales blocker</t>
        </is>
      </c>
      <c r="O140" s="10" t="inlineStr">
        <is>
          <t>#138 #287</t>
        </is>
      </c>
      <c r="P140" s="10" t="inlineStr"/>
      <c r="Q140" s="10" t="inlineStr"/>
      <c r="R140" s="8" t="inlineStr">
        <is>
          <t>Online demo</t>
        </is>
      </c>
      <c r="S140" s="10" t="inlineStr">
        <is>
          <t>Yes</t>
        </is>
      </c>
      <c r="T140" s="10" t="n"/>
      <c r="U140" s="10" t="n"/>
    </row>
    <row r="141">
      <c r="A141" s="10" t="n">
        <v>140</v>
      </c>
      <c r="B141" s="10" t="inlineStr">
        <is>
          <t>Claude</t>
        </is>
      </c>
      <c r="C141" s="8" t="inlineStr">
        <is>
          <t>Online Demo</t>
        </is>
      </c>
      <c r="D141" s="8" t="inlineStr">
        <is>
          <t>Demo data: the team builds the demo content in a demo instance; its database snapshot and files live in the demo overlay and are restored by the reset (no generator)</t>
        </is>
      </c>
      <c r="E141" s="10" t="inlineStr">
        <is>
          <t>Feature</t>
        </is>
      </c>
      <c r="F141" s="10" t="inlineStr">
        <is>
          <t>Not Started</t>
        </is>
      </c>
      <c r="G141" s="10" t="inlineStr">
        <is>
          <t>P0</t>
        </is>
      </c>
      <c r="H141" s="8" t="inlineStr">
        <is>
          <t>PM review 2026-10-18: the team will create the demo data. The data pack is therefore a snapshot of a demo instance stored in the demo overlay of the demo branch, not generated code; it must contain no real customer data.</t>
        </is>
      </c>
      <c r="I141" s="8" t="inlineStr">
        <is>
          <t>Define the snapshot format and the restore step used by the demo reset and the demo pipeline: database backup plus files stored in the demo overlay, versioned against the PEMS version it supports.</t>
        </is>
      </c>
      <c r="J141" s="8" t="inlineStr">
        <is>
          <t>A restore of the stored snapshot on a clean demo instance reproduces the demo exactly in 5 minutes or less.</t>
        </is>
      </c>
      <c r="K141" s="8" t="inlineStr">
        <is>
          <t>PM 2026-10-18: the team builds the demo content; the pack is a snapshot in the demo overlay (see DM_CONTENT).</t>
        </is>
      </c>
      <c r="L141" s="10" t="inlineStr">
        <is>
          <t>M2</t>
        </is>
      </c>
      <c r="M141" s="10" t="inlineStr">
        <is>
          <t>S</t>
        </is>
      </c>
      <c r="N141" s="10" t="inlineStr">
        <is>
          <t>Sales blocker</t>
        </is>
      </c>
      <c r="O141" s="10" t="inlineStr"/>
      <c r="P141" s="10" t="inlineStr"/>
      <c r="Q141" s="10" t="inlineStr"/>
      <c r="R141" s="8" t="inlineStr">
        <is>
          <t>Online demo</t>
        </is>
      </c>
      <c r="S141" s="10" t="inlineStr">
        <is>
          <t>Yes</t>
        </is>
      </c>
      <c r="T141" s="10" t="n"/>
      <c r="U141" s="10" t="n"/>
    </row>
    <row r="142">
      <c r="A142" s="10" t="n">
        <v>141</v>
      </c>
      <c r="B142" s="10" t="inlineStr">
        <is>
          <t>Claude</t>
        </is>
      </c>
      <c r="C142" s="8" t="inlineStr">
        <is>
          <t>Online Demo</t>
        </is>
      </c>
      <c r="D142" s="8" t="inlineStr">
        <is>
          <t>Automatic nightly reset and an admin reset for the demo, run from the demo branch overlay (scheduled workflow or host task)</t>
        </is>
      </c>
      <c r="E142" s="10" t="inlineStr">
        <is>
          <t>Feature</t>
        </is>
      </c>
      <c r="F142" s="10" t="inlineStr">
        <is>
          <t>Not Started</t>
        </is>
      </c>
      <c r="G142" s="10" t="inlineStr">
        <is>
          <t>P0</t>
        </is>
      </c>
      <c r="H142" s="8" t="inlineStr">
        <is>
          <t>A shared instance without reset degrades quickly.</t>
        </is>
      </c>
      <c r="I142" s="8" t="inlineStr">
        <is>
          <t>In the demo overlay build the reset: restore the demo database and files from the snapshot and reload the sample pack, triggered nightly and by a manual GitHub Actions workflow run. The reset touches only the demo.</t>
        </is>
      </c>
      <c r="J142" s="8" t="inlineStr">
        <is>
          <t>After reset the demo matches the sample pack exactly; a reset or a failed reset never affects the landing website.</t>
        </is>
      </c>
      <c r="K142" s="8" t="n"/>
      <c r="L142" s="10" t="inlineStr">
        <is>
          <t>M2</t>
        </is>
      </c>
      <c r="M142" s="10" t="inlineStr">
        <is>
          <t>S</t>
        </is>
      </c>
      <c r="N142" s="10" t="inlineStr">
        <is>
          <t>High</t>
        </is>
      </c>
      <c r="O142" s="10" t="inlineStr">
        <is>
          <t>#140 #139 #295</t>
        </is>
      </c>
      <c r="P142" s="10" t="inlineStr"/>
      <c r="Q142" s="10" t="inlineStr"/>
      <c r="R142" s="8" t="inlineStr">
        <is>
          <t>Online demo</t>
        </is>
      </c>
      <c r="S142" s="10" t="inlineStr">
        <is>
          <t>No</t>
        </is>
      </c>
      <c r="T142" s="10" t="n"/>
      <c r="U142" s="10" t="n"/>
    </row>
    <row r="143">
      <c r="A143" s="10" t="n">
        <v>142</v>
      </c>
      <c r="B143" s="10" t="inlineStr">
        <is>
          <t>Claude</t>
        </is>
      </c>
      <c r="C143" s="8" t="inlineStr">
        <is>
          <t>Online Demo</t>
        </is>
      </c>
      <c r="D143" s="8" t="inlineStr">
        <is>
          <t>Demo personas (manager, engineer, maintenance supervisor, storekeeper) with quick switching</t>
        </is>
      </c>
      <c r="E143" s="10" t="inlineStr">
        <is>
          <t>Feature</t>
        </is>
      </c>
      <c r="F143" s="10" t="inlineStr">
        <is>
          <t>Not Started</t>
        </is>
      </c>
      <c r="G143" s="10" t="inlineStr">
        <is>
          <t>P1</t>
        </is>
      </c>
      <c r="H143" s="8" t="inlineStr">
        <is>
          <t>Showing RLS and workflow with different roles is the strongest selling point.</t>
        </is>
      </c>
      <c r="I143" s="8" t="inlineStr">
        <is>
          <t>Personas in the demo seed; a 'sign in as ...' menu.</t>
        </is>
      </c>
      <c r="J143" s="8" t="inlineStr">
        <is>
          <t>A visitor enters as any role without a password.</t>
        </is>
      </c>
      <c r="K143" s="8" t="n"/>
      <c r="L143" s="10" t="inlineStr">
        <is>
          <t>M3</t>
        </is>
      </c>
      <c r="M143" s="10" t="inlineStr">
        <is>
          <t>M</t>
        </is>
      </c>
      <c r="N143" s="10" t="inlineStr">
        <is>
          <t>High</t>
        </is>
      </c>
      <c r="O143" s="10" t="inlineStr">
        <is>
          <t>#140</t>
        </is>
      </c>
      <c r="P143" s="10" t="inlineStr"/>
      <c r="Q143" s="10" t="inlineStr"/>
      <c r="R143" s="8" t="inlineStr">
        <is>
          <t>Online demo</t>
        </is>
      </c>
      <c r="S143" s="10" t="inlineStr">
        <is>
          <t>No</t>
        </is>
      </c>
      <c r="T143" s="10" t="n"/>
      <c r="U143" s="10" t="n"/>
    </row>
    <row r="144">
      <c r="A144" s="10" t="n">
        <v>143</v>
      </c>
      <c r="B144" s="10" t="inlineStr">
        <is>
          <t>Claude</t>
        </is>
      </c>
      <c r="C144" s="8" t="inlineStr">
        <is>
          <t>Online Demo</t>
        </is>
      </c>
      <c r="D144" s="8" t="inlineStr">
        <is>
          <t>In-app guided tour and 5-minute scenarios ('work request to close', 'build your own module')</t>
        </is>
      </c>
      <c r="E144" s="10" t="inlineStr">
        <is>
          <t>Feature</t>
        </is>
      </c>
      <c r="F144" s="10" t="inlineStr">
        <is>
          <t>Not Started</t>
        </is>
      </c>
      <c r="G144" s="10" t="inlineStr">
        <is>
          <t>P1</t>
        </is>
      </c>
      <c r="H144" s="8" t="inlineStr">
        <is>
          <t>The 'build a module in 5 minutes' scenario proves dynamism (FRM_DESIGN/MOD_WIZ).</t>
        </is>
      </c>
      <c r="I144" s="8" t="inlineStr">
        <is>
          <t>A step tour (offline library) and shareable scenarios.</t>
        </is>
      </c>
      <c r="J144" s="8" t="inlineStr">
        <is>
          <t>Each scenario completes without a human guide.</t>
        </is>
      </c>
      <c r="K144" s="8" t="n"/>
      <c r="L144" s="10" t="inlineStr">
        <is>
          <t>M3</t>
        </is>
      </c>
      <c r="M144" s="10" t="inlineStr">
        <is>
          <t>M</t>
        </is>
      </c>
      <c r="N144" s="10" t="inlineStr">
        <is>
          <t>High</t>
        </is>
      </c>
      <c r="O144" s="10" t="inlineStr">
        <is>
          <t>#56 #67 #142</t>
        </is>
      </c>
      <c r="P144" s="10" t="inlineStr"/>
      <c r="Q144" s="10" t="inlineStr"/>
      <c r="R144" s="8" t="inlineStr">
        <is>
          <t>Online demo</t>
        </is>
      </c>
      <c r="S144" s="10" t="inlineStr">
        <is>
          <t>No</t>
        </is>
      </c>
      <c r="T144" s="10" t="n"/>
      <c r="U144" s="10" t="n"/>
    </row>
    <row r="145">
      <c r="A145" s="10" t="n">
        <v>144</v>
      </c>
      <c r="B145" s="10" t="inlineStr">
        <is>
          <t>Claude</t>
        </is>
      </c>
      <c r="C145" s="8" t="inlineStr">
        <is>
          <t>Online Demo</t>
        </is>
      </c>
      <c r="D145" s="8" t="inlineStr">
        <is>
          <t>Demo builder content controlled through pushes to the demo branch (no per-visitor isolation); the nightly reset restores the branch state</t>
        </is>
      </c>
      <c r="E145" s="10" t="inlineStr">
        <is>
          <t>Feature</t>
        </is>
      </c>
      <c r="F145" s="10" t="inlineStr">
        <is>
          <t>Not Started</t>
        </is>
      </c>
      <c r="G145" s="10" t="inlineStr">
        <is>
          <t>P1</t>
        </is>
      </c>
      <c r="H145" s="8" t="inlineStr">
        <is>
          <t>PM review 2026-10-18: no new isolation mechanism for the demo. What visitors can build and see is controlled by controlled pushes to the demo branch; visitors share the instance and everything they create is wiped by the nightly reset.</t>
        </is>
      </c>
      <c r="I145" s="8" t="inlineStr">
        <is>
          <t>Put the demo builder content (forms, modules, workflows, packages) in the demo overlay and deploy it only through pushes to the demo branch; let visitors experiment freely and have the nightly reset (DM_RESET) restore the branch state. Keep it as simple as possible: no per-visitor namespaces.</t>
        </is>
      </c>
      <c r="J145" s="8" t="inlineStr">
        <is>
          <t>Demo builder content changes only through a push to the demo branch; after the nightly reset the demo is exactly the branch state; the product draft/test mode (MOD_SANDBOX) is not required.</t>
        </is>
      </c>
      <c r="K145" s="8" t="inlineStr">
        <is>
          <t>PM 2026-10-18: controlled through pushes to the demo branch; no per-visitor isolation; no dependency on the product draft/test mode.</t>
        </is>
      </c>
      <c r="L145" s="10" t="inlineStr">
        <is>
          <t>M3</t>
        </is>
      </c>
      <c r="M145" s="10" t="inlineStr">
        <is>
          <t>S</t>
        </is>
      </c>
      <c r="N145" s="10" t="inlineStr">
        <is>
          <t>Sales blocker</t>
        </is>
      </c>
      <c r="O145" s="10" t="inlineStr">
        <is>
          <t>#138 #295</t>
        </is>
      </c>
      <c r="P145" s="10" t="inlineStr"/>
      <c r="Q145" s="10" t="inlineStr"/>
      <c r="R145" s="8" t="inlineStr">
        <is>
          <t>Online demo</t>
        </is>
      </c>
      <c r="S145" s="10" t="inlineStr">
        <is>
          <t>Yes</t>
        </is>
      </c>
      <c r="T145" s="10" t="n"/>
      <c r="U145" s="10" t="n"/>
    </row>
    <row r="146">
      <c r="A146" s="10" t="n">
        <v>145</v>
      </c>
      <c r="B146" s="10" t="inlineStr">
        <is>
          <t>Claude</t>
        </is>
      </c>
      <c r="C146" s="8" t="inlineStr">
        <is>
          <t>Online Demo</t>
        </is>
      </c>
      <c r="D146" s="8" t="inlineStr">
        <is>
          <t>Demo licence edition: watermark, capacity limits and automatic expiry</t>
        </is>
      </c>
      <c r="E146" s="10" t="inlineStr">
        <is>
          <t>Feature</t>
        </is>
      </c>
      <c r="F146" s="10" t="inlineStr">
        <is>
          <t>Not Started</t>
        </is>
      </c>
      <c r="G146" s="10" t="inlineStr">
        <is>
          <t>P0</t>
        </is>
      </c>
      <c r="H146" s="8" t="inlineStr">
        <is>
          <t>The demo build must not be usable as production.</t>
        </is>
      </c>
      <c r="I146" s="8" t="inlineStr">
        <is>
          <t>A demo licence type (L_TYPES) plus export/upload limits; the demo pipeline installs the signed demo licence from a GitHub environment secret, never from the repository.</t>
        </is>
      </c>
      <c r="J146" s="8" t="inlineStr">
        <is>
          <t>No demo data can be imported into a production install.</t>
        </is>
      </c>
      <c r="K146" s="8" t="n"/>
      <c r="L146" s="10" t="inlineStr">
        <is>
          <t>M2</t>
        </is>
      </c>
      <c r="M146" s="10" t="inlineStr">
        <is>
          <t>S</t>
        </is>
      </c>
      <c r="N146" s="10" t="inlineStr">
        <is>
          <t>High</t>
        </is>
      </c>
      <c r="O146" s="10" t="inlineStr">
        <is>
          <t>#102</t>
        </is>
      </c>
      <c r="P146" s="10" t="inlineStr"/>
      <c r="Q146" s="10" t="inlineStr"/>
      <c r="R146" s="8" t="inlineStr">
        <is>
          <t>Online demo</t>
        </is>
      </c>
      <c r="S146" s="10" t="inlineStr">
        <is>
          <t>No</t>
        </is>
      </c>
      <c r="T146" s="10" t="n"/>
      <c r="U146" s="10" t="n"/>
    </row>
    <row r="147">
      <c r="A147" s="10" t="n">
        <v>146</v>
      </c>
      <c r="B147" s="10" t="inlineStr">
        <is>
          <t>Claude</t>
        </is>
      </c>
      <c r="C147" s="8" t="inlineStr">
        <is>
          <t>Online Demo</t>
        </is>
      </c>
      <c r="D147" s="8" t="inlineStr">
        <is>
          <t>Demo hardening: disable real email, limit uploads, content filtering, restricted AI</t>
        </is>
      </c>
      <c r="E147" s="10" t="inlineStr">
        <is>
          <t>Feature</t>
        </is>
      </c>
      <c r="F147" s="10" t="inlineStr">
        <is>
          <t>Not Started</t>
        </is>
      </c>
      <c r="G147" s="10" t="inlineStr">
        <is>
          <t>P0</t>
        </is>
      </c>
      <c r="H147" s="8" t="inlineStr">
        <is>
          <t>A public demo is an abuse target.</t>
        </is>
      </c>
      <c r="I147" s="8" t="inlineStr">
        <is>
          <t>A list of disabled actions, a separate scanned upload folder, email redirected to a sink, and strict separation from the main domain: host-only cookies on the demo subdomain, no shared sessions, separate CSP/CORS, no link into any landing back end.</t>
        </is>
      </c>
      <c r="J147" s="8" t="inlineStr">
        <is>
          <t>A light penetration test finds nothing critical, and nothing obtained on the demo subdomain gives access to the landing website or its pipeline.</t>
        </is>
      </c>
      <c r="K147" s="8" t="n"/>
      <c r="L147" s="10" t="inlineStr">
        <is>
          <t>M2</t>
        </is>
      </c>
      <c r="M147" s="10" t="inlineStr">
        <is>
          <t>M</t>
        </is>
      </c>
      <c r="N147" s="10" t="inlineStr">
        <is>
          <t>High</t>
        </is>
      </c>
      <c r="O147" s="10" t="inlineStr">
        <is>
          <t>#139 #183 #291</t>
        </is>
      </c>
      <c r="P147" s="10" t="inlineStr"/>
      <c r="Q147" s="10" t="inlineStr">
        <is>
          <t>OLD-31</t>
        </is>
      </c>
      <c r="R147" s="8" t="inlineStr">
        <is>
          <t>Online demo</t>
        </is>
      </c>
      <c r="S147" s="10" t="inlineStr">
        <is>
          <t>No</t>
        </is>
      </c>
      <c r="T147" s="10" t="n"/>
      <c r="U147" s="10" t="n"/>
    </row>
    <row r="148">
      <c r="A148" s="10" t="n">
        <v>147</v>
      </c>
      <c r="B148" s="10" t="inlineStr">
        <is>
          <t>Claude</t>
        </is>
      </c>
      <c r="C148" s="8" t="inlineStr">
        <is>
          <t>Online Demo</t>
        </is>
      </c>
      <c r="D148" s="8" t="inlineStr">
        <is>
          <t>Abuse protection: rate limiting, sign-up captcha, IP blocking</t>
        </is>
      </c>
      <c r="E148" s="10" t="inlineStr">
        <is>
          <t>Feature</t>
        </is>
      </c>
      <c r="F148" s="10" t="inlineStr">
        <is>
          <t>Not Started</t>
        </is>
      </c>
      <c r="G148" s="10" t="inlineStr">
        <is>
          <t>P1</t>
        </is>
      </c>
      <c r="H148" s="8" t="inlineStr">
        <is>
          <t>A captcha on login is a proven control.</t>
        </is>
      </c>
      <c r="I148" s="8" t="inlineStr">
        <is>
          <t>Rate limit and captcha on demo login requests, enforced at the reverse proxy for the demo virtual host only, so abuse of the demo cannot slow the landing.</t>
        </is>
      </c>
      <c r="J148" s="8" t="inlineStr">
        <is>
          <t>Repeated demo login/sign-up attempts are blocked and visible in the log.</t>
        </is>
      </c>
      <c r="K148" s="8" t="n"/>
      <c r="L148" s="10" t="inlineStr">
        <is>
          <t>M3</t>
        </is>
      </c>
      <c r="M148" s="10" t="inlineStr">
        <is>
          <t>M</t>
        </is>
      </c>
      <c r="N148" s="10" t="inlineStr">
        <is>
          <t>Medium</t>
        </is>
      </c>
      <c r="O148" s="10" t="inlineStr">
        <is>
          <t>#291</t>
        </is>
      </c>
      <c r="P148" s="10" t="inlineStr">
        <is>
          <t>Titan #237</t>
        </is>
      </c>
      <c r="Q148" s="10" t="inlineStr"/>
      <c r="R148" s="8" t="inlineStr">
        <is>
          <t>Online demo</t>
        </is>
      </c>
      <c r="S148" s="10" t="inlineStr">
        <is>
          <t>No</t>
        </is>
      </c>
      <c r="T148" s="10" t="n"/>
      <c r="U148" s="10" t="n"/>
    </row>
    <row r="149">
      <c r="A149" s="10" t="n">
        <v>148</v>
      </c>
      <c r="B149" s="10" t="inlineStr">
        <is>
          <t>Claude</t>
        </is>
      </c>
      <c r="C149" s="8" t="inlineStr">
        <is>
          <t>Online Demo</t>
        </is>
      </c>
      <c r="D149" s="8" t="inlineStr">
        <is>
          <t>Demo request and lead capture (form, confirmation, automatic link) connected to the CRM</t>
        </is>
      </c>
      <c r="E149" s="10" t="inlineStr">
        <is>
          <t>Feature</t>
        </is>
      </c>
      <c r="F149" s="10" t="inlineStr">
        <is>
          <t>Not Started</t>
        </is>
      </c>
      <c r="G149" s="10" t="inlineStr">
        <is>
          <t>P1</t>
        </is>
      </c>
      <c r="H149" s="8" t="inlineStr">
        <is>
          <t>A demo without lead capture loses sales. The request form lives in the landing website (pems-landing repository) while the demo lives on the subdomain, so the two only exchange a link and the lead record.</t>
        </is>
      </c>
      <c r="I149" s="8" t="inlineStr">
        <is>
          <t>A short form on the landing site with privacy consent that posts to the CRM and notifies the sales team, and gives the visitor the demo address. No shared session or database between landing and demo.</t>
        </is>
      </c>
      <c r="J149" s="8" t="inlineStr">
        <is>
          <t>Every request is in the CRM with its source.</t>
        </is>
      </c>
      <c r="K149" s="8" t="n"/>
      <c r="L149" s="10" t="inlineStr">
        <is>
          <t>M3</t>
        </is>
      </c>
      <c r="M149" s="10" t="inlineStr">
        <is>
          <t>M</t>
        </is>
      </c>
      <c r="N149" s="10" t="inlineStr">
        <is>
          <t>High</t>
        </is>
      </c>
      <c r="O149" s="10" t="inlineStr">
        <is>
          <t>#162 #137</t>
        </is>
      </c>
      <c r="P149" s="10" t="inlineStr"/>
      <c r="Q149" s="10" t="inlineStr"/>
      <c r="R149" s="8" t="inlineStr">
        <is>
          <t>Online demo</t>
        </is>
      </c>
      <c r="S149" s="10" t="inlineStr">
        <is>
          <t>No</t>
        </is>
      </c>
      <c r="T149" s="10" t="n"/>
      <c r="U149" s="10" t="n"/>
    </row>
    <row r="150">
      <c r="A150" s="10" t="n">
        <v>149</v>
      </c>
      <c r="B150" s="10" t="inlineStr">
        <is>
          <t>Claude</t>
        </is>
      </c>
      <c r="C150" s="8" t="inlineStr">
        <is>
          <t>Online Demo</t>
        </is>
      </c>
      <c r="D150" s="8" t="inlineStr">
        <is>
          <t>Demo monitoring, backup and alerts (separate from the landing website's monitoring)</t>
        </is>
      </c>
      <c r="E150" s="10" t="inlineStr">
        <is>
          <t>Ops Process</t>
        </is>
      </c>
      <c r="F150" s="10" t="inlineStr">
        <is>
          <t>Not Started</t>
        </is>
      </c>
      <c r="G150" s="10" t="inlineStr">
        <is>
          <t>P1</t>
        </is>
      </c>
      <c r="H150" s="8" t="inlineStr">
        <is>
          <t>A demo that is down loses sales.</t>
        </is>
      </c>
      <c r="I150" s="8" t="inlineStr">
        <is>
          <t>Uptime check and alert for the demo subdomain, its own logs, SQL Server and disk alerts; implemented with HST_MON so each site alerts separately.</t>
        </is>
      </c>
      <c r="J150" s="8" t="inlineStr">
        <is>
          <t>An alert arrives if the demo is down for more than 5 minutes.</t>
        </is>
      </c>
      <c r="K150" s="8" t="n"/>
      <c r="L150" s="10" t="inlineStr">
        <is>
          <t>M3</t>
        </is>
      </c>
      <c r="M150" s="10" t="inlineStr">
        <is>
          <t>S</t>
        </is>
      </c>
      <c r="N150" s="10" t="inlineStr">
        <is>
          <t>Medium</t>
        </is>
      </c>
      <c r="O150" s="10" t="inlineStr">
        <is>
          <t>#139 #297</t>
        </is>
      </c>
      <c r="P150" s="10" t="inlineStr"/>
      <c r="Q150" s="10" t="inlineStr">
        <is>
          <t>OLD-81</t>
        </is>
      </c>
      <c r="R150" s="8" t="inlineStr">
        <is>
          <t>Online demo</t>
        </is>
      </c>
      <c r="S150" s="10" t="inlineStr">
        <is>
          <t>No</t>
        </is>
      </c>
      <c r="T150" s="10" t="n"/>
      <c r="U150" s="10" t="n"/>
    </row>
    <row r="151">
      <c r="A151" s="10" t="n">
        <v>150</v>
      </c>
      <c r="B151" s="10" t="inlineStr">
        <is>
          <t>Claude</t>
        </is>
      </c>
      <c r="C151" s="8" t="inlineStr">
        <is>
          <t>Online Demo</t>
        </is>
      </c>
      <c r="D151" s="8" t="inlineStr">
        <is>
          <t>Demo usage analytics (self-hosted, no external tracker): paths, retention, most-visited modules</t>
        </is>
      </c>
      <c r="E151" s="10" t="inlineStr">
        <is>
          <t>Feature</t>
        </is>
      </c>
      <c r="F151" s="10" t="inlineStr">
        <is>
          <t>Not Started</t>
        </is>
      </c>
      <c r="G151" s="10" t="inlineStr">
        <is>
          <t>P2</t>
        </is>
      </c>
      <c r="H151" s="8" t="inlineStr">
        <is>
          <t>To improve sales and prioritize modules.</t>
        </is>
      </c>
      <c r="I151" s="8" t="inlineStr">
        <is>
          <t>Anonymous events.</t>
        </is>
      </c>
      <c r="J151" s="8" t="inlineStr">
        <is>
          <t>A weekly report of visited paths and modules with no personal data stored.</t>
        </is>
      </c>
      <c r="K151" s="8" t="n"/>
      <c r="L151" s="10" t="inlineStr">
        <is>
          <t>M5</t>
        </is>
      </c>
      <c r="M151" s="10" t="inlineStr">
        <is>
          <t>M</t>
        </is>
      </c>
      <c r="N151" s="10" t="inlineStr">
        <is>
          <t>Medium</t>
        </is>
      </c>
      <c r="O151" s="10" t="inlineStr">
        <is>
          <t>#139</t>
        </is>
      </c>
      <c r="P151" s="10" t="inlineStr"/>
      <c r="Q151" s="10" t="inlineStr"/>
      <c r="R151" s="8" t="inlineStr">
        <is>
          <t>Online demo</t>
        </is>
      </c>
      <c r="S151" s="10" t="inlineStr">
        <is>
          <t>No</t>
        </is>
      </c>
      <c r="T151" s="10" t="n"/>
      <c r="U151" s="10" t="n"/>
    </row>
    <row r="152">
      <c r="A152" s="10" t="n">
        <v>151</v>
      </c>
      <c r="B152" s="10" t="inlineStr">
        <is>
          <t>Claude</t>
        </is>
      </c>
      <c r="C152" s="8" t="inlineStr">
        <is>
          <t>Online Demo</t>
        </is>
      </c>
      <c r="D152" s="8" t="inlineStr">
        <is>
          <t>Phase 2: dedicated temporary instance per visitor (container + temporary DB + expiry)</t>
        </is>
      </c>
      <c r="E152" s="10" t="inlineStr">
        <is>
          <t>Feature</t>
        </is>
      </c>
      <c r="F152" s="10" t="inlineStr">
        <is>
          <t>Later</t>
        </is>
      </c>
      <c r="G152" s="10" t="inlineStr">
        <is>
          <t>P2</t>
        </is>
      </c>
      <c r="H152" s="8" t="inlineStr">
        <is>
          <t>Owner decision 2026-10-18: the demo is one shared instance only for now; the per-visitor temporary instance stays in the backlog as a later item.</t>
        </is>
      </c>
      <c r="I152" s="8" t="inlineStr">
        <is>
          <t>A light orchestrator, a waiting queue and cleanup.</t>
        </is>
      </c>
      <c r="J152" s="8" t="inlineStr">
        <is>
          <t>10 simultaneous instances with a startup time under 2 minutes.</t>
        </is>
      </c>
      <c r="K152" s="8" t="n"/>
      <c r="L152" s="10" t="inlineStr">
        <is>
          <t>M6</t>
        </is>
      </c>
      <c r="M152" s="10" t="inlineStr">
        <is>
          <t>XL</t>
        </is>
      </c>
      <c r="N152" s="10" t="inlineStr">
        <is>
          <t>High</t>
        </is>
      </c>
      <c r="O152" s="10" t="inlineStr">
        <is>
          <t>#138 #172</t>
        </is>
      </c>
      <c r="P152" s="10" t="inlineStr"/>
      <c r="Q152" s="10" t="inlineStr"/>
      <c r="R152" s="8" t="inlineStr">
        <is>
          <t>Online demo</t>
        </is>
      </c>
      <c r="S152" s="10" t="inlineStr">
        <is>
          <t>No</t>
        </is>
      </c>
      <c r="T152" s="10" t="n"/>
      <c r="U152" s="10" t="n"/>
    </row>
    <row r="153">
      <c r="A153" s="10" t="n">
        <v>152</v>
      </c>
      <c r="B153" s="10" t="inlineStr">
        <is>
          <t>User</t>
        </is>
      </c>
      <c r="C153" s="8" t="inlineStr">
        <is>
          <t>Online Demo</t>
        </is>
      </c>
      <c r="D153" s="8" t="inlineStr">
        <is>
          <t>Product video and images (3-minute overview plus a video per key capability)</t>
        </is>
      </c>
      <c r="E153" s="10" t="inlineStr">
        <is>
          <t>Docs</t>
        </is>
      </c>
      <c r="F153" s="10" t="inlineStr">
        <is>
          <t>Not Started</t>
        </is>
      </c>
      <c r="G153" s="10" t="inlineStr">
        <is>
          <t>P1</t>
        </is>
      </c>
      <c r="H153" s="8" t="inlineStr">
        <is>
          <t>For the website and professional networks.</t>
        </is>
      </c>
      <c r="I153" s="8" t="inlineStr">
        <is>
          <t>Script and record from the demo instance.</t>
        </is>
      </c>
      <c r="J153" s="8" t="inlineStr">
        <is>
          <t>One 3-minute overview and at least five short videos are published and embedded.</t>
        </is>
      </c>
      <c r="K153" s="8" t="n"/>
      <c r="L153" s="10" t="inlineStr">
        <is>
          <t>M3</t>
        </is>
      </c>
      <c r="M153" s="10" t="inlineStr">
        <is>
          <t>M</t>
        </is>
      </c>
      <c r="N153" s="10" t="inlineStr">
        <is>
          <t>High</t>
        </is>
      </c>
      <c r="O153" s="10" t="inlineStr">
        <is>
          <t>#143</t>
        </is>
      </c>
      <c r="P153" s="10" t="inlineStr"/>
      <c r="Q153" s="10" t="inlineStr"/>
      <c r="R153" s="8" t="inlineStr">
        <is>
          <t>Online demo</t>
        </is>
      </c>
      <c r="S153" s="10" t="inlineStr">
        <is>
          <t>No</t>
        </is>
      </c>
      <c r="T153" s="10" t="n"/>
      <c r="U153" s="10" t="n"/>
    </row>
    <row r="154">
      <c r="A154" s="10" t="n">
        <v>153</v>
      </c>
      <c r="B154" s="10" t="inlineStr">
        <is>
          <t>User</t>
        </is>
      </c>
      <c r="C154" s="8" t="inlineStr">
        <is>
          <t>Commercial Website</t>
        </is>
      </c>
      <c r="D154" s="8" t="inlineStr">
        <is>
          <t>Website technology (decided: Next.js with content in files; CMS can be added later)</t>
        </is>
      </c>
      <c r="E154" s="10" t="inlineStr">
        <is>
          <t>Decision Needed</t>
        </is>
      </c>
      <c r="F154" s="10" t="inlineStr">
        <is>
          <t>Done</t>
        </is>
      </c>
      <c r="G154" s="10" t="inlineStr">
        <is>
          <t>P0</t>
        </is>
      </c>
      <c r="H154" s="8" t="inlineStr">
        <is>
          <t>The workspace already has two Next.js sites you could adapt. PEMS is .NET and the marketing site must not be coupled to it: the landing website has its own repository (pems-landing) and its own pipeline.</t>
        </is>
      </c>
      <c r="I154" s="8" t="inlineStr">
        <is>
          <t>Evaluate the cost of adapting the templates and CMS, and hosting constraints (PHP/Node).</t>
        </is>
      </c>
      <c r="J154" s="8" t="inlineStr">
        <is>
          <t>An approved ADR.</t>
        </is>
      </c>
      <c r="K154" s="8" t="inlineStr">
        <is>
          <t>Decided 2026-10-18: Next.js with content in files, in its own repository (pems-landing) with its own pipeline (WEB_PIPE); a CMS can be added later.</t>
        </is>
      </c>
      <c r="L154" s="10" t="inlineStr">
        <is>
          <t>M0</t>
        </is>
      </c>
      <c r="M154" s="10" t="inlineStr">
        <is>
          <t>S</t>
        </is>
      </c>
      <c r="N154" s="10" t="inlineStr">
        <is>
          <t>High</t>
        </is>
      </c>
      <c r="O154" s="10" t="inlineStr">
        <is>
          <t>#288</t>
        </is>
      </c>
      <c r="P154" s="10" t="inlineStr">
        <is>
          <t>Titan #98 #222 #240</t>
        </is>
      </c>
      <c r="Q154" s="10" t="inlineStr"/>
      <c r="R154" s="8" t="inlineStr">
        <is>
          <t>Commercial website</t>
        </is>
      </c>
      <c r="S154" s="10" t="inlineStr">
        <is>
          <t>Yes</t>
        </is>
      </c>
      <c r="T154" s="10" t="n"/>
      <c r="U154" s="10" t="n"/>
    </row>
    <row r="155">
      <c r="A155" s="10" t="n">
        <v>154</v>
      </c>
      <c r="B155" s="10" t="inlineStr">
        <is>
          <t>User</t>
        </is>
      </c>
      <c r="C155" s="8" t="inlineStr">
        <is>
          <t>Commercial Website</t>
        </is>
      </c>
      <c r="D155" s="8" t="inlineStr">
        <is>
          <t>Information architecture and sitemap (pages, sales funnel, customer journey)</t>
        </is>
      </c>
      <c r="E155" s="10" t="inlineStr">
        <is>
          <t>Docs</t>
        </is>
      </c>
      <c r="F155" s="10" t="inlineStr">
        <is>
          <t>Not Started</t>
        </is>
      </c>
      <c r="G155" s="10" t="inlineStr">
        <is>
          <t>P1</t>
        </is>
      </c>
      <c r="H155" s="8" t="inlineStr">
        <is>
          <t>Input to design and content.</t>
        </is>
      </c>
      <c r="I155" s="8" t="inlineStr">
        <is>
          <t>Pages: home, dynamic platform, modules, industries, edition/pricing, demo, docs, case studies, blog, about, contact, download/customer portal, legal.</t>
        </is>
      </c>
      <c r="J155" s="8" t="inlineStr">
        <is>
          <t>An approved sitemap.</t>
        </is>
      </c>
      <c r="K155" s="8" t="n"/>
      <c r="L155" s="10" t="inlineStr">
        <is>
          <t>M3</t>
        </is>
      </c>
      <c r="M155" s="10" t="inlineStr">
        <is>
          <t>S</t>
        </is>
      </c>
      <c r="N155" s="10" t="inlineStr">
        <is>
          <t>High</t>
        </is>
      </c>
      <c r="O155" s="10" t="inlineStr">
        <is>
          <t>#131</t>
        </is>
      </c>
      <c r="P155" s="10" t="inlineStr"/>
      <c r="Q155" s="10" t="inlineStr"/>
      <c r="R155" s="8" t="inlineStr">
        <is>
          <t>Commercial website</t>
        </is>
      </c>
      <c r="S155" s="10" t="inlineStr">
        <is>
          <t>No</t>
        </is>
      </c>
      <c r="T155" s="10" t="n"/>
      <c r="U155" s="10" t="n"/>
    </row>
    <row r="156">
      <c r="A156" s="10" t="n">
        <v>155</v>
      </c>
      <c r="B156" s="10" t="inlineStr">
        <is>
          <t>User</t>
        </is>
      </c>
      <c r="C156" s="8" t="inlineStr">
        <is>
          <t>Commercial Website</t>
        </is>
      </c>
      <c r="D156" s="8" t="inlineStr">
        <is>
          <t>Persian (and English) copy for all pages in the brand voice with SEO notes</t>
        </is>
      </c>
      <c r="E156" s="10" t="inlineStr">
        <is>
          <t>Docs</t>
        </is>
      </c>
      <c r="F156" s="10" t="inlineStr">
        <is>
          <t>Not Started</t>
        </is>
      </c>
      <c r="G156" s="10" t="inlineStr">
        <is>
          <t>P1</t>
        </is>
      </c>
      <c r="H156" s="8" t="inlineStr">
        <is>
          <t>Content is the most time-consuming part.</t>
        </is>
      </c>
      <c r="I156" s="8" t="inlineStr">
        <is>
          <t>Write with a copywriter and review technically; claims must match real capabilities, and only Done backlog items may be claimed.</t>
        </is>
      </c>
      <c r="J156" s="8" t="inlineStr">
        <is>
          <t>All v1 pages have final copy.</t>
        </is>
      </c>
      <c r="K156" s="8" t="n"/>
      <c r="L156" s="10" t="inlineStr">
        <is>
          <t>M3</t>
        </is>
      </c>
      <c r="M156" s="10" t="inlineStr">
        <is>
          <t>L</t>
        </is>
      </c>
      <c r="N156" s="10" t="inlineStr">
        <is>
          <t>High</t>
        </is>
      </c>
      <c r="O156" s="10" t="inlineStr">
        <is>
          <t>#154 #128</t>
        </is>
      </c>
      <c r="P156" s="10" t="inlineStr"/>
      <c r="Q156" s="10" t="inlineStr"/>
      <c r="R156" s="8" t="inlineStr">
        <is>
          <t>Commercial website</t>
        </is>
      </c>
      <c r="S156" s="10" t="inlineStr">
        <is>
          <t>No</t>
        </is>
      </c>
      <c r="T156" s="10" t="n"/>
      <c r="U156" s="10" t="n"/>
    </row>
    <row r="157">
      <c r="A157" s="10" t="n">
        <v>156</v>
      </c>
      <c r="B157" s="10" t="inlineStr">
        <is>
          <t>Claude</t>
        </is>
      </c>
      <c r="C157" s="8" t="inlineStr">
        <is>
          <t>Commercial Website</t>
        </is>
      </c>
      <c r="D157" s="8" t="inlineStr">
        <is>
          <t>Build the landing website v1 in the pems-landing repository (RTL, brand theme, responsive, no external tracking scripts)</t>
        </is>
      </c>
      <c r="E157" s="10" t="inlineStr">
        <is>
          <t>Feature</t>
        </is>
      </c>
      <c r="F157" s="10" t="inlineStr">
        <is>
          <t>Not Started</t>
        </is>
      </c>
      <c r="G157" s="10" t="inlineStr">
        <is>
          <t>P1</t>
        </is>
      </c>
      <c r="H157" s="8" t="inlineStr">
        <is>
          <t>Per the WEB_STACK decision.</t>
        </is>
      </c>
      <c r="I157" s="8" t="inlineStr">
        <is>
          <t>Pages, template, technical SEO and speed in the pems-landing repository, deployed only through WEB_PIPE.</t>
        </is>
      </c>
      <c r="J157" s="8" t="inlineStr">
        <is>
          <t>Lighthouse 90 or higher on mobile; flawless RTL.</t>
        </is>
      </c>
      <c r="K157" s="8" t="n"/>
      <c r="L157" s="10" t="inlineStr">
        <is>
          <t>M3</t>
        </is>
      </c>
      <c r="M157" s="10" t="inlineStr">
        <is>
          <t>L</t>
        </is>
      </c>
      <c r="N157" s="10" t="inlineStr">
        <is>
          <t>High</t>
        </is>
      </c>
      <c r="O157" s="10" t="inlineStr">
        <is>
          <t>#153 #155 #30 #294</t>
        </is>
      </c>
      <c r="P157" s="10" t="inlineStr"/>
      <c r="Q157" s="10" t="inlineStr"/>
      <c r="R157" s="8" t="inlineStr">
        <is>
          <t>Commercial website</t>
        </is>
      </c>
      <c r="S157" s="10" t="inlineStr">
        <is>
          <t>No</t>
        </is>
      </c>
      <c r="T157" s="10" t="n"/>
      <c r="U157" s="10" t="n"/>
    </row>
    <row r="158">
      <c r="A158" s="10" t="n">
        <v>157</v>
      </c>
      <c r="B158" s="10" t="inlineStr">
        <is>
          <t>Claude</t>
        </is>
      </c>
      <c r="C158" s="8" t="inlineStr">
        <is>
          <t>Commercial Website</t>
        </is>
      </c>
      <c r="D158" s="8" t="inlineStr">
        <is>
          <t>Module pages (EDMS/VDR, CMMS/EAM, PTW, inventory, AI...) with images and video</t>
        </is>
      </c>
      <c r="E158" s="10" t="inlineStr">
        <is>
          <t>Feature</t>
        </is>
      </c>
      <c r="F158" s="10" t="inlineStr">
        <is>
          <t>Not Started</t>
        </is>
      </c>
      <c r="G158" s="10" t="inlineStr">
        <is>
          <t>P1</t>
        </is>
      </c>
      <c r="H158" s="8" t="inlineStr">
        <is>
          <t>Module split equals edition split.</t>
        </is>
      </c>
      <c r="I158" s="8" t="inlineStr">
        <is>
          <t>For each module build a page with problem, solution, image/video and a CTA to the demo; claim only Done capabilities.</t>
        </is>
      </c>
      <c r="J158" s="8" t="inlineStr">
        <is>
          <t>Every sellable module has a page and its claims match the backlog.</t>
        </is>
      </c>
      <c r="K158" s="8" t="n"/>
      <c r="L158" s="10" t="inlineStr">
        <is>
          <t>M3</t>
        </is>
      </c>
      <c r="M158" s="10" t="inlineStr">
        <is>
          <t>M</t>
        </is>
      </c>
      <c r="N158" s="10" t="inlineStr">
        <is>
          <t>High</t>
        </is>
      </c>
      <c r="O158" s="10" t="inlineStr">
        <is>
          <t>#156 #152</t>
        </is>
      </c>
      <c r="P158" s="10" t="inlineStr"/>
      <c r="Q158" s="10" t="inlineStr"/>
      <c r="R158" s="8" t="inlineStr">
        <is>
          <t>Commercial website</t>
        </is>
      </c>
      <c r="S158" s="10" t="inlineStr">
        <is>
          <t>No</t>
        </is>
      </c>
      <c r="T158" s="10" t="n"/>
      <c r="U158" s="10" t="n"/>
    </row>
    <row r="159">
      <c r="A159" s="10" t="n">
        <v>158</v>
      </c>
      <c r="B159" s="10" t="inlineStr">
        <is>
          <t>Claude</t>
        </is>
      </c>
      <c r="C159" s="8" t="inlineStr">
        <is>
          <t>Commercial Website</t>
        </is>
      </c>
      <c r="D159" s="8" t="inlineStr">
        <is>
          <t>'Dynamic platform / BPMS' page: form builder, module builder, workflow with an interactive demo</t>
        </is>
      </c>
      <c r="E159" s="10" t="inlineStr">
        <is>
          <t>Feature</t>
        </is>
      </c>
      <c r="F159" s="10" t="inlineStr">
        <is>
          <t>Not Started</t>
        </is>
      </c>
      <c r="G159" s="10" t="inlineStr">
        <is>
          <t>P1</t>
        </is>
      </c>
      <c r="H159" s="8" t="inlineStr">
        <is>
          <t>The main differentiator of the commercial version.</t>
        </is>
      </c>
      <c r="I159" s="8" t="inlineStr">
        <is>
          <t>A page showing the builders with an interactive demo/video and a link to the 'build a module in 5 minutes' scenario.</t>
        </is>
      </c>
      <c r="J159" s="8" t="inlineStr">
        <is>
          <t>A visitor runs or watches the build scenario with no sign-up.</t>
        </is>
      </c>
      <c r="K159" s="8" t="n"/>
      <c r="L159" s="10" t="inlineStr">
        <is>
          <t>M3</t>
        </is>
      </c>
      <c r="M159" s="10" t="inlineStr">
        <is>
          <t>M</t>
        </is>
      </c>
      <c r="N159" s="10" t="inlineStr">
        <is>
          <t>Sales blocker</t>
        </is>
      </c>
      <c r="O159" s="10" t="inlineStr">
        <is>
          <t>#156 #144</t>
        </is>
      </c>
      <c r="P159" s="10" t="inlineStr"/>
      <c r="Q159" s="10" t="inlineStr"/>
      <c r="R159" s="8" t="inlineStr">
        <is>
          <t>Commercial website</t>
        </is>
      </c>
      <c r="S159" s="10" t="inlineStr">
        <is>
          <t>No</t>
        </is>
      </c>
      <c r="T159" s="10" t="n"/>
      <c r="U159" s="10" t="n"/>
    </row>
    <row r="160">
      <c r="A160" s="10" t="n">
        <v>159</v>
      </c>
      <c r="B160" s="10" t="inlineStr">
        <is>
          <t>Claude</t>
        </is>
      </c>
      <c r="C160" s="8" t="inlineStr">
        <is>
          <t>Commercial Website</t>
        </is>
      </c>
      <c r="D160" s="8" t="inlineStr">
        <is>
          <t>Edition and pricing page (or request a quote) with feature comparison</t>
        </is>
      </c>
      <c r="E160" s="10" t="inlineStr">
        <is>
          <t>Feature</t>
        </is>
      </c>
      <c r="F160" s="10" t="inlineStr">
        <is>
          <t>Not Started</t>
        </is>
      </c>
      <c r="G160" s="10" t="inlineStr">
        <is>
          <t>P1</t>
        </is>
      </c>
      <c r="H160" s="8" t="inlineStr">
        <is>
          <t>Generate it from the edition matrix (L_EDITION), not by hand.</t>
        </is>
      </c>
      <c r="I160" s="8" t="inlineStr">
        <is>
          <t>Read or generate the comparison table from the L_EDITION matrix and add a 'request a quote' path.</t>
        </is>
      </c>
      <c r="J160" s="8" t="inlineStr">
        <is>
          <t>A change to the edition matrix appears on the site with no manual page edit.</t>
        </is>
      </c>
      <c r="K160" s="8" t="n"/>
      <c r="L160" s="10" t="inlineStr">
        <is>
          <t>M3</t>
        </is>
      </c>
      <c r="M160" s="10" t="inlineStr">
        <is>
          <t>S</t>
        </is>
      </c>
      <c r="N160" s="10" t="inlineStr">
        <is>
          <t>High</t>
        </is>
      </c>
      <c r="O160" s="10" t="inlineStr">
        <is>
          <t>#156 #112 #130</t>
        </is>
      </c>
      <c r="P160" s="10" t="inlineStr"/>
      <c r="Q160" s="10" t="inlineStr"/>
      <c r="R160" s="8" t="inlineStr">
        <is>
          <t>Commercial website</t>
        </is>
      </c>
      <c r="S160" s="10" t="inlineStr">
        <is>
          <t>No</t>
        </is>
      </c>
      <c r="T160" s="10" t="n"/>
      <c r="U160" s="10" t="n"/>
    </row>
    <row r="161">
      <c r="A161" s="10" t="n">
        <v>160</v>
      </c>
      <c r="B161" s="10" t="inlineStr">
        <is>
          <t>Claude</t>
        </is>
      </c>
      <c r="C161" s="8" t="inlineStr">
        <is>
          <t>Commercial Website</t>
        </is>
      </c>
      <c r="D161" s="8" t="inlineStr">
        <is>
          <t>Documentation portal (Persian) and release notes</t>
        </is>
      </c>
      <c r="E161" s="10" t="inlineStr">
        <is>
          <t>Feature</t>
        </is>
      </c>
      <c r="F161" s="10" t="inlineStr">
        <is>
          <t>Not Started</t>
        </is>
      </c>
      <c r="G161" s="10" t="inlineStr">
        <is>
          <t>P1</t>
        </is>
      </c>
      <c r="H161" s="8" t="inlineStr">
        <is>
          <t>Searchable and versioned.</t>
        </is>
      </c>
      <c r="I161" s="8" t="inlineStr">
        <is>
          <t>Source: B_DOCS. Build the documentation from the PEMS documentation sources and publish it through the landing pipeline (or its own pipeline) as a separate section; versions per product release.</t>
        </is>
      </c>
      <c r="J161" s="8" t="inlineStr">
        <is>
          <t>Searchable Persian documentation with versions and release notes is published.</t>
        </is>
      </c>
      <c r="K161" s="8" t="n"/>
      <c r="L161" s="10" t="inlineStr">
        <is>
          <t>M3</t>
        </is>
      </c>
      <c r="M161" s="10" t="inlineStr">
        <is>
          <t>M</t>
        </is>
      </c>
      <c r="N161" s="10" t="inlineStr">
        <is>
          <t>High</t>
        </is>
      </c>
      <c r="O161" s="10" t="inlineStr">
        <is>
          <t>#156 #136 #294</t>
        </is>
      </c>
      <c r="P161" s="10" t="inlineStr"/>
      <c r="Q161" s="10" t="inlineStr"/>
      <c r="R161" s="8" t="inlineStr">
        <is>
          <t>Commercial website</t>
        </is>
      </c>
      <c r="S161" s="10" t="inlineStr">
        <is>
          <t>No</t>
        </is>
      </c>
      <c r="T161" s="10" t="n"/>
      <c r="U161" s="10" t="n"/>
    </row>
    <row r="162">
      <c r="A162" s="10" t="n">
        <v>161</v>
      </c>
      <c r="B162" s="10" t="inlineStr">
        <is>
          <t>Claude</t>
        </is>
      </c>
      <c r="C162" s="8" t="inlineStr">
        <is>
          <t>Commercial Website</t>
        </is>
      </c>
      <c r="D162" s="8" t="inlineStr">
        <is>
          <t>Licence activation portal: customer uploads the .pemsreq file and downloads the licence after approval</t>
        </is>
      </c>
      <c r="E162" s="10" t="inlineStr">
        <is>
          <t>Feature</t>
        </is>
      </c>
      <c r="F162" s="10" t="inlineStr">
        <is>
          <t>Not Started</t>
        </is>
      </c>
      <c r="G162" s="10" t="inlineStr">
        <is>
          <t>P1</t>
        </is>
      </c>
      <c r="H162" s="8" t="inlineStr">
        <is>
          <t>The owner's flow (file returned from the customer server, then final licence) without manual email. It needs a back end with authentication and an approval queue, so it is a separate service with its own repository, pipeline and subdomain, not part of the static landing site. The product itself never calls out.</t>
        </is>
      </c>
      <c r="I162" s="8" t="inlineStr">
        <is>
          <t>Customer authentication, a manual approval queue, delivery of a signed zip, an entry in the licence ledger.</t>
        </is>
      </c>
      <c r="J162" s="8" t="inlineStr">
        <is>
          <t>A customer submits a request and sees its status on the site; the vendor approves.</t>
        </is>
      </c>
      <c r="K162" s="8" t="n"/>
      <c r="L162" s="10" t="inlineStr">
        <is>
          <t>M3</t>
        </is>
      </c>
      <c r="M162" s="10" t="inlineStr">
        <is>
          <t>L</t>
        </is>
      </c>
      <c r="N162" s="10" t="inlineStr">
        <is>
          <t>Sales blocker</t>
        </is>
      </c>
      <c r="O162" s="10" t="inlineStr">
        <is>
          <t>#106 #156 #289</t>
        </is>
      </c>
      <c r="P162" s="10" t="inlineStr"/>
      <c r="Q162" s="10" t="inlineStr"/>
      <c r="R162" s="8" t="inlineStr">
        <is>
          <t>Commercial website</t>
        </is>
      </c>
      <c r="S162" s="10" t="inlineStr">
        <is>
          <t>No</t>
        </is>
      </c>
      <c r="T162" s="10" t="n"/>
      <c r="U162" s="10" t="n"/>
    </row>
    <row r="163">
      <c r="A163" s="10" t="n">
        <v>162</v>
      </c>
      <c r="B163" s="10" t="inlineStr">
        <is>
          <t>Claude</t>
        </is>
      </c>
      <c r="C163" s="8" t="inlineStr">
        <is>
          <t>Commercial Website</t>
        </is>
      </c>
      <c r="D163" s="8" t="inlineStr">
        <is>
          <t>CRM and lead capture: contact/demo forms, categorization, follow-up and notification</t>
        </is>
      </c>
      <c r="E163" s="10" t="inlineStr">
        <is>
          <t>Feature</t>
        </is>
      </c>
      <c r="F163" s="10" t="inlineStr">
        <is>
          <t>Not Started</t>
        </is>
      </c>
      <c r="G163" s="10" t="inlineStr">
        <is>
          <t>P1</t>
        </is>
      </c>
      <c r="H163" s="8" t="inlineStr">
        <is>
          <t>A CRM module is planned but not built on the reference platform; start with an off-the-shelf tool. The static landing site needs a small form endpoint or a hosted form service; decide that with WEB_STACK and keep the endpoint out of the demo.</t>
        </is>
      </c>
      <c r="I163" s="8" t="inlineStr">
        <is>
          <t>Forms to CRM to notification.</t>
        </is>
      </c>
      <c r="J163" s="8" t="inlineStr">
        <is>
          <t>No lead is lost.</t>
        </is>
      </c>
      <c r="K163" s="8" t="n"/>
      <c r="L163" s="10" t="inlineStr">
        <is>
          <t>M3</t>
        </is>
      </c>
      <c r="M163" s="10" t="inlineStr">
        <is>
          <t>M</t>
        </is>
      </c>
      <c r="N163" s="10" t="inlineStr">
        <is>
          <t>High</t>
        </is>
      </c>
      <c r="O163" s="10" t="inlineStr">
        <is>
          <t>#153</t>
        </is>
      </c>
      <c r="P163" s="10" t="inlineStr">
        <is>
          <t>Titan #225</t>
        </is>
      </c>
      <c r="Q163" s="10" t="inlineStr"/>
      <c r="R163" s="8" t="inlineStr">
        <is>
          <t>Commercial website</t>
        </is>
      </c>
      <c r="S163" s="10" t="inlineStr">
        <is>
          <t>No</t>
        </is>
      </c>
      <c r="T163" s="10" t="n"/>
      <c r="U163" s="10" t="n"/>
    </row>
    <row r="164">
      <c r="A164" s="10" t="n">
        <v>163</v>
      </c>
      <c r="B164" s="10" t="inlineStr">
        <is>
          <t>Claude</t>
        </is>
      </c>
      <c r="C164" s="8" t="inlineStr">
        <is>
          <t>Commercial Website</t>
        </is>
      </c>
      <c r="D164" s="8" t="inlineStr">
        <is>
          <t>Persian SEO, sitemap, schema, speed and self-hosted analytics</t>
        </is>
      </c>
      <c r="E164" s="10" t="inlineStr">
        <is>
          <t>Feature</t>
        </is>
      </c>
      <c r="F164" s="10" t="inlineStr">
        <is>
          <t>Not Started</t>
        </is>
      </c>
      <c r="G164" s="10" t="inlineStr">
        <is>
          <t>P2</t>
        </is>
      </c>
      <c r="H164" s="8" t="inlineStr">
        <is>
          <t>The news-landing project has a live-content-and-seo plan.</t>
        </is>
      </c>
      <c r="I164" s="8" t="inlineStr">
        <is>
          <t>Reuse that project's experience.</t>
        </is>
      </c>
      <c r="J164" s="8" t="inlineStr">
        <is>
          <t>Sitemap, schema and Persian title/description are set and indexed for all main pages.</t>
        </is>
      </c>
      <c r="K164" s="8" t="n"/>
      <c r="L164" s="10" t="inlineStr">
        <is>
          <t>M5</t>
        </is>
      </c>
      <c r="M164" s="10" t="inlineStr">
        <is>
          <t>M</t>
        </is>
      </c>
      <c r="N164" s="10" t="inlineStr">
        <is>
          <t>Medium</t>
        </is>
      </c>
      <c r="O164" s="10" t="inlineStr">
        <is>
          <t>#156</t>
        </is>
      </c>
      <c r="P164" s="10" t="inlineStr">
        <is>
          <t>Titan #240</t>
        </is>
      </c>
      <c r="Q164" s="10" t="inlineStr"/>
      <c r="R164" s="8" t="inlineStr">
        <is>
          <t>Commercial website</t>
        </is>
      </c>
      <c r="S164" s="10" t="inlineStr">
        <is>
          <t>No</t>
        </is>
      </c>
      <c r="T164" s="10" t="n"/>
      <c r="U164" s="10" t="n"/>
    </row>
    <row r="165">
      <c r="A165" s="10" t="n">
        <v>164</v>
      </c>
      <c r="B165" s="10" t="inlineStr">
        <is>
          <t>Claude</t>
        </is>
      </c>
      <c r="C165" s="8" t="inlineStr">
        <is>
          <t>Commercial Website</t>
        </is>
      </c>
      <c r="D165" s="8" t="inlineStr">
        <is>
          <t>Installer and update download for customers with an account (not public)</t>
        </is>
      </c>
      <c r="E165" s="10" t="inlineStr">
        <is>
          <t>Feature</t>
        </is>
      </c>
      <c r="F165" s="10" t="inlineStr">
        <is>
          <t>Not Started</t>
        </is>
      </c>
      <c r="G165" s="10" t="inlineStr">
        <is>
          <t>P2</t>
        </is>
      </c>
      <c r="H165" s="8" t="inlineStr">
        <is>
          <t>The install package must not be public.</t>
        </is>
      </c>
      <c r="I165" s="8" t="inlineStr">
        <is>
          <t>A customer portal with hash and signature.</t>
        </is>
      </c>
      <c r="J165" s="8" t="inlineStr">
        <is>
          <t>Only an authenticated customer can download the installer, with a verifiable hash and signature.</t>
        </is>
      </c>
      <c r="K165" s="8" t="n"/>
      <c r="L165" s="10" t="inlineStr">
        <is>
          <t>M5</t>
        </is>
      </c>
      <c r="M165" s="10" t="inlineStr">
        <is>
          <t>M</t>
        </is>
      </c>
      <c r="N165" s="10" t="inlineStr">
        <is>
          <t>High</t>
        </is>
      </c>
      <c r="O165" s="10" t="inlineStr">
        <is>
          <t>#161 #167</t>
        </is>
      </c>
      <c r="P165" s="10" t="inlineStr"/>
      <c r="Q165" s="10" t="inlineStr"/>
      <c r="R165" s="8" t="inlineStr">
        <is>
          <t>Commercial website</t>
        </is>
      </c>
      <c r="S165" s="10" t="inlineStr">
        <is>
          <t>No</t>
        </is>
      </c>
      <c r="T165" s="10" t="n"/>
      <c r="U165" s="10" t="n"/>
    </row>
    <row r="166">
      <c r="A166" s="10" t="n">
        <v>165</v>
      </c>
      <c r="B166" s="10" t="inlineStr">
        <is>
          <t>Claude</t>
        </is>
      </c>
      <c r="C166" s="8" t="inlineStr">
        <is>
          <t>Commercial Website</t>
        </is>
      </c>
      <c r="D166" s="8" t="inlineStr">
        <is>
          <t>Blog/news and case studies</t>
        </is>
      </c>
      <c r="E166" s="10" t="inlineStr">
        <is>
          <t>Feature</t>
        </is>
      </c>
      <c r="F166" s="10" t="inlineStr">
        <is>
          <t>Not Started</t>
        </is>
      </c>
      <c r="G166" s="10" t="inlineStr">
        <is>
          <t>P2</t>
        </is>
      </c>
      <c r="H166" s="8" t="inlineStr">
        <is>
          <t>Credibility and SEO content.</t>
        </is>
      </c>
      <c r="I166" s="8" t="inlineStr">
        <is>
          <t>Build the blog/news template and case-study page and connect them to the site CMS.</t>
        </is>
      </c>
      <c r="J166" s="8" t="inlineStr">
        <is>
          <t>At least one technical post and one case study are published.</t>
        </is>
      </c>
      <c r="K166" s="8" t="n"/>
      <c r="L166" s="10" t="inlineStr">
        <is>
          <t>M5</t>
        </is>
      </c>
      <c r="M166" s="10" t="inlineStr">
        <is>
          <t>S</t>
        </is>
      </c>
      <c r="N166" s="10" t="inlineStr">
        <is>
          <t>Medium</t>
        </is>
      </c>
      <c r="O166" s="10" t="inlineStr">
        <is>
          <t>#156 #134</t>
        </is>
      </c>
      <c r="P166" s="10" t="inlineStr"/>
      <c r="Q166" s="10" t="inlineStr"/>
      <c r="R166" s="8" t="inlineStr">
        <is>
          <t>Commercial website</t>
        </is>
      </c>
      <c r="S166" s="10" t="inlineStr">
        <is>
          <t>No</t>
        </is>
      </c>
      <c r="T166" s="10" t="n"/>
      <c r="U166" s="10" t="n"/>
    </row>
    <row r="167">
      <c r="A167" s="10" t="n">
        <v>166</v>
      </c>
      <c r="B167" s="10" t="inlineStr">
        <is>
          <t>User</t>
        </is>
      </c>
      <c r="C167" s="8" t="inlineStr">
        <is>
          <t>Commercial Website</t>
        </is>
      </c>
      <c r="D167" s="8" t="inlineStr">
        <is>
          <t>Pre-launch checklist (legal, links, speed, security, backup) and domain/email setup</t>
        </is>
      </c>
      <c r="E167" s="10" t="inlineStr">
        <is>
          <t>Ops Process</t>
        </is>
      </c>
      <c r="F167" s="10" t="inlineStr">
        <is>
          <t>Not Started</t>
        </is>
      </c>
      <c r="G167" s="10" t="inlineStr">
        <is>
          <t>P1</t>
        </is>
      </c>
      <c r="H167" s="8" t="inlineStr">
        <is>
          <t>A written pre-publication checklist is missing for the existing marketing sites in this workspace.</t>
        </is>
      </c>
      <c r="I167" s="8" t="inlineStr">
        <is>
          <t>A launch checklist covering DNS and TLS, www redirect, legal pages, links, speed, security, backup, rollback test and the demo link.</t>
        </is>
      </c>
      <c r="J167" s="8" t="inlineStr">
        <is>
          <t>The site is live on the final domain.</t>
        </is>
      </c>
      <c r="K167" s="8" t="n"/>
      <c r="L167" s="10" t="inlineStr">
        <is>
          <t>M3</t>
        </is>
      </c>
      <c r="M167" s="10" t="inlineStr">
        <is>
          <t>S</t>
        </is>
      </c>
      <c r="N167" s="10" t="inlineStr">
        <is>
          <t>High</t>
        </is>
      </c>
      <c r="O167" s="10" t="inlineStr">
        <is>
          <t>#156 #125 #137 #290 #294</t>
        </is>
      </c>
      <c r="P167" s="10" t="inlineStr"/>
      <c r="Q167" s="10" t="inlineStr"/>
      <c r="R167" s="8" t="inlineStr">
        <is>
          <t>Commercial website</t>
        </is>
      </c>
      <c r="S167" s="10" t="inlineStr">
        <is>
          <t>No</t>
        </is>
      </c>
      <c r="T167" s="10" t="n"/>
      <c r="U167" s="10" t="n"/>
    </row>
    <row r="168">
      <c r="A168" s="10" t="n">
        <v>167</v>
      </c>
      <c r="B168" s="10" t="inlineStr">
        <is>
          <t>Claude</t>
        </is>
      </c>
      <c r="C168" s="8" t="inlineStr">
        <is>
          <t>Installation, Deployment &amp; Updates</t>
        </is>
      </c>
      <c r="D168" s="8" t="inlineStr">
        <is>
          <t>Production installer: prerequisite check, configuration, DB, storage, service and admin user</t>
        </is>
      </c>
      <c r="E168" s="10" t="inlineStr">
        <is>
          <t>Feature</t>
        </is>
      </c>
      <c r="F168" s="10" t="inlineStr">
        <is>
          <t>Not Started</t>
        </is>
      </c>
      <c r="G168" s="10" t="inlineStr">
        <is>
          <t>P0</t>
        </is>
      </c>
      <c r="H168" s="8" t="inlineStr">
        <is>
          <t>Today only a Dockerfile/docker-compose and docs/deployment exist. A standalone hand-off to a customer needs an installer. 2026-10-22: the database part (create, install, update, state check, history) is solved by IDatabaseUpdateService (#310); the installer only has to call it or rely on startup.</t>
        </is>
      </c>
      <c r="I168" s="8" t="inlineStr">
        <is>
          <t>A graphical Windows installer (wizard) plus a Docker path; an optional silent mode for automation; least privilege.</t>
        </is>
      </c>
      <c r="J168" s="8" t="inlineStr">
        <is>
          <t>Install on a fresh Windows Server in 30 minutes or less by a non-expert.</t>
        </is>
      </c>
      <c r="K168" s="8" t="n"/>
      <c r="L168" s="10" t="inlineStr">
        <is>
          <t>M2</t>
        </is>
      </c>
      <c r="M168" s="10" t="inlineStr">
        <is>
          <t>XL</t>
        </is>
      </c>
      <c r="N168" s="10" t="inlineStr">
        <is>
          <t>Sales blocker</t>
        </is>
      </c>
      <c r="O168" s="10" t="inlineStr">
        <is>
          <t>#100 #168</t>
        </is>
      </c>
      <c r="P168" s="10" t="inlineStr">
        <is>
          <t>Titan #76 #150</t>
        </is>
      </c>
      <c r="Q168" s="10" t="inlineStr">
        <is>
          <t>OLD-44</t>
        </is>
      </c>
      <c r="R168" s="8" t="inlineStr">
        <is>
          <t>Install &amp; update</t>
        </is>
      </c>
      <c r="S168" s="10" t="inlineStr">
        <is>
          <t>No</t>
        </is>
      </c>
      <c r="T168" s="10" t="n"/>
      <c r="U168" s="10" t="n"/>
    </row>
    <row r="169">
      <c r="A169" s="10" t="n">
        <v>168</v>
      </c>
      <c r="B169" s="10" t="inlineStr">
        <is>
          <t>Claude</t>
        </is>
      </c>
      <c r="C169" s="8" t="inlineStr">
        <is>
          <t>Installation, Deployment &amp; Updates</t>
        </is>
      </c>
      <c r="D169" s="8" t="inlineStr">
        <is>
          <t>Environment validator: SQL, storage, TLS, reverse proxy, Ollama/OCR, secrets, backup and disk space</t>
        </is>
      </c>
      <c r="E169" s="10" t="inlineStr">
        <is>
          <t>Feature</t>
        </is>
      </c>
      <c r="F169" s="10" t="inlineStr">
        <is>
          <t>Not Started</t>
        </is>
      </c>
      <c r="G169" s="10" t="inlineStr">
        <is>
          <t>P0</t>
        </is>
      </c>
      <c r="H169" s="8" t="inlineStr">
        <is>
          <t>Audit E9: no prerequisite check exists.</t>
        </is>
      </c>
      <c r="I169" s="8" t="inlineStr">
        <is>
          <t>A page in the installer and in the admin UI that checks every prerequisite and produces a printable report; part of the installer steps. Everything in this flow is done in the UI; no terminal or CLI step is required (a CLI may exist only as an optional extra).</t>
        </is>
      </c>
      <c r="J169" s="8" t="inlineStr">
        <is>
          <t>Every missing prerequisite is reported with a clear message and remedy.</t>
        </is>
      </c>
      <c r="K169" s="8" t="inlineStr">
        <is>
          <t>PM 2026-10-18: raised to P0/M2.</t>
        </is>
      </c>
      <c r="L169" s="10" t="inlineStr">
        <is>
          <t>M2</t>
        </is>
      </c>
      <c r="M169" s="10" t="inlineStr">
        <is>
          <t>M</t>
        </is>
      </c>
      <c r="N169" s="10" t="inlineStr">
        <is>
          <t>High</t>
        </is>
      </c>
      <c r="O169" s="10" t="inlineStr">
        <is>
          <t>#1</t>
        </is>
      </c>
      <c r="P169" s="10" t="inlineStr"/>
      <c r="Q169" s="10" t="inlineStr">
        <is>
          <t>OLD-45</t>
        </is>
      </c>
      <c r="R169" s="8" t="inlineStr">
        <is>
          <t>Install &amp; update</t>
        </is>
      </c>
      <c r="S169" s="10" t="inlineStr">
        <is>
          <t>Yes</t>
        </is>
      </c>
      <c r="T169" s="10" t="n"/>
      <c r="U169" s="10" t="n"/>
    </row>
    <row r="170">
      <c r="A170" s="10" t="n">
        <v>169</v>
      </c>
      <c r="B170" s="10" t="inlineStr">
        <is>
          <t>Claude</t>
        </is>
      </c>
      <c r="C170" s="8" t="inlineStr">
        <is>
          <t>Installation, Deployment &amp; Updates</t>
        </is>
      </c>
      <c r="D170" s="8" t="inlineStr">
        <is>
          <t>First-run wizard: licence, TLS, create admin and MFA, minimal seed</t>
        </is>
      </c>
      <c r="E170" s="10" t="inlineStr">
        <is>
          <t>Feature</t>
        </is>
      </c>
      <c r="F170" s="10" t="inlineStr">
        <is>
          <t>Not Started</t>
        </is>
      </c>
      <c r="G170" s="10" t="inlineStr">
        <is>
          <t>P0</t>
        </is>
      </c>
      <c r="H170" s="8" t="inlineStr">
        <is>
          <t>A per-machine TLS certificate generated at first run, with no shipped private key (fail-closed), is a proven approach. 2026-10-27: the administrator step is #381 (the administrator chooses the password as the last install step, guarded by a one-time setup code); this row keeps the wizard frame, licence, TLS and MFA steps.</t>
        </is>
      </c>
      <c r="I170" s="8" t="inlineStr">
        <is>
          <t>A browser step wizard: licence, machine TLS certificate, admin with a strong password and MFA, minimal seed. Everything in this flow is done in the UI; no terminal or CLI step is required (a CLI may exist only as an optional extra).</t>
        </is>
      </c>
      <c r="J170" s="8" t="inlineStr">
        <is>
          <t>A fresh install without a terminal reaches a system locked to the licence and TLS.</t>
        </is>
      </c>
      <c r="K170" s="8" t="n"/>
      <c r="L170" s="10" t="inlineStr">
        <is>
          <t>M2</t>
        </is>
      </c>
      <c r="M170" s="10" t="inlineStr">
        <is>
          <t>M</t>
        </is>
      </c>
      <c r="N170" s="10" t="inlineStr">
        <is>
          <t>High</t>
        </is>
      </c>
      <c r="O170" s="10" t="inlineStr">
        <is>
          <t>#108</t>
        </is>
      </c>
      <c r="P170" s="10" t="inlineStr">
        <is>
          <t>Titan #65 #66</t>
        </is>
      </c>
      <c r="Q170" s="10" t="inlineStr"/>
      <c r="R170" s="8" t="inlineStr">
        <is>
          <t>Install &amp; update</t>
        </is>
      </c>
      <c r="S170" s="10" t="inlineStr">
        <is>
          <t>No</t>
        </is>
      </c>
      <c r="T170" s="10" t="n"/>
      <c r="U170" s="10" t="n"/>
    </row>
    <row r="171">
      <c r="A171" s="10" t="n">
        <v>170</v>
      </c>
      <c r="B171" s="10" t="inlineStr">
        <is>
          <t>Claude</t>
        </is>
      </c>
      <c r="C171" s="8" t="inlineStr">
        <is>
          <t>Installation, Deployment &amp; Updates</t>
        </is>
      </c>
      <c r="D171" s="8" t="inlineStr">
        <is>
          <t>Signed offline update package: inspect, apply, rollback, migration compatibility</t>
        </is>
      </c>
      <c r="E171" s="10" t="inlineStr">
        <is>
          <t>Feature</t>
        </is>
      </c>
      <c r="F171" s="10" t="inlineStr">
        <is>
          <t>Not Started</t>
        </is>
      </c>
      <c r="G171" s="10" t="inlineStr">
        <is>
          <t>P0</t>
        </is>
      </c>
      <c r="H171" s="8" t="inlineStr">
        <is>
          <t>A signed update package with an Update page is a proven pattern; PEMS has neither.</t>
        </is>
      </c>
      <c r="I171" s="8" t="inlineStr">
        <is>
          <t>An Update page in the admin UI: upload a package, inspect it, apply, view the result and roll back; the package carries version/signature/migration and an automatic backup is taken before applying. Everything in this flow is done in the UI; no terminal or CLI step is required (a CLI may exist only as an optional extra).</t>
        </is>
      </c>
      <c r="J171" s="8" t="inlineStr">
        <is>
          <t>An update from 2026.1 to 2026.2 on a sample instance, with rollback, succeeds.</t>
        </is>
      </c>
      <c r="K171" s="8" t="n"/>
      <c r="L171" s="10" t="inlineStr">
        <is>
          <t>M2</t>
        </is>
      </c>
      <c r="M171" s="10" t="inlineStr">
        <is>
          <t>L</t>
        </is>
      </c>
      <c r="N171" s="10" t="inlineStr">
        <is>
          <t>Sales blocker</t>
        </is>
      </c>
      <c r="O171" s="10" t="inlineStr">
        <is>
          <t>#7 #101</t>
        </is>
      </c>
      <c r="P171" s="10" t="inlineStr">
        <is>
          <t>Titan #249 #130</t>
        </is>
      </c>
      <c r="Q171" s="10" t="inlineStr">
        <is>
          <t>OLD-40</t>
        </is>
      </c>
      <c r="R171" s="8" t="inlineStr">
        <is>
          <t>Install &amp; update</t>
        </is>
      </c>
      <c r="S171" s="10" t="inlineStr">
        <is>
          <t>No</t>
        </is>
      </c>
      <c r="T171" s="10" t="n"/>
      <c r="U171" s="10" t="n"/>
    </row>
    <row r="172">
      <c r="A172" s="10" t="n">
        <v>171</v>
      </c>
      <c r="B172" s="10" t="inlineStr">
        <is>
          <t>Claude</t>
        </is>
      </c>
      <c r="C172" s="8" t="inlineStr">
        <is>
          <t>Installation, Deployment &amp; Updates</t>
        </is>
      </c>
      <c r="D172" s="8" t="inlineStr">
        <is>
          <t>Backup/restore procedure and restore test (DB, files, logs, licence, AI data)</t>
        </is>
      </c>
      <c r="E172" s="10" t="inlineStr">
        <is>
          <t>Ops Process</t>
        </is>
      </c>
      <c r="F172" s="10" t="inlineStr">
        <is>
          <t>Not Started</t>
        </is>
      </c>
      <c r="G172" s="10" t="inlineStr">
        <is>
          <t>P0</t>
        </is>
      </c>
      <c r="H172" s="8" t="inlineStr">
        <is>
          <t>The licence is machine-bound: restoring on other hardware invalidates it, so the re-host procedure (L_REHOST) must be in the runbook.</t>
        </is>
      </c>
      <c r="I172" s="8" t="inlineStr">
        <is>
          <t>A written procedure and scripts for backup/restore of all data; restore test on different hardware and record the effect on the licence.</t>
        </is>
      </c>
      <c r="J172" s="8" t="inlineStr">
        <is>
          <t>A restore-test report with RTO and the licence re-host steps.</t>
        </is>
      </c>
      <c r="K172" s="8" t="n"/>
      <c r="L172" s="10" t="inlineStr">
        <is>
          <t>M2</t>
        </is>
      </c>
      <c r="M172" s="10" t="inlineStr">
        <is>
          <t>M</t>
        </is>
      </c>
      <c r="N172" s="10" t="inlineStr">
        <is>
          <t>High</t>
        </is>
      </c>
      <c r="O172" s="10" t="inlineStr">
        <is>
          <t>#116</t>
        </is>
      </c>
      <c r="P172" s="10" t="inlineStr"/>
      <c r="Q172" s="10" t="inlineStr">
        <is>
          <t>OLD-46</t>
        </is>
      </c>
      <c r="R172" s="8" t="inlineStr">
        <is>
          <t>Install &amp; update</t>
        </is>
      </c>
      <c r="S172" s="10" t="inlineStr">
        <is>
          <t>No</t>
        </is>
      </c>
      <c r="T172" s="10" t="n"/>
      <c r="U172" s="10" t="n"/>
    </row>
    <row r="173">
      <c r="A173" s="10" t="n">
        <v>172</v>
      </c>
      <c r="B173" s="10" t="inlineStr">
        <is>
          <t>Claude</t>
        </is>
      </c>
      <c r="C173" s="8" t="inlineStr">
        <is>
          <t>Installation, Deployment &amp; Updates</t>
        </is>
      </c>
      <c r="D173" s="8" t="inlineStr">
        <is>
          <t>Production hardening of Docker/compose and upgrade test</t>
        </is>
      </c>
      <c r="E173" s="10" t="inlineStr">
        <is>
          <t>Tech Debt</t>
        </is>
      </c>
      <c r="F173" s="10" t="inlineStr">
        <is>
          <t>Not Started</t>
        </is>
      </c>
      <c r="G173" s="10" t="inlineStr">
        <is>
          <t>P1</t>
        </is>
      </c>
      <c r="H173" s="8" t="inlineStr">
        <is>
          <t>A Dockerfile and docker-compose.yml exist. If the demo runs as a container on the shared host (HST_PLATFORM), this hardening is needed for the demo as well as for customers.</t>
        </is>
      </c>
      <c r="I173" s="8" t="inlineStr">
        <is>
          <t>Non-root user, minimal ports, health checks, persistent volumes, secrets from environment; upgrade and rollback test of the container.</t>
        </is>
      </c>
      <c r="J173" s="8" t="inlineStr">
        <is>
          <t>The production compose passes the scan with no warnings and the upgrade test.</t>
        </is>
      </c>
      <c r="K173" s="8" t="n"/>
      <c r="L173" s="10" t="inlineStr">
        <is>
          <t>M3</t>
        </is>
      </c>
      <c r="M173" s="10" t="inlineStr">
        <is>
          <t>M</t>
        </is>
      </c>
      <c r="N173" s="10" t="inlineStr">
        <is>
          <t>Medium</t>
        </is>
      </c>
      <c r="O173" s="10" t="inlineStr">
        <is>
          <t>#9</t>
        </is>
      </c>
      <c r="P173" s="10" t="inlineStr"/>
      <c r="Q173" s="10" t="inlineStr"/>
      <c r="R173" s="8" t="inlineStr">
        <is>
          <t>Install &amp; update</t>
        </is>
      </c>
      <c r="S173" s="10" t="inlineStr">
        <is>
          <t>No</t>
        </is>
      </c>
      <c r="T173" s="10" t="n"/>
      <c r="U173" s="10" t="n"/>
    </row>
    <row r="174">
      <c r="A174" s="10" t="n">
        <v>173</v>
      </c>
      <c r="B174" s="10" t="inlineStr">
        <is>
          <t>Claude</t>
        </is>
      </c>
      <c r="C174" s="8" t="inlineStr">
        <is>
          <t>Installation, Deployment &amp; Updates</t>
        </is>
      </c>
      <c r="D174" s="8" t="inlineStr">
        <is>
          <t>Feature flags and release channels (stable/beta) with audit</t>
        </is>
      </c>
      <c r="E174" s="10" t="inlineStr">
        <is>
          <t>Feature</t>
        </is>
      </c>
      <c r="F174" s="10" t="inlineStr">
        <is>
          <t>Not Started</t>
        </is>
      </c>
      <c r="G174" s="10" t="inlineStr">
        <is>
          <t>P2</t>
        </is>
      </c>
      <c r="H174" s="8" t="inlineStr">
        <is>
          <t>Audit E23: no feature flags or release channels exist.</t>
        </is>
      </c>
      <c r="I174" s="8" t="inlineStr">
        <is>
          <t>Flags scoped by environment/customer/role/edition with audit; stable/beta channel in the update package.</t>
        </is>
      </c>
      <c r="J174" s="8" t="inlineStr">
        <is>
          <t>Toggling a flag works with no deploy and is audited.</t>
        </is>
      </c>
      <c r="K174" s="8" t="n"/>
      <c r="L174" s="10" t="inlineStr">
        <is>
          <t>M5</t>
        </is>
      </c>
      <c r="M174" s="10" t="inlineStr">
        <is>
          <t>M</t>
        </is>
      </c>
      <c r="N174" s="10" t="inlineStr">
        <is>
          <t>Medium</t>
        </is>
      </c>
      <c r="O174" s="10" t="inlineStr">
        <is>
          <t>#113</t>
        </is>
      </c>
      <c r="P174" s="10" t="inlineStr"/>
      <c r="Q174" s="10" t="inlineStr">
        <is>
          <t>OLD-106</t>
        </is>
      </c>
      <c r="R174" s="8" t="inlineStr">
        <is>
          <t>Install &amp; update</t>
        </is>
      </c>
      <c r="S174" s="10" t="inlineStr">
        <is>
          <t>No</t>
        </is>
      </c>
      <c r="T174" s="10" t="n"/>
      <c r="U174" s="10" t="n"/>
    </row>
    <row r="175">
      <c r="A175" s="10" t="n">
        <v>174</v>
      </c>
      <c r="B175" s="10" t="inlineStr">
        <is>
          <t>Claude</t>
        </is>
      </c>
      <c r="C175" s="8" t="inlineStr">
        <is>
          <t>Installation, Deployment &amp; Updates</t>
        </is>
      </c>
      <c r="D175" s="8" t="inlineStr">
        <is>
          <t>Health dashboard and support bundle (version, configuration, logs, migrations, licence, sanitized errors)</t>
        </is>
      </c>
      <c r="E175" s="10" t="inlineStr">
        <is>
          <t>Feature</t>
        </is>
      </c>
      <c r="F175" s="10" t="inlineStr">
        <is>
          <t>Not Started</t>
        </is>
      </c>
      <c r="G175" s="10" t="inlineStr">
        <is>
          <t>P1</t>
        </is>
      </c>
      <c r="H175" s="8" t="inlineStr">
        <is>
          <t>A diagnostics app and audited remote-support sessions are proven support tools.</t>
        </is>
      </c>
      <c r="I175" s="8" t="inlineStr">
        <is>
          <t>A health dashboard (SQL, Hangfire, storage, Ollama, OCR, queues, disk, recent errors) and a bundle with no secrets.</t>
        </is>
      </c>
      <c r="J175" s="8" t="inlineStr">
        <is>
          <t>The support bundle is produced in one click and has no sensitive data.</t>
        </is>
      </c>
      <c r="K175" s="8" t="n"/>
      <c r="L175" s="10" t="inlineStr">
        <is>
          <t>M3</t>
        </is>
      </c>
      <c r="M175" s="10" t="inlineStr">
        <is>
          <t>M</t>
        </is>
      </c>
      <c r="N175" s="10" t="inlineStr">
        <is>
          <t>High</t>
        </is>
      </c>
      <c r="O175" s="10" t="inlineStr">
        <is>
          <t>#167</t>
        </is>
      </c>
      <c r="P175" s="10" t="inlineStr">
        <is>
          <t>Titan #92 #93 #94 #95</t>
        </is>
      </c>
      <c r="Q175" s="10" t="inlineStr">
        <is>
          <t>OLD-60 OLD-61</t>
        </is>
      </c>
      <c r="R175" s="8" t="inlineStr">
        <is>
          <t>Install &amp; update</t>
        </is>
      </c>
      <c r="S175" s="10" t="inlineStr">
        <is>
          <t>No</t>
        </is>
      </c>
      <c r="T175" s="10" t="n"/>
      <c r="U175" s="10" t="n"/>
    </row>
    <row r="176">
      <c r="A176" s="10" t="n">
        <v>175</v>
      </c>
      <c r="B176" s="10" t="inlineStr">
        <is>
          <t>User</t>
        </is>
      </c>
      <c r="C176" s="8" t="inlineStr">
        <is>
          <t>Installation, Deployment &amp; Updates</t>
        </is>
      </c>
      <c r="D176" s="8" t="inlineStr">
        <is>
          <t>Support procedure for manual update distribution to offline customers (uses the customer registry)</t>
        </is>
      </c>
      <c r="E176" s="10" t="inlineStr">
        <is>
          <t>Ops Process</t>
        </is>
      </c>
      <c r="F176" s="10" t="inlineStr">
        <is>
          <t>Not Started</t>
        </is>
      </c>
      <c r="G176" s="10" t="inlineStr">
        <is>
          <t>P2</t>
        </is>
      </c>
      <c r="H176" s="8" t="inlineStr">
        <is>
          <t>Offline customers need a managed, written update routine; the registry that tracks them is CV_REG.</t>
        </is>
      </c>
      <c r="I176" s="8" t="inlineStr">
        <is>
          <t>Write the SOP: pick the right package from the registry, deliver it (portal, media or support session), collect the update receipt, record the result.</t>
        </is>
      </c>
      <c r="J176" s="8" t="inlineStr">
        <is>
          <t>A written SOP exists and one full update cycle was run for a test customer and recorded in the registry.</t>
        </is>
      </c>
      <c r="K176" s="8" t="n"/>
      <c r="L176" s="10" t="inlineStr">
        <is>
          <t>M5</t>
        </is>
      </c>
      <c r="M176" s="10" t="inlineStr">
        <is>
          <t>S</t>
        </is>
      </c>
      <c r="N176" s="10" t="inlineStr">
        <is>
          <t>Medium</t>
        </is>
      </c>
      <c r="O176" s="10" t="inlineStr">
        <is>
          <t>#170 #270</t>
        </is>
      </c>
      <c r="P176" s="10" t="inlineStr">
        <is>
          <t>Titan #130 #206</t>
        </is>
      </c>
      <c r="Q176" s="10" t="inlineStr"/>
      <c r="R176" s="8" t="inlineStr">
        <is>
          <t>Install &amp; update</t>
        </is>
      </c>
      <c r="S176" s="10" t="inlineStr">
        <is>
          <t>No</t>
        </is>
      </c>
      <c r="T176" s="10" t="n"/>
      <c r="U176" s="10" t="n"/>
    </row>
    <row r="177">
      <c r="A177" s="10" t="n">
        <v>176</v>
      </c>
      <c r="B177" s="10" t="inlineStr">
        <is>
          <t>Claude</t>
        </is>
      </c>
      <c r="C177" s="8" t="inlineStr">
        <is>
          <t>Installation, Deployment &amp; Updates</t>
        </is>
      </c>
      <c r="D177" s="8" t="inlineStr">
        <is>
          <t>HA/DR reference architecture with RPO/RTO</t>
        </is>
      </c>
      <c r="E177" s="10" t="inlineStr">
        <is>
          <t>Docs</t>
        </is>
      </c>
      <c r="F177" s="10" t="inlineStr">
        <is>
          <t>Not Started</t>
        </is>
      </c>
      <c r="G177" s="10" t="inlineStr">
        <is>
          <t>P2</t>
        </is>
      </c>
      <c r="H177" s="8" t="inlineStr">
        <is>
          <t>Audit E19: no HA/DR reference architecture is defined.</t>
        </is>
      </c>
      <c r="I177" s="8" t="inlineStr">
        <is>
          <t>A reference document covering app redundancy, SQL, files, Ollama, RPO/RTO and a failover drill; state the effect on the machine-bound licence.</t>
        </is>
      </c>
      <c r="J177" s="8" t="inlineStr">
        <is>
          <t>An approved document and one recorded failover drill.</t>
        </is>
      </c>
      <c r="K177" s="8" t="n"/>
      <c r="L177" s="10" t="inlineStr">
        <is>
          <t>M5</t>
        </is>
      </c>
      <c r="M177" s="10" t="inlineStr">
        <is>
          <t>M</t>
        </is>
      </c>
      <c r="N177" s="10" t="inlineStr">
        <is>
          <t>Medium</t>
        </is>
      </c>
      <c r="O177" s="10" t="inlineStr">
        <is>
          <t>#171</t>
        </is>
      </c>
      <c r="P177" s="10" t="inlineStr"/>
      <c r="Q177" s="10" t="inlineStr">
        <is>
          <t>OLD-83</t>
        </is>
      </c>
      <c r="R177" s="8" t="inlineStr">
        <is>
          <t>Install &amp; update</t>
        </is>
      </c>
      <c r="S177" s="10" t="inlineStr">
        <is>
          <t>No</t>
        </is>
      </c>
      <c r="T177" s="10" t="n"/>
      <c r="U177" s="10" t="n"/>
    </row>
    <row r="178">
      <c r="A178" s="10" t="n">
        <v>177</v>
      </c>
      <c r="B178" s="10" t="inlineStr">
        <is>
          <t>Claude</t>
        </is>
      </c>
      <c r="C178" s="8" t="inlineStr">
        <is>
          <t>Installation, Deployment &amp; Updates</t>
        </is>
      </c>
      <c r="D178" s="8" t="inlineStr">
        <is>
          <t>Capacity and hardware guide (SQL Server, concurrent users, file size, AI)</t>
        </is>
      </c>
      <c r="E178" s="10" t="inlineStr">
        <is>
          <t>Docs</t>
        </is>
      </c>
      <c r="F178" s="10" t="inlineStr">
        <is>
          <t>Not Started</t>
        </is>
      </c>
      <c r="G178" s="10" t="inlineStr">
        <is>
          <t>P1</t>
        </is>
      </c>
      <c r="H178" s="8" t="inlineStr">
        <is>
          <t>On-prem customers need hardware guidance and none exists.</t>
        </is>
      </c>
      <c r="I178" s="8" t="inlineStr">
        <is>
          <t>Using QA_PERF results build a recommended-hardware table by concurrent users and file volume.</t>
        </is>
      </c>
      <c r="J178" s="8" t="inlineStr">
        <is>
          <t>Small/Medium/Large profiles with tested numbers are published.</t>
        </is>
      </c>
      <c r="K178" s="8" t="n"/>
      <c r="L178" s="10" t="inlineStr">
        <is>
          <t>M3</t>
        </is>
      </c>
      <c r="M178" s="10" t="inlineStr">
        <is>
          <t>S</t>
        </is>
      </c>
      <c r="N178" s="10" t="inlineStr">
        <is>
          <t>Medium</t>
        </is>
      </c>
      <c r="O178" s="10" t="inlineStr">
        <is>
          <t>#202</t>
        </is>
      </c>
      <c r="P178" s="10" t="inlineStr"/>
      <c r="Q178" s="10" t="inlineStr"/>
      <c r="R178" s="8" t="inlineStr">
        <is>
          <t>Install &amp; update</t>
        </is>
      </c>
      <c r="S178" s="10" t="inlineStr">
        <is>
          <t>No</t>
        </is>
      </c>
      <c r="T178" s="10" t="n"/>
      <c r="U178" s="10" t="n"/>
    </row>
    <row r="179">
      <c r="A179" s="10" t="n">
        <v>178</v>
      </c>
      <c r="B179" s="10" t="inlineStr">
        <is>
          <t>Claude</t>
        </is>
      </c>
      <c r="C179" s="8" t="inlineStr">
        <is>
          <t>Access, RLS, Sessions &amp; Security</t>
        </is>
      </c>
      <c r="D179" s="8" t="inlineStr">
        <is>
          <t>Enforce AccessControlService/RLS on every sensitive path: list, search, report, export and API</t>
        </is>
      </c>
      <c r="E179" s="10" t="inlineStr">
        <is>
          <t>Tech Debt</t>
        </is>
      </c>
      <c r="F179" s="10" t="inlineStr">
        <is>
          <t>Not Started</t>
        </is>
      </c>
      <c r="G179" s="10" t="inlineStr">
        <is>
          <t>P0</t>
        </is>
      </c>
      <c r="H179" s="8" t="inlineStr">
        <is>
          <t>Audit: AccessControlService is promising but legacy role-only checks and module-specific checks still run in parallel. A dynamic engine without central RLS is unsafe; relevance filtering was once missing on tree/conditional endpoints of a comparable platform.</t>
        </is>
      </c>
      <c r="I179" s="8" t="inlineStr">
        <is>
          <t>Inventory the role-based checks and migrate or justify each; put RLS in the query layer for every path; add leak tests for index/details/search/report/export/API.</t>
        </is>
      </c>
      <c r="J179" s="8" t="inlineStr">
        <is>
          <t>Automated tests prove a user without access never sees the record on any path.</t>
        </is>
      </c>
      <c r="K179" s="8" t="n"/>
      <c r="L179" s="10" t="inlineStr">
        <is>
          <t>M1</t>
        </is>
      </c>
      <c r="M179" s="10" t="inlineStr">
        <is>
          <t>XL</t>
        </is>
      </c>
      <c r="N179" s="10" t="inlineStr">
        <is>
          <t>Sales blocker</t>
        </is>
      </c>
      <c r="O179" s="10" t="inlineStr">
        <is>
          <t>#1</t>
        </is>
      </c>
      <c r="P179" s="10" t="inlineStr">
        <is>
          <t>Titan #1 #5 #6</t>
        </is>
      </c>
      <c r="Q179" s="10" t="inlineStr">
        <is>
          <t>OLD-19 OLD-20</t>
        </is>
      </c>
      <c r="R179" s="8" t="inlineStr">
        <is>
          <t>Security &amp; access</t>
        </is>
      </c>
      <c r="S179" s="10" t="inlineStr">
        <is>
          <t>No</t>
        </is>
      </c>
      <c r="T179" s="10" t="n"/>
      <c r="U179" s="10" t="n"/>
    </row>
    <row r="180">
      <c r="A180" s="10" t="n">
        <v>179</v>
      </c>
      <c r="B180" s="10" t="inlineStr">
        <is>
          <t>Claude</t>
        </is>
      </c>
      <c r="C180" s="8" t="inlineStr">
        <is>
          <t>Access, RLS, Sessions &amp; Security</t>
        </is>
      </c>
      <c r="D180" s="8" t="inlineStr">
        <is>
          <t>Decision and evaluation of a .NET policy/authorization library while keeping one server-side policy engine</t>
        </is>
      </c>
      <c r="E180" s="10" t="inlineStr">
        <is>
          <t>Library Modernization</t>
        </is>
      </c>
      <c r="F180" s="10" t="inlineStr">
        <is>
          <t>Not Started</t>
        </is>
      </c>
      <c r="G180" s="10" t="inlineStr">
        <is>
          <t>P1</t>
        </is>
      </c>
      <c r="H180" s="8" t="inlineStr">
        <is>
          <t>Evaluating an off-the-shelf policy library instead of a hand-rolled resolver is recommended. In .NET compare policy-based authorization, OPA and Casbin.NET.</t>
        </is>
      </c>
      <c r="I180" s="8" t="inlineStr">
        <is>
          <t>A comparison plus a proof of concept on RoleAssignment.</t>
        </is>
      </c>
      <c r="J180" s="8" t="inlineStr">
        <is>
          <t>An ADR with the decision and no parallel engine.</t>
        </is>
      </c>
      <c r="K180" s="8" t="n"/>
      <c r="L180" s="10" t="inlineStr">
        <is>
          <t>M4</t>
        </is>
      </c>
      <c r="M180" s="10" t="inlineStr">
        <is>
          <t>M</t>
        </is>
      </c>
      <c r="N180" s="10" t="inlineStr">
        <is>
          <t>Medium</t>
        </is>
      </c>
      <c r="O180" s="10" t="inlineStr">
        <is>
          <t>#6</t>
        </is>
      </c>
      <c r="P180" s="10" t="inlineStr">
        <is>
          <t>Titan #7</t>
        </is>
      </c>
      <c r="Q180" s="10" t="inlineStr">
        <is>
          <t>OLD-87</t>
        </is>
      </c>
      <c r="R180" s="8" t="inlineStr">
        <is>
          <t>Security &amp; access</t>
        </is>
      </c>
      <c r="S180" s="10" t="inlineStr">
        <is>
          <t>No</t>
        </is>
      </c>
      <c r="T180" s="10" t="n"/>
      <c r="U180" s="10" t="n"/>
    </row>
    <row r="181">
      <c r="A181" s="10" t="n">
        <v>180</v>
      </c>
      <c r="B181" s="10" t="inlineStr">
        <is>
          <t>Claude</t>
        </is>
      </c>
      <c r="C181" s="8" t="inlineStr">
        <is>
          <t>Access, RLS, Sessions &amp; Security</t>
        </is>
      </c>
      <c r="D181" s="8" t="inlineStr">
        <is>
          <t>Relevance rule designer (role, group, unit, discipline, project, vendor, ownership, hierarchy)</t>
        </is>
      </c>
      <c r="E181" s="10" t="inlineStr">
        <is>
          <t>Feature</t>
        </is>
      </c>
      <c r="F181" s="10" t="inlineStr">
        <is>
          <t>Not Started</t>
        </is>
      </c>
      <c r="G181" s="10" t="inlineStr">
        <is>
          <t>P1</t>
        </is>
      </c>
      <c r="H181" s="8" t="inlineStr">
        <is>
          <t>A unified authority engine with named rules and row-level relevance is a proven design. PEMS has ScopedRoleAssignment but no designer.</t>
        </is>
      </c>
      <c r="I181" s="8" t="inlineStr">
        <is>
          <t>A rule UI producing policies evaluable in the query.</t>
        </is>
      </c>
      <c r="J181" s="8" t="inlineStr">
        <is>
          <t>An admin defines 'supervisor sees only own unit' with no code.</t>
        </is>
      </c>
      <c r="K181" s="8" t="n"/>
      <c r="L181" s="10" t="inlineStr">
        <is>
          <t>M4</t>
        </is>
      </c>
      <c r="M181" s="10" t="inlineStr">
        <is>
          <t>L</t>
        </is>
      </c>
      <c r="N181" s="10" t="inlineStr">
        <is>
          <t>High</t>
        </is>
      </c>
      <c r="O181" s="10" t="inlineStr">
        <is>
          <t>#178</t>
        </is>
      </c>
      <c r="P181" s="10" t="inlineStr">
        <is>
          <t>Titan #1</t>
        </is>
      </c>
      <c r="Q181" s="10" t="inlineStr">
        <is>
          <t>OLD-21</t>
        </is>
      </c>
      <c r="R181" s="8" t="inlineStr">
        <is>
          <t>Security &amp; access</t>
        </is>
      </c>
      <c r="S181" s="10" t="inlineStr">
        <is>
          <t>No</t>
        </is>
      </c>
      <c r="T181" s="10" t="n"/>
      <c r="U181" s="10" t="n"/>
    </row>
    <row r="182">
      <c r="A182" s="10" t="n">
        <v>181</v>
      </c>
      <c r="B182" s="10" t="inlineStr">
        <is>
          <t>Claude</t>
        </is>
      </c>
      <c r="C182" s="8" t="inlineStr">
        <is>
          <t>Access, RLS, Sessions &amp; Security</t>
        </is>
      </c>
      <c r="D182" s="8" t="inlineStr">
        <is>
          <t>Server-side field-level access policy (hide/mask/read-only)</t>
        </is>
      </c>
      <c r="E182" s="10" t="inlineStr">
        <is>
          <t>Feature</t>
        </is>
      </c>
      <c r="F182" s="10" t="inlineStr">
        <is>
          <t>Not Started</t>
        </is>
      </c>
      <c r="G182" s="10" t="inlineStr">
        <is>
          <t>P0</t>
        </is>
      </c>
      <c r="H182" s="8" t="inlineStr">
        <is>
          <t>Foundation of FRM_COND/FRM_FSEC.</t>
        </is>
      </c>
      <c r="I182" s="8" t="inlineStr">
        <is>
          <t>Apply the hide/mask/read-only policy in the data layer and API serialization (not only the UI).</t>
        </is>
      </c>
      <c r="J182" s="8" t="inlineStr">
        <is>
          <t>A forbidden field is absent from API responses and exports.</t>
        </is>
      </c>
      <c r="K182" s="8" t="inlineStr">
        <is>
          <t>PM 2026-10-18: raised to P0/M2 (conditional forms depend on it).</t>
        </is>
      </c>
      <c r="L182" s="10" t="inlineStr">
        <is>
          <t>M2</t>
        </is>
      </c>
      <c r="M182" s="10" t="inlineStr">
        <is>
          <t>M</t>
        </is>
      </c>
      <c r="N182" s="10" t="inlineStr">
        <is>
          <t>High</t>
        </is>
      </c>
      <c r="O182" s="10" t="inlineStr">
        <is>
          <t>#178</t>
        </is>
      </c>
      <c r="P182" s="10" t="inlineStr"/>
      <c r="Q182" s="10" t="inlineStr">
        <is>
          <t>OLD-12</t>
        </is>
      </c>
      <c r="R182" s="8" t="inlineStr">
        <is>
          <t>Security &amp; access</t>
        </is>
      </c>
      <c r="S182" s="10" t="inlineStr">
        <is>
          <t>Yes</t>
        </is>
      </c>
      <c r="T182" s="10" t="n"/>
      <c r="U182" s="10" t="n"/>
    </row>
    <row r="183">
      <c r="A183" s="10" t="n">
        <v>182</v>
      </c>
      <c r="B183" s="10" t="inlineStr">
        <is>
          <t>Claude</t>
        </is>
      </c>
      <c r="C183" s="8" t="inlineStr">
        <is>
          <t>Access, RLS, Sessions &amp; Security</t>
        </is>
      </c>
      <c r="D183" s="8" t="inlineStr">
        <is>
          <t>Server-side session registry: device list, revoke, concurrency policy, audit</t>
        </is>
      </c>
      <c r="E183" s="10" t="inlineStr">
        <is>
          <t>Feature</t>
        </is>
      </c>
      <c r="F183" s="10" t="inlineStr">
        <is>
          <t>Not Started</t>
        </is>
      </c>
      <c r="G183" s="10" t="inlineStr">
        <is>
          <t>P0</t>
        </is>
      </c>
      <c r="H183" s="8" t="inlineStr">
        <is>
          <t>Audit: behind a comparable platform here (cookie only; no revoke-all). Force-logout-everywhere needs it.</t>
        </is>
      </c>
      <c r="I183" s="8" t="inlineStr">
        <is>
          <t>A session table, idle/absolute timeouts, revocation on password change, user and admin UI.</t>
        </is>
      </c>
      <c r="J183" s="8" t="inlineStr">
        <is>
          <t>An admin terminates a user's session and it takes effect in 10 seconds or less.</t>
        </is>
      </c>
      <c r="K183" s="8" t="n"/>
      <c r="L183" s="10" t="inlineStr">
        <is>
          <t>M1</t>
        </is>
      </c>
      <c r="M183" s="10" t="inlineStr">
        <is>
          <t>L</t>
        </is>
      </c>
      <c r="N183" s="10" t="inlineStr">
        <is>
          <t>High</t>
        </is>
      </c>
      <c r="O183" s="10" t="inlineStr">
        <is>
          <t>#178</t>
        </is>
      </c>
      <c r="P183" s="10" t="inlineStr">
        <is>
          <t>Titan #104 #67</t>
        </is>
      </c>
      <c r="Q183" s="10" t="inlineStr">
        <is>
          <t>OLD-23 OLD-24 OLD-25</t>
        </is>
      </c>
      <c r="R183" s="8" t="inlineStr">
        <is>
          <t>Security &amp; access</t>
        </is>
      </c>
      <c r="S183" s="10" t="inlineStr">
        <is>
          <t>No</t>
        </is>
      </c>
      <c r="T183" s="10" t="n"/>
      <c r="U183" s="10" t="n"/>
    </row>
    <row r="184">
      <c r="A184" s="10" t="n">
        <v>183</v>
      </c>
      <c r="B184" s="10" t="inlineStr">
        <is>
          <t>Claude</t>
        </is>
      </c>
      <c r="C184" s="8" t="inlineStr">
        <is>
          <t>Access, RLS, Sessions &amp; Security</t>
        </is>
      </c>
      <c r="D184" s="8" t="inlineStr">
        <is>
          <t>Harden the upload pipeline: allowlist, size limit, isolation, malware-scan hook, sandboxed preview</t>
        </is>
      </c>
      <c r="E184" s="10" t="inlineStr">
        <is>
          <t>Feature</t>
        </is>
      </c>
      <c r="F184" s="10" t="inlineStr">
        <is>
          <t>Partial</t>
        </is>
      </c>
      <c r="G184" s="10" t="inlineStr">
        <is>
          <t>P0</t>
        </is>
      </c>
      <c r="H184" s="8" t="inlineStr">
        <is>
          <t>An upload-containment middleware exists (audit); the rest is incomplete.</t>
        </is>
      </c>
      <c r="I184" s="8" t="inlineStr">
        <is>
          <t>Allowlist of types/sizes, isolated storage, a malware-scan hook, preview in a sandbox and access tests, building on the current middleware.</t>
        </is>
      </c>
      <c r="J184" s="8" t="inlineStr">
        <is>
          <t>A disallowed or infected file is rejected and the storage path cannot be reached directly without permission.</t>
        </is>
      </c>
      <c r="K184" s="8" t="n"/>
      <c r="L184" s="10" t="inlineStr">
        <is>
          <t>M1</t>
        </is>
      </c>
      <c r="M184" s="10" t="inlineStr">
        <is>
          <t>M</t>
        </is>
      </c>
      <c r="N184" s="10" t="inlineStr">
        <is>
          <t>Sales blocker</t>
        </is>
      </c>
      <c r="O184" s="10" t="inlineStr">
        <is>
          <t>#1</t>
        </is>
      </c>
      <c r="P184" s="10" t="inlineStr"/>
      <c r="Q184" s="10" t="inlineStr">
        <is>
          <t>OLD-31</t>
        </is>
      </c>
      <c r="R184" s="8" t="inlineStr">
        <is>
          <t>Security &amp; access</t>
        </is>
      </c>
      <c r="S184" s="10" t="inlineStr">
        <is>
          <t>No</t>
        </is>
      </c>
      <c r="T184" s="10" t="n"/>
      <c r="U184" s="10" t="n"/>
    </row>
    <row r="185">
      <c r="A185" s="10" t="n">
        <v>184</v>
      </c>
      <c r="B185" s="10" t="inlineStr">
        <is>
          <t>User</t>
        </is>
      </c>
      <c r="C185" s="8" t="inlineStr">
        <is>
          <t>Access, RLS, Sessions &amp; Security</t>
        </is>
      </c>
      <c r="D185" s="8" t="inlineStr">
        <is>
          <t>AFTA/certification applicability matrix, security target document and threat model</t>
        </is>
      </c>
      <c r="E185" s="10" t="inlineStr">
        <is>
          <t>Docs</t>
        </is>
      </c>
      <c r="F185" s="10" t="inlineStr">
        <is>
          <t>Not Started</t>
        </is>
      </c>
      <c r="G185" s="10" t="inlineStr">
        <is>
          <t>P1</t>
        </is>
      </c>
      <c r="H185" s="8" t="inlineStr">
        <is>
          <t>Audit E5: needed to sell to government/strategic industries; the exact reference must be confirmed with a testing lab.</t>
        </is>
      </c>
      <c r="I185" s="8" t="inlineStr">
        <is>
          <t>A four-part matrix (product/company/deployment/procurement); threat model for authentication, approvals, import, AI, upload, search, API and supply chain.</t>
        </is>
      </c>
      <c r="J185" s="8" t="inlineStr">
        <is>
          <t>A document approved by the owner and a security consultant.</t>
        </is>
      </c>
      <c r="K185" s="8" t="n"/>
      <c r="L185" s="10" t="inlineStr">
        <is>
          <t>M4</t>
        </is>
      </c>
      <c r="M185" s="10" t="inlineStr">
        <is>
          <t>L</t>
        </is>
      </c>
      <c r="N185" s="10" t="inlineStr">
        <is>
          <t>High</t>
        </is>
      </c>
      <c r="O185" s="10" t="inlineStr">
        <is>
          <t>#178 #182</t>
        </is>
      </c>
      <c r="P185" s="10" t="inlineStr"/>
      <c r="Q185" s="10" t="inlineStr">
        <is>
          <t>OLD-26 OLD-27 OLD-28</t>
        </is>
      </c>
      <c r="R185" s="8" t="inlineStr">
        <is>
          <t>Security &amp; access</t>
        </is>
      </c>
      <c r="S185" s="10" t="inlineStr">
        <is>
          <t>No</t>
        </is>
      </c>
      <c r="T185" s="10" t="n"/>
      <c r="U185" s="10" t="n"/>
    </row>
    <row r="186">
      <c r="A186" s="10" t="n">
        <v>185</v>
      </c>
      <c r="B186" s="10" t="inlineStr">
        <is>
          <t>Claude</t>
        </is>
      </c>
      <c r="C186" s="8" t="inlineStr">
        <is>
          <t>Access, RLS, Sessions &amp; Security</t>
        </is>
      </c>
      <c r="D186" s="8" t="inlineStr">
        <is>
          <t>Secure SDLC: SAST, dependency scanning, DAST, code review and remediation SLA</t>
        </is>
      </c>
      <c r="E186" s="10" t="inlineStr">
        <is>
          <t>Ops Process</t>
        </is>
      </c>
      <c r="F186" s="10" t="inlineStr">
        <is>
          <t>Not Started</t>
        </is>
      </c>
      <c r="G186" s="10" t="inlineStr">
        <is>
          <t>P1</t>
        </is>
      </c>
      <c r="H186" s="8" t="inlineStr">
        <is>
          <t>Audit E5: a secure SDLC is not documented.</t>
        </is>
      </c>
      <c r="I186" s="8" t="inlineStr">
        <is>
          <t>Add SAST, dependency scan, DAST and review to CI and define a vulnerability-fix SLA.</t>
        </is>
      </c>
      <c r="J186" s="8" t="inlineStr">
        <is>
          <t>A release with an open critical vulnerability is blocked.</t>
        </is>
      </c>
      <c r="K186" s="8" t="n"/>
      <c r="L186" s="10" t="inlineStr">
        <is>
          <t>M4</t>
        </is>
      </c>
      <c r="M186" s="10" t="inlineStr">
        <is>
          <t>M</t>
        </is>
      </c>
      <c r="N186" s="10" t="inlineStr">
        <is>
          <t>High</t>
        </is>
      </c>
      <c r="O186" s="10" t="inlineStr">
        <is>
          <t>#7</t>
        </is>
      </c>
      <c r="P186" s="10" t="inlineStr"/>
      <c r="Q186" s="10" t="inlineStr">
        <is>
          <t>OLD-29 OLD-92</t>
        </is>
      </c>
      <c r="R186" s="8" t="inlineStr">
        <is>
          <t>Security &amp; access</t>
        </is>
      </c>
      <c r="S186" s="10" t="inlineStr">
        <is>
          <t>No</t>
        </is>
      </c>
      <c r="T186" s="10" t="n"/>
      <c r="U186" s="10" t="n"/>
    </row>
    <row r="187">
      <c r="A187" s="10" t="n">
        <v>186</v>
      </c>
      <c r="B187" s="10" t="inlineStr">
        <is>
          <t>Claude</t>
        </is>
      </c>
      <c r="C187" s="8" t="inlineStr">
        <is>
          <t>Access, RLS, Sessions &amp; Security</t>
        </is>
      </c>
      <c r="D187" s="8" t="inlineStr">
        <is>
          <t>Audit retention, legal hold and records procedure</t>
        </is>
      </c>
      <c r="E187" s="10" t="inlineStr">
        <is>
          <t>Feature</t>
        </is>
      </c>
      <c r="F187" s="10" t="inlineStr">
        <is>
          <t>Not Started</t>
        </is>
      </c>
      <c r="G187" s="10" t="inlineStr">
        <is>
          <t>P1</t>
        </is>
      </c>
      <c r="H187" s="8" t="inlineStr">
        <is>
          <t>Audit E5/E17: no audit retention, legal hold or records retention schedule exists.</t>
        </is>
      </c>
      <c r="I187" s="8" t="inlineStr">
        <is>
          <t>Retention policy, a legal hold that blocks deletion/disposition, privileged-access audit and evidence export.</t>
        </is>
      </c>
      <c r="J187" s="8" t="inlineStr">
        <is>
          <t>A record under legal hold cannot be deleted and appears in the evidence.</t>
        </is>
      </c>
      <c r="K187" s="8" t="n"/>
      <c r="L187" s="10" t="inlineStr">
        <is>
          <t>M4</t>
        </is>
      </c>
      <c r="M187" s="10" t="inlineStr">
        <is>
          <t>L</t>
        </is>
      </c>
      <c r="N187" s="10" t="inlineStr">
        <is>
          <t>Medium</t>
        </is>
      </c>
      <c r="O187" s="10" t="inlineStr">
        <is>
          <t>#17</t>
        </is>
      </c>
      <c r="P187" s="10" t="inlineStr"/>
      <c r="Q187" s="10" t="inlineStr">
        <is>
          <t>OLD-30 OLD-71 OLD-72</t>
        </is>
      </c>
      <c r="R187" s="8" t="inlineStr">
        <is>
          <t>Security &amp; access</t>
        </is>
      </c>
      <c r="S187" s="10" t="inlineStr">
        <is>
          <t>No</t>
        </is>
      </c>
      <c r="T187" s="10" t="n"/>
      <c r="U187" s="10" t="n"/>
    </row>
    <row r="188">
      <c r="A188" s="10" t="n">
        <v>187</v>
      </c>
      <c r="B188" s="10" t="inlineStr">
        <is>
          <t>Claude</t>
        </is>
      </c>
      <c r="C188" s="8" t="inlineStr">
        <is>
          <t>Access, RLS, Sessions &amp; Security</t>
        </is>
      </c>
      <c r="D188" s="8" t="inlineStr">
        <is>
          <t>Security libraries: password hashing, TOTP, headers and rate limiting reviewed against best practice</t>
        </is>
      </c>
      <c r="E188" s="10" t="inlineStr">
        <is>
          <t>Library Modernization</t>
        </is>
      </c>
      <c r="F188" s="10" t="inlineStr">
        <is>
          <t>Not Started</t>
        </is>
      </c>
      <c r="G188" s="10" t="inlineStr">
        <is>
          <t>P1</t>
        </is>
      </c>
      <c r="H188" s="8" t="inlineStr">
        <is>
          <t>Evaluate maintained libraries for hashing, TOTP and rate limiting instead of hand-rolled code; PEMS uses ASP.NET Identity and Fido2.</t>
        </is>
      </c>
      <c r="I188" s="8" t="inlineStr">
        <is>
          <t>Review and upgrade to current best practice; mandatory MFA for admin.</t>
        </is>
      </c>
      <c r="J188" s="8" t="inlineStr">
        <is>
          <t>A written review and any needed upgrade are done; MFA is mandatory for admin roles.</t>
        </is>
      </c>
      <c r="K188" s="8" t="n"/>
      <c r="L188" s="10" t="inlineStr">
        <is>
          <t>M4</t>
        </is>
      </c>
      <c r="M188" s="10" t="inlineStr">
        <is>
          <t>M</t>
        </is>
      </c>
      <c r="N188" s="10" t="inlineStr">
        <is>
          <t>High</t>
        </is>
      </c>
      <c r="O188" s="10" t="inlineStr">
        <is>
          <t>#1</t>
        </is>
      </c>
      <c r="P188" s="10" t="inlineStr">
        <is>
          <t>Titan #73 #74 #75</t>
        </is>
      </c>
      <c r="Q188" s="10" t="inlineStr">
        <is>
          <t>OLD-92</t>
        </is>
      </c>
      <c r="R188" s="8" t="inlineStr">
        <is>
          <t>Security &amp; access</t>
        </is>
      </c>
      <c r="S188" s="10" t="inlineStr">
        <is>
          <t>No</t>
        </is>
      </c>
      <c r="T188" s="10" t="n"/>
      <c r="U188" s="10" t="n"/>
    </row>
    <row r="189">
      <c r="A189" s="10" t="n">
        <v>188</v>
      </c>
      <c r="B189" s="10" t="inlineStr">
        <is>
          <t>Claude</t>
        </is>
      </c>
      <c r="C189" s="8" t="inlineStr">
        <is>
          <t>Access, RLS, Sessions &amp; Security</t>
        </is>
      </c>
      <c r="D189" s="8" t="inlineStr">
        <is>
          <t>At-rest encryption for sensitive fields (machine-bound key) and encrypted backups</t>
        </is>
      </c>
      <c r="E189" s="10" t="inlineStr">
        <is>
          <t>Feature</t>
        </is>
      </c>
      <c r="F189" s="10" t="inlineStr">
        <is>
          <t>Not Started</t>
        </is>
      </c>
      <c r="G189" s="10" t="inlineStr">
        <is>
          <t>P2</t>
        </is>
      </c>
      <c r="H189" s="8" t="inlineStr">
        <is>
          <t>AES-256-GCM with a machine key is a proven pattern.</t>
        </is>
      </c>
      <c r="I189" s="8" t="inlineStr">
        <is>
          <t>Opt-in field encryption with AES-GCM and a machine-bound key; backup encryption.</t>
        </is>
      </c>
      <c r="J189" s="8" t="inlineStr">
        <is>
          <t>Field content in the DB and backup is encrypted and unreadable on another machine.</t>
        </is>
      </c>
      <c r="K189" s="8" t="n"/>
      <c r="L189" s="10" t="inlineStr">
        <is>
          <t>M5</t>
        </is>
      </c>
      <c r="M189" s="10" t="inlineStr">
        <is>
          <t>M</t>
        </is>
      </c>
      <c r="N189" s="10" t="inlineStr">
        <is>
          <t>Medium</t>
        </is>
      </c>
      <c r="O189" s="10" t="inlineStr">
        <is>
          <t>#99</t>
        </is>
      </c>
      <c r="P189" s="10" t="inlineStr">
        <is>
          <t>Titan #64</t>
        </is>
      </c>
      <c r="Q189" s="10" t="inlineStr"/>
      <c r="R189" s="8" t="inlineStr">
        <is>
          <t>Security &amp; access</t>
        </is>
      </c>
      <c r="S189" s="10" t="inlineStr">
        <is>
          <t>No</t>
        </is>
      </c>
      <c r="T189" s="10" t="n"/>
      <c r="U189" s="10" t="n"/>
    </row>
    <row r="190">
      <c r="A190" s="10" t="n">
        <v>189</v>
      </c>
      <c r="B190" s="10" t="inlineStr">
        <is>
          <t>Claude</t>
        </is>
      </c>
      <c r="C190" s="8" t="inlineStr">
        <is>
          <t>Access, RLS, Sessions &amp; Security</t>
        </is>
      </c>
      <c r="D190" s="8" t="inlineStr">
        <is>
          <t>Data classification labels and DLP hooks (RLS, masking, export, AI redaction)</t>
        </is>
      </c>
      <c r="E190" s="10" t="inlineStr">
        <is>
          <t>Feature</t>
        </is>
      </c>
      <c r="F190" s="10" t="inlineStr">
        <is>
          <t>Not Started</t>
        </is>
      </c>
      <c r="G190" s="10" t="inlineStr">
        <is>
          <t>P2</t>
        </is>
      </c>
      <c r="H190" s="8" t="inlineStr">
        <is>
          <t>Audit E19: no data classification labels exist.</t>
        </is>
      </c>
      <c r="I190" s="8" t="inlineStr">
        <is>
          <t>Classification labels on entity/field linked to RLS, masking, export rules and AI redaction.</t>
        </is>
      </c>
      <c r="J190" s="8" t="inlineStr">
        <is>
          <t>'Confidential' data cannot be exported without permission and does not reach AI.</t>
        </is>
      </c>
      <c r="K190" s="8" t="n"/>
      <c r="L190" s="10" t="inlineStr">
        <is>
          <t>M5</t>
        </is>
      </c>
      <c r="M190" s="10" t="inlineStr">
        <is>
          <t>M</t>
        </is>
      </c>
      <c r="N190" s="10" t="inlineStr">
        <is>
          <t>Medium</t>
        </is>
      </c>
      <c r="O190" s="10" t="inlineStr">
        <is>
          <t>#181</t>
        </is>
      </c>
      <c r="P190" s="10" t="inlineStr"/>
      <c r="Q190" s="10" t="inlineStr">
        <is>
          <t>OLD-84</t>
        </is>
      </c>
      <c r="R190" s="8" t="inlineStr">
        <is>
          <t>Security &amp; access</t>
        </is>
      </c>
      <c r="S190" s="10" t="inlineStr">
        <is>
          <t>No</t>
        </is>
      </c>
      <c r="T190" s="10" t="n"/>
      <c r="U190" s="10" t="n"/>
    </row>
    <row r="191">
      <c r="A191" s="10" t="n">
        <v>190</v>
      </c>
      <c r="B191" s="10" t="inlineStr">
        <is>
          <t>Claude</t>
        </is>
      </c>
      <c r="C191" s="8" t="inlineStr">
        <is>
          <t>Access, RLS, Sessions &amp; Security</t>
        </is>
      </c>
      <c r="D191" s="8" t="inlineStr">
        <is>
          <t>SSO (OIDC/SAML), claim-to-role mapping and emergency admin login</t>
        </is>
      </c>
      <c r="E191" s="10" t="inlineStr">
        <is>
          <t>Feature</t>
        </is>
      </c>
      <c r="F191" s="10" t="inlineStr">
        <is>
          <t>Not Started</t>
        </is>
      </c>
      <c r="G191" s="10" t="inlineStr">
        <is>
          <t>P1</t>
        </is>
      </c>
      <c r="H191" s="8" t="inlineStr">
        <is>
          <t>Needed by large organizations.</t>
        </is>
      </c>
      <c r="I191" s="8" t="inlineStr">
        <is>
          <t>OIDC/SAML with claim-to-role mapping, logout behavior, a local emergency admin account and audit.</t>
        </is>
      </c>
      <c r="J191" s="8" t="inlineStr">
        <is>
          <t>Login via an enterprise IdP with role mapping is tested and audited.</t>
        </is>
      </c>
      <c r="K191" s="8" t="n"/>
      <c r="L191" s="10" t="inlineStr">
        <is>
          <t>M4</t>
        </is>
      </c>
      <c r="M191" s="10" t="inlineStr">
        <is>
          <t>L</t>
        </is>
      </c>
      <c r="N191" s="10" t="inlineStr">
        <is>
          <t>High</t>
        </is>
      </c>
      <c r="O191" s="10" t="inlineStr">
        <is>
          <t>#182</t>
        </is>
      </c>
      <c r="P191" s="10" t="inlineStr"/>
      <c r="Q191" s="10" t="inlineStr">
        <is>
          <t>OLD-78</t>
        </is>
      </c>
      <c r="R191" s="8" t="inlineStr">
        <is>
          <t>Security &amp; access</t>
        </is>
      </c>
      <c r="S191" s="10" t="inlineStr">
        <is>
          <t>No</t>
        </is>
      </c>
      <c r="T191" s="10" t="n"/>
      <c r="U191" s="10" t="n"/>
    </row>
    <row r="192">
      <c r="A192" s="10" t="n">
        <v>191</v>
      </c>
      <c r="B192" s="10" t="inlineStr">
        <is>
          <t>Claude</t>
        </is>
      </c>
      <c r="C192" s="8" t="inlineStr">
        <is>
          <t>Access, RLS, Sessions &amp; Security</t>
        </is>
      </c>
      <c r="D192" s="8" t="inlineStr">
        <is>
          <t>LDAP/AD/SCIM user sync with dry-run and error report</t>
        </is>
      </c>
      <c r="E192" s="10" t="inlineStr">
        <is>
          <t>Feature</t>
        </is>
      </c>
      <c r="F192" s="10" t="inlineStr">
        <is>
          <t>Not Started</t>
        </is>
      </c>
      <c r="G192" s="10" t="inlineStr">
        <is>
          <t>P2</t>
        </is>
      </c>
      <c r="H192" s="8" t="inlineStr">
        <is>
          <t>Audit E19: no automatic user provisioning/deactivation from a directory.</t>
        </is>
      </c>
      <c r="I192" s="8" t="inlineStr">
        <is>
          <t>LDAP/AD/SCIM with dry-run, group-to-role mapping, error report and audit.</t>
        </is>
      </c>
      <c r="J192" s="8" t="inlineStr">
        <is>
          <t>A trial sync reports without changing anything and a real run is audited.</t>
        </is>
      </c>
      <c r="K192" s="8" t="n"/>
      <c r="L192" s="10" t="inlineStr">
        <is>
          <t>M5</t>
        </is>
      </c>
      <c r="M192" s="10" t="inlineStr">
        <is>
          <t>L</t>
        </is>
      </c>
      <c r="N192" s="10" t="inlineStr">
        <is>
          <t>Medium</t>
        </is>
      </c>
      <c r="O192" s="10" t="inlineStr">
        <is>
          <t>#190</t>
        </is>
      </c>
      <c r="P192" s="10" t="inlineStr"/>
      <c r="Q192" s="10" t="inlineStr">
        <is>
          <t>OLD-79</t>
        </is>
      </c>
      <c r="R192" s="8" t="inlineStr">
        <is>
          <t>Security &amp; access</t>
        </is>
      </c>
      <c r="S192" s="10" t="inlineStr">
        <is>
          <t>No</t>
        </is>
      </c>
      <c r="T192" s="10" t="n"/>
      <c r="U192" s="10" t="n"/>
    </row>
    <row r="193">
      <c r="A193" s="10" t="n">
        <v>192</v>
      </c>
      <c r="B193" s="10" t="inlineStr">
        <is>
          <t>Claude</t>
        </is>
      </c>
      <c r="C193" s="8" t="inlineStr">
        <is>
          <t>Access, RLS, Sessions &amp; Security</t>
        </is>
      </c>
      <c r="D193" s="8" t="inlineStr">
        <is>
          <t>Periodic access review (campaign, decision, revocation, evidence)</t>
        </is>
      </c>
      <c r="E193" s="10" t="inlineStr">
        <is>
          <t>Feature</t>
        </is>
      </c>
      <c r="F193" s="10" t="inlineStr">
        <is>
          <t>Not Started</t>
        </is>
      </c>
      <c r="G193" s="10" t="inlineStr">
        <is>
          <t>P2</t>
        </is>
      </c>
      <c r="H193" s="8" t="inlineStr">
        <is>
          <t>Audit E19: no periodic access review exists.</t>
        </is>
      </c>
      <c r="I193" s="8" t="inlineStr">
        <is>
          <t>A review campaign with owner, deadline, decision, exception, revocation and evidence export.</t>
        </is>
      </c>
      <c r="J193" s="8" t="inlineStr">
        <is>
          <t>A sample campaign completes and its evidence can be downloaded.</t>
        </is>
      </c>
      <c r="K193" s="8" t="n"/>
      <c r="L193" s="10" t="inlineStr">
        <is>
          <t>M5</t>
        </is>
      </c>
      <c r="M193" s="10" t="inlineStr">
        <is>
          <t>M</t>
        </is>
      </c>
      <c r="N193" s="10" t="inlineStr">
        <is>
          <t>Medium</t>
        </is>
      </c>
      <c r="O193" s="10" t="inlineStr">
        <is>
          <t>#178</t>
        </is>
      </c>
      <c r="P193" s="10" t="inlineStr"/>
      <c r="Q193" s="10" t="inlineStr">
        <is>
          <t>OLD-80</t>
        </is>
      </c>
      <c r="R193" s="8" t="inlineStr">
        <is>
          <t>Security &amp; access</t>
        </is>
      </c>
      <c r="S193" s="10" t="inlineStr">
        <is>
          <t>No</t>
        </is>
      </c>
      <c r="T193" s="10" t="n"/>
      <c r="U193" s="10" t="n"/>
    </row>
    <row r="194">
      <c r="A194" s="10" t="n">
        <v>193</v>
      </c>
      <c r="B194" s="10" t="inlineStr">
        <is>
          <t>Claude</t>
        </is>
      </c>
      <c r="C194" s="8" t="inlineStr">
        <is>
          <t>Access, RLS, Sessions &amp; Security</t>
        </is>
      </c>
      <c r="D194" s="8" t="inlineStr">
        <is>
          <t>Send security events to SIEM/SOC</t>
        </is>
      </c>
      <c r="E194" s="10" t="inlineStr">
        <is>
          <t>Feature</t>
        </is>
      </c>
      <c r="F194" s="10" t="inlineStr">
        <is>
          <t>Not Started</t>
        </is>
      </c>
      <c r="G194" s="10" t="inlineStr">
        <is>
          <t>P3</t>
        </is>
      </c>
      <c r="H194" s="8" t="inlineStr">
        <is>
          <t>Audit E19: no security event export to a SIEM exists.</t>
        </is>
      </c>
      <c r="I194" s="8" t="inlineStr">
        <is>
          <t>An event schema (login, authorization, session, admin, workflow, file) and delivery with retry (syslog/file).</t>
        </is>
      </c>
      <c r="J194" s="8" t="inlineStr">
        <is>
          <t>Events are exported with a defined schema and retry.</t>
        </is>
      </c>
      <c r="K194" s="8" t="n"/>
      <c r="L194" s="10" t="inlineStr">
        <is>
          <t>M6</t>
        </is>
      </c>
      <c r="M194" s="10" t="inlineStr">
        <is>
          <t>M</t>
        </is>
      </c>
      <c r="N194" s="10" t="inlineStr">
        <is>
          <t>Low</t>
        </is>
      </c>
      <c r="O194" s="10" t="inlineStr">
        <is>
          <t>#182</t>
        </is>
      </c>
      <c r="P194" s="10" t="inlineStr"/>
      <c r="Q194" s="10" t="inlineStr">
        <is>
          <t>OLD-82</t>
        </is>
      </c>
      <c r="R194" s="8" t="inlineStr">
        <is>
          <t>Security &amp; access</t>
        </is>
      </c>
      <c r="S194" s="10" t="inlineStr">
        <is>
          <t>No</t>
        </is>
      </c>
      <c r="T194" s="10" t="n"/>
      <c r="U194" s="10" t="n"/>
    </row>
    <row r="195">
      <c r="A195" s="10" t="n">
        <v>194</v>
      </c>
      <c r="B195" s="10" t="inlineStr">
        <is>
          <t>Claude</t>
        </is>
      </c>
      <c r="C195" s="8" t="inlineStr">
        <is>
          <t>Integration, Events &amp; API</t>
        </is>
      </c>
      <c r="D195" s="8" t="inlineStr">
        <is>
          <t>Event bus: idempotency, retries, dead-letter, module subscriptions</t>
        </is>
      </c>
      <c r="E195" s="10" t="inlineStr">
        <is>
          <t>Feature</t>
        </is>
      </c>
      <c r="F195" s="10" t="inlineStr">
        <is>
          <t>Not Started</t>
        </is>
      </c>
      <c r="G195" s="10" t="inlineStr">
        <is>
          <t>P1</t>
        </is>
      </c>
      <c r="H195" s="8" t="inlineStr">
        <is>
          <t>Audit E6.</t>
        </is>
      </c>
      <c r="I195" s="8" t="inlineStr">
        <is>
          <t>An in-process/persistent event bus with idempotency, retry, dead-letter and module subscription; used by workflow and notifications.</t>
        </is>
      </c>
      <c r="J195" s="8" t="inlineStr">
        <is>
          <t>A failed event is retried without loss and ends up in the dead-letter queue.</t>
        </is>
      </c>
      <c r="K195" s="8" t="n"/>
      <c r="L195" s="10" t="inlineStr">
        <is>
          <t>M4</t>
        </is>
      </c>
      <c r="M195" s="10" t="inlineStr">
        <is>
          <t>L</t>
        </is>
      </c>
      <c r="N195" s="10" t="inlineStr">
        <is>
          <t>High</t>
        </is>
      </c>
      <c r="O195" s="10" t="inlineStr">
        <is>
          <t>#10</t>
        </is>
      </c>
      <c r="P195" s="10" t="inlineStr"/>
      <c r="Q195" s="10" t="inlineStr">
        <is>
          <t>OLD-33</t>
        </is>
      </c>
      <c r="R195" s="8" t="inlineStr">
        <is>
          <t>Integration &amp; API</t>
        </is>
      </c>
      <c r="S195" s="10" t="inlineStr">
        <is>
          <t>No</t>
        </is>
      </c>
      <c r="T195" s="10" t="n"/>
      <c r="U195" s="10" t="n"/>
    </row>
    <row r="196">
      <c r="A196" s="10" t="n">
        <v>195</v>
      </c>
      <c r="B196" s="10" t="inlineStr">
        <is>
          <t>Claude</t>
        </is>
      </c>
      <c r="C196" s="8" t="inlineStr">
        <is>
          <t>Integration, Events &amp; API</t>
        </is>
      </c>
      <c r="D196" s="8" t="inlineStr">
        <is>
          <t>Governed API and webhooks: versioning, authentication, rate limit, event signing, documentation</t>
        </is>
      </c>
      <c r="E196" s="10" t="inlineStr">
        <is>
          <t>Feature</t>
        </is>
      </c>
      <c r="F196" s="10" t="inlineStr">
        <is>
          <t>Not Started</t>
        </is>
      </c>
      <c r="G196" s="10" t="inlineStr">
        <is>
          <t>P0</t>
        </is>
      </c>
      <c r="H196" s="8" t="inlineStr">
        <is>
          <t>Every enterprise customer asks for an API; W_SVC also depends on it.</t>
        </is>
      </c>
      <c r="I196" s="8" t="inlineStr">
        <is>
          <t>A versioned API with token/OAuth, rate limit, signed webhooks, auto-generated OpenAPI docs and audit.</t>
        </is>
      </c>
      <c r="J196" s="8" t="inlineStr">
        <is>
          <t>A customer can read/write dynamic records and receive webhooks using the documentation. Scope: external governance (keys/tokens, rate limit, signing, documentation, monitoring) on top of the internal standard (#431) and skeleton (#435); it does not redefine the API style.</t>
        </is>
      </c>
      <c r="K196" s="8" t="n"/>
      <c r="L196" s="10" t="inlineStr">
        <is>
          <t>M2</t>
        </is>
      </c>
      <c r="M196" s="10" t="inlineStr">
        <is>
          <t>L</t>
        </is>
      </c>
      <c r="N196" s="10" t="inlineStr">
        <is>
          <t>Sales blocker</t>
        </is>
      </c>
      <c r="O196" s="10" t="inlineStr">
        <is>
          <t>#12 #431 #435</t>
        </is>
      </c>
      <c r="P196" s="10" t="inlineStr"/>
      <c r="Q196" s="10" t="inlineStr">
        <is>
          <t>OLD-76</t>
        </is>
      </c>
      <c r="R196" s="8" t="inlineStr">
        <is>
          <t>Integration &amp; API</t>
        </is>
      </c>
      <c r="S196" s="10" t="inlineStr">
        <is>
          <t>No</t>
        </is>
      </c>
      <c r="T196" s="10" t="n"/>
      <c r="U196" s="10" t="n"/>
    </row>
    <row r="197">
      <c r="A197" s="10" t="n">
        <v>196</v>
      </c>
      <c r="B197" s="10" t="inlineStr">
        <is>
          <t>Claude</t>
        </is>
      </c>
      <c r="C197" s="8" t="inlineStr">
        <is>
          <t>Integration, Events &amp; API</t>
        </is>
      </c>
      <c r="D197" s="8" t="inlineStr">
        <is>
          <t>Connector registry and integration monitoring: owner, credentials, schedule, errors</t>
        </is>
      </c>
      <c r="E197" s="10" t="inlineStr">
        <is>
          <t>Feature</t>
        </is>
      </c>
      <c r="F197" s="10" t="inlineStr">
        <is>
          <t>Not Started</t>
        </is>
      </c>
      <c r="G197" s="10" t="inlineStr">
        <is>
          <t>P2</t>
        </is>
      </c>
      <c r="H197" s="8" t="inlineStr">
        <is>
          <t>External API/database/Excel connectors with per-connector authorities are a known need.</t>
        </is>
      </c>
      <c r="I197" s="8" t="inlineStr">
        <is>
          <t>A connector registry with owner, encrypted credentials, schedule, errors and last successful sync.</t>
        </is>
      </c>
      <c r="J197" s="8" t="inlineStr">
        <is>
          <t>A connection failure alerts and retries in a controlled way.</t>
        </is>
      </c>
      <c r="K197" s="8" t="n"/>
      <c r="L197" s="10" t="inlineStr">
        <is>
          <t>M5</t>
        </is>
      </c>
      <c r="M197" s="10" t="inlineStr">
        <is>
          <t>L</t>
        </is>
      </c>
      <c r="N197" s="10" t="inlineStr">
        <is>
          <t>Medium</t>
        </is>
      </c>
      <c r="O197" s="10" t="inlineStr">
        <is>
          <t>#195</t>
        </is>
      </c>
      <c r="P197" s="10" t="inlineStr">
        <is>
          <t>Titan #8 #116</t>
        </is>
      </c>
      <c r="Q197" s="10" t="inlineStr">
        <is>
          <t>OLD-77</t>
        </is>
      </c>
      <c r="R197" s="8" t="inlineStr">
        <is>
          <t>Integration &amp; API</t>
        </is>
      </c>
      <c r="S197" s="10" t="inlineStr">
        <is>
          <t>No</t>
        </is>
      </c>
      <c r="T197" s="10" t="n"/>
      <c r="U197" s="10" t="n"/>
    </row>
    <row r="198">
      <c r="A198" s="10" t="n">
        <v>197</v>
      </c>
      <c r="B198" s="10" t="inlineStr">
        <is>
          <t>Claude</t>
        </is>
      </c>
      <c r="C198" s="8" t="inlineStr">
        <is>
          <t>Integration, Events &amp; API</t>
        </is>
      </c>
      <c r="D198" s="8" t="inlineStr">
        <is>
          <t>Module integration/disintegration wizard with impact preview and rollback plan</t>
        </is>
      </c>
      <c r="E198" s="10" t="inlineStr">
        <is>
          <t>Feature</t>
        </is>
      </c>
      <c r="F198" s="10" t="inlineStr">
        <is>
          <t>Not Started</t>
        </is>
      </c>
      <c r="G198" s="10" t="inlineStr">
        <is>
          <t>P2</t>
        </is>
      </c>
      <c r="H198" s="8" t="inlineStr">
        <is>
          <t>Audit E6: integrating or splitting modules is done without an impact preview.</t>
        </is>
      </c>
      <c r="I198" s="8" t="inlineStr">
        <is>
          <t>A wizard with impact preview, read-only historical links and a rollback plan.</t>
        </is>
      </c>
      <c r="J198" s="8" t="inlineStr">
        <is>
          <t>Detaching a module loses no data.</t>
        </is>
      </c>
      <c r="K198" s="8" t="n"/>
      <c r="L198" s="10" t="inlineStr">
        <is>
          <t>M5</t>
        </is>
      </c>
      <c r="M198" s="10" t="inlineStr">
        <is>
          <t>M</t>
        </is>
      </c>
      <c r="N198" s="10" t="inlineStr">
        <is>
          <t>Medium</t>
        </is>
      </c>
      <c r="O198" s="10" t="inlineStr">
        <is>
          <t>#62</t>
        </is>
      </c>
      <c r="P198" s="10" t="inlineStr"/>
      <c r="Q198" s="10" t="inlineStr">
        <is>
          <t>OLD-35</t>
        </is>
      </c>
      <c r="R198" s="8" t="inlineStr">
        <is>
          <t>Integration &amp; API</t>
        </is>
      </c>
      <c r="S198" s="10" t="inlineStr">
        <is>
          <t>No</t>
        </is>
      </c>
      <c r="T198" s="10" t="n"/>
      <c r="U198" s="10" t="n"/>
    </row>
    <row r="199">
      <c r="A199" s="10" t="n">
        <v>198</v>
      </c>
      <c r="B199" s="10" t="inlineStr">
        <is>
          <t>Claude</t>
        </is>
      </c>
      <c r="C199" s="8" t="inlineStr">
        <is>
          <t>Integration, Events &amp; API</t>
        </is>
      </c>
      <c r="D199" s="8" t="inlineStr">
        <is>
          <t>Shared master data across CMMS, procurement, finance and projects</t>
        </is>
      </c>
      <c r="E199" s="10" t="inlineStr">
        <is>
          <t>Feature</t>
        </is>
      </c>
      <c r="F199" s="10" t="inlineStr">
        <is>
          <t>Not Started</t>
        </is>
      </c>
      <c r="G199" s="10" t="inlineStr">
        <is>
          <t>P1</t>
        </is>
      </c>
      <c r="H199" s="8" t="inlineStr">
        <is>
          <t>Audit E24: reference data (equipment, vendor, cost code) is not unified across modules.</t>
        </is>
      </c>
      <c r="I199" s="8" t="inlineStr">
        <is>
          <t>Define shared reference entities and use them in CMMS, procurement, finance and projects.</t>
        </is>
      </c>
      <c r="J199" s="8" t="inlineStr">
        <is>
          <t>Renaming a vendor shows the same everywhere.</t>
        </is>
      </c>
      <c r="K199" s="8" t="n"/>
      <c r="L199" s="10" t="inlineStr">
        <is>
          <t>M4</t>
        </is>
      </c>
      <c r="M199" s="10" t="inlineStr">
        <is>
          <t>L</t>
        </is>
      </c>
      <c r="N199" s="10" t="inlineStr">
        <is>
          <t>High</t>
        </is>
      </c>
      <c r="O199" s="10" t="inlineStr">
        <is>
          <t>#22</t>
        </is>
      </c>
      <c r="P199" s="10" t="inlineStr"/>
      <c r="Q199" s="10" t="inlineStr">
        <is>
          <t>OLD-111 OLD-112</t>
        </is>
      </c>
      <c r="R199" s="8" t="inlineStr">
        <is>
          <t>Integration &amp; API</t>
        </is>
      </c>
      <c r="S199" s="10" t="inlineStr">
        <is>
          <t>No</t>
        </is>
      </c>
      <c r="T199" s="10" t="n"/>
      <c r="U199" s="10" t="n"/>
    </row>
    <row r="200">
      <c r="A200" s="10" t="n">
        <v>199</v>
      </c>
      <c r="B200" s="10" t="inlineStr">
        <is>
          <t>Claude</t>
        </is>
      </c>
      <c r="C200" s="8" t="inlineStr">
        <is>
          <t>Quality, Testing &amp; Performance</t>
        </is>
      </c>
      <c r="D200" s="8" t="inlineStr">
        <is>
          <t>Complete route inventory: every controller/action to test to permission to UAT case</t>
        </is>
      </c>
      <c r="E200" s="10" t="inlineStr">
        <is>
          <t>Tech Debt</t>
        </is>
      </c>
      <c r="F200" s="10" t="inlineStr">
        <is>
          <t>Not Started</t>
        </is>
      </c>
      <c r="G200" s="10" t="inlineStr">
        <is>
          <t>P0</t>
        </is>
      </c>
      <c r="H200" s="8" t="inlineStr">
        <is>
          <t>98 controllers and 167 test files.</t>
        </is>
      </c>
      <c r="I200" s="8" t="inlineStr">
        <is>
          <t>A script to extract all controller/action routes and map them to tests, permissions and UAT cases; open a row for each gap.</t>
        </is>
      </c>
      <c r="J200" s="8" t="inlineStr">
        <is>
          <t>A complete coverage table; any controller without menu/test/permission is reported.</t>
        </is>
      </c>
      <c r="K200" s="8" t="n"/>
      <c r="L200" s="10" t="inlineStr">
        <is>
          <t>M0</t>
        </is>
      </c>
      <c r="M200" s="10" t="inlineStr">
        <is>
          <t>M</t>
        </is>
      </c>
      <c r="N200" s="10" t="inlineStr">
        <is>
          <t>High</t>
        </is>
      </c>
      <c r="O200" s="10" t="inlineStr">
        <is>
          <t>#1</t>
        </is>
      </c>
      <c r="P200" s="10" t="inlineStr"/>
      <c r="Q200" s="10" t="inlineStr">
        <is>
          <t>OLD-47</t>
        </is>
      </c>
      <c r="R200" s="8" t="inlineStr">
        <is>
          <t>Quality &amp; performance</t>
        </is>
      </c>
      <c r="S200" s="10" t="inlineStr">
        <is>
          <t>No</t>
        </is>
      </c>
      <c r="T200" s="10" t="n"/>
      <c r="U200" s="10" t="n"/>
    </row>
    <row r="201">
      <c r="A201" s="10" t="n">
        <v>200</v>
      </c>
      <c r="B201" s="10" t="inlineStr">
        <is>
          <t>Claude</t>
        </is>
      </c>
      <c r="C201" s="8" t="inlineStr">
        <is>
          <t>Quality, Testing &amp; Performance</t>
        </is>
      </c>
      <c r="D201" s="8" t="inlineStr">
        <is>
          <t>UAT scripts per epic and role (role-based E2E)</t>
        </is>
      </c>
      <c r="E201" s="10" t="inlineStr">
        <is>
          <t>Tech Debt</t>
        </is>
      </c>
      <c r="F201" s="10" t="inlineStr">
        <is>
          <t>Not Started</t>
        </is>
      </c>
      <c r="G201" s="10" t="inlineStr">
        <is>
          <t>P0</t>
        </is>
      </c>
      <c r="H201" s="8" t="inlineStr">
        <is>
          <t>A role-based E2E testing framework document exists in .claude/Role.</t>
        </is>
      </c>
      <c r="I201" s="8" t="inlineStr">
        <is>
          <t>An E2E scenario per main role across EDMS, VDR, CMMS, PTW, inventory, AI, import, search, administration and reporting (Playwright).</t>
        </is>
      </c>
      <c r="J201" s="8" t="inlineStr">
        <is>
          <t>The suite runs in CI and produces a per-role report.</t>
        </is>
      </c>
      <c r="K201" s="8" t="n"/>
      <c r="L201" s="10" t="inlineStr">
        <is>
          <t>M2</t>
        </is>
      </c>
      <c r="M201" s="10" t="inlineStr">
        <is>
          <t>L</t>
        </is>
      </c>
      <c r="N201" s="10" t="inlineStr">
        <is>
          <t>High</t>
        </is>
      </c>
      <c r="O201" s="10" t="inlineStr">
        <is>
          <t>#199</t>
        </is>
      </c>
      <c r="P201" s="10" t="inlineStr">
        <is>
          <t>Titan #117</t>
        </is>
      </c>
      <c r="Q201" s="10" t="inlineStr">
        <is>
          <t>OLD-48</t>
        </is>
      </c>
      <c r="R201" s="8" t="inlineStr">
        <is>
          <t>Quality &amp; performance</t>
        </is>
      </c>
      <c r="S201" s="10" t="inlineStr">
        <is>
          <t>No</t>
        </is>
      </c>
      <c r="T201" s="10" t="n"/>
      <c r="U201" s="10" t="n"/>
    </row>
    <row r="202">
      <c r="A202" s="10" t="n">
        <v>201</v>
      </c>
      <c r="B202" s="10" t="inlineStr">
        <is>
          <t>Claude</t>
        </is>
      </c>
      <c r="C202" s="8" t="inlineStr">
        <is>
          <t>Quality, Testing &amp; Performance</t>
        </is>
      </c>
      <c r="D202" s="8" t="inlineStr">
        <is>
          <t>Release quality gate: build, tests, migration, seed, security, smoke, UAT, performance, rollback</t>
        </is>
      </c>
      <c r="E202" s="10" t="inlineStr">
        <is>
          <t>Ops Process</t>
        </is>
      </c>
      <c r="F202" s="10" t="inlineStr">
        <is>
          <t>Hold</t>
        </is>
      </c>
      <c r="G202" s="10" t="inlineStr">
        <is>
          <t>P1</t>
        </is>
      </c>
      <c r="H202" s="8" t="inlineStr">
        <is>
          <t>Audit E10: no release quality gate exists.</t>
        </is>
      </c>
      <c r="I202" s="8" t="inlineStr">
        <is>
          <t>A combined gate of build, tests, migration, seed, security, smoke, UAT, performance and rollback.</t>
        </is>
      </c>
      <c r="J202" s="8" t="inlineStr">
        <is>
          <t>A release cannot ship without passing every stage.</t>
        </is>
      </c>
      <c r="K202" s="8" t="inlineStr">
        <is>
          <t>ON HOLD per PM 2026-10-18 (option chosen: move to M3, hold for now).</t>
        </is>
      </c>
      <c r="L202" s="10" t="inlineStr">
        <is>
          <t>M3</t>
        </is>
      </c>
      <c r="M202" s="10" t="inlineStr">
        <is>
          <t>M</t>
        </is>
      </c>
      <c r="N202" s="10" t="inlineStr">
        <is>
          <t>High</t>
        </is>
      </c>
      <c r="O202" s="10" t="inlineStr">
        <is>
          <t>#7 #200</t>
        </is>
      </c>
      <c r="P202" s="10" t="inlineStr"/>
      <c r="Q202" s="10" t="inlineStr">
        <is>
          <t>OLD-49</t>
        </is>
      </c>
      <c r="R202" s="8" t="inlineStr">
        <is>
          <t>Quality &amp; performance</t>
        </is>
      </c>
      <c r="S202" s="10" t="inlineStr">
        <is>
          <t>Yes</t>
        </is>
      </c>
      <c r="T202" s="10" t="n"/>
      <c r="U202" s="10" t="n"/>
    </row>
    <row r="203">
      <c r="A203" s="10" t="n">
        <v>202</v>
      </c>
      <c r="B203" s="10" t="inlineStr">
        <is>
          <t>Claude</t>
        </is>
      </c>
      <c r="C203" s="8" t="inlineStr">
        <is>
          <t>Quality, Testing &amp; Performance</t>
        </is>
      </c>
      <c r="D203" s="8" t="inlineStr">
        <is>
          <t>Performance test suite (k6): baseline, load, stress, search, upload, AI, CMMS, soak</t>
        </is>
      </c>
      <c r="E203" s="10" t="inlineStr">
        <is>
          <t>Tech Debt</t>
        </is>
      </c>
      <c r="F203" s="10" t="inlineStr">
        <is>
          <t>Not Started</t>
        </is>
      </c>
      <c r="G203" s="10" t="inlineStr">
        <is>
          <t>P0</t>
        </is>
      </c>
      <c r="H203" s="8" t="inlineStr">
        <is>
          <t>Slowness with large data regressed twice on a comparable platform.</t>
        </is>
      </c>
      <c r="I203" s="8" t="inlineStr">
        <is>
          <t>k6 scenarios for baseline load, stress, search, upload, AI, CMMS and soak; a performance budget per endpoint.</t>
        </is>
      </c>
      <c r="J203" s="8" t="inlineStr">
        <is>
          <t>A report with allowed limits, repeated automatically on each release.</t>
        </is>
      </c>
      <c r="K203" s="8" t="n"/>
      <c r="L203" s="10" t="inlineStr">
        <is>
          <t>M1</t>
        </is>
      </c>
      <c r="M203" s="10" t="inlineStr">
        <is>
          <t>M</t>
        </is>
      </c>
      <c r="N203" s="10" t="inlineStr">
        <is>
          <t>High</t>
        </is>
      </c>
      <c r="O203" s="10" t="inlineStr">
        <is>
          <t>#12</t>
        </is>
      </c>
      <c r="P203" s="10" t="inlineStr">
        <is>
          <t>Titan #49 #136</t>
        </is>
      </c>
      <c r="Q203" s="10" t="inlineStr">
        <is>
          <t>OLD-50</t>
        </is>
      </c>
      <c r="R203" s="8" t="inlineStr">
        <is>
          <t>Quality &amp; performance</t>
        </is>
      </c>
      <c r="S203" s="10" t="inlineStr">
        <is>
          <t>No</t>
        </is>
      </c>
      <c r="T203" s="10" t="n"/>
      <c r="U203" s="10" t="n"/>
    </row>
    <row r="204">
      <c r="A204" s="10" t="n">
        <v>203</v>
      </c>
      <c r="B204" s="10" t="inlineStr">
        <is>
          <t>Claude</t>
        </is>
      </c>
      <c r="C204" s="8" t="inlineStr">
        <is>
          <t>Quality, Testing &amp; Performance</t>
        </is>
      </c>
      <c r="D204" s="8" t="inlineStr">
        <is>
          <t>Regression tests for the dynamic engine (metadata, schema change, forms, workflow, RLS) with test data</t>
        </is>
      </c>
      <c r="E204" s="10" t="inlineStr">
        <is>
          <t>Tech Debt</t>
        </is>
      </c>
      <c r="F204" s="10" t="inlineStr">
        <is>
          <t>Not Started</t>
        </is>
      </c>
      <c r="G204" s="10" t="inlineStr">
        <is>
          <t>P0</t>
        </is>
      </c>
      <c r="H204" s="8" t="inlineStr">
        <is>
          <t>The dynamic engine needs its own test suite; a comparable platform still has no automated tests.</t>
        </is>
      </c>
      <c r="I204" s="8" t="inlineStr">
        <is>
          <t>An independent suite for metadata, schema change, forms, workflow and RLS using production-like sample data; property tests for the expression engine.</t>
        </is>
      </c>
      <c r="J204" s="8" t="inlineStr">
        <is>
          <t>Every PR touching the dynamic engine runs this suite.</t>
        </is>
      </c>
      <c r="K204" s="8" t="n"/>
      <c r="L204" s="10" t="inlineStr">
        <is>
          <t>M1</t>
        </is>
      </c>
      <c r="M204" s="10" t="inlineStr">
        <is>
          <t>L</t>
        </is>
      </c>
      <c r="N204" s="10" t="inlineStr">
        <is>
          <t>High</t>
        </is>
      </c>
      <c r="O204" s="10" t="inlineStr">
        <is>
          <t>#10</t>
        </is>
      </c>
      <c r="P204" s="10" t="inlineStr">
        <is>
          <t>Titan #20 #117</t>
        </is>
      </c>
      <c r="Q204" s="10" t="inlineStr"/>
      <c r="R204" s="8" t="inlineStr">
        <is>
          <t>Quality &amp; performance</t>
        </is>
      </c>
      <c r="S204" s="10" t="inlineStr">
        <is>
          <t>No</t>
        </is>
      </c>
      <c r="T204" s="10" t="n"/>
      <c r="U204" s="10" t="n"/>
    </row>
    <row r="205">
      <c r="A205" s="10" t="n">
        <v>204</v>
      </c>
      <c r="B205" s="10" t="inlineStr">
        <is>
          <t>Claude</t>
        </is>
      </c>
      <c r="C205" s="8" t="inlineStr">
        <is>
          <t>Quality, Testing &amp; Performance</t>
        </is>
      </c>
      <c r="D205" s="8" t="inlineStr">
        <is>
          <t>Isolate AI/Ollama load from the request path: queue, timeout, capacity limit and Hangfire storage strategy</t>
        </is>
      </c>
      <c r="E205" s="10" t="inlineStr">
        <is>
          <t>Tech Debt</t>
        </is>
      </c>
      <c r="F205" s="10" t="inlineStr">
        <is>
          <t>Not Started</t>
        </is>
      </c>
      <c r="G205" s="10" t="inlineStr">
        <is>
          <t>P1</t>
        </is>
      </c>
      <c r="H205" s="8" t="inlineStr">
        <is>
          <t>Audit E11: AI/Ollama jobs may run in the request path and Hangfire shares the main DB.</t>
        </is>
      </c>
      <c r="I205" s="8" t="inlineStr">
        <is>
          <t>Move AI to a separate queue with timeout and capacity limits; record the Hangfire storage decision (separate or shared DB) with contention tests.</t>
        </is>
      </c>
      <c r="J205" s="8" t="inlineStr">
        <is>
          <t>Heavy AI runs do not push user latency out of budget.</t>
        </is>
      </c>
      <c r="K205" s="8" t="n"/>
      <c r="L205" s="10" t="inlineStr">
        <is>
          <t>M4</t>
        </is>
      </c>
      <c r="M205" s="10" t="inlineStr">
        <is>
          <t>M</t>
        </is>
      </c>
      <c r="N205" s="10" t="inlineStr">
        <is>
          <t>High</t>
        </is>
      </c>
      <c r="O205" s="10" t="inlineStr">
        <is>
          <t>#1</t>
        </is>
      </c>
      <c r="P205" s="10" t="inlineStr"/>
      <c r="Q205" s="10" t="inlineStr">
        <is>
          <t>OLD-51 OLD-52</t>
        </is>
      </c>
      <c r="R205" s="8" t="inlineStr">
        <is>
          <t>Quality &amp; performance</t>
        </is>
      </c>
      <c r="S205" s="10" t="inlineStr">
        <is>
          <t>No</t>
        </is>
      </c>
      <c r="T205" s="10" t="n"/>
      <c r="U205" s="10" t="n"/>
    </row>
    <row r="206">
      <c r="A206" s="10" t="n">
        <v>205</v>
      </c>
      <c r="B206" s="10" t="inlineStr">
        <is>
          <t>Claude</t>
        </is>
      </c>
      <c r="C206" s="8" t="inlineStr">
        <is>
          <t>Persian Localization, RTL &amp; Jalali Calendar</t>
        </is>
      </c>
      <c r="D206" s="8" t="inlineStr">
        <is>
          <t>Persian as the product default language (culture, RTL, font) with optional English</t>
        </is>
      </c>
      <c r="E206" s="10" t="inlineStr">
        <is>
          <t>Bug Fix</t>
        </is>
      </c>
      <c r="F206" s="10" t="inlineStr">
        <is>
          <t>Not Started</t>
        </is>
      </c>
      <c r="G206" s="10" t="inlineStr">
        <is>
          <t>P0</t>
        </is>
      </c>
      <c r="H206" s="8" t="inlineStr">
        <is>
          <t>Program.cs sets DefaultRequestCulture to en. Persian resources exist (SharedResource.fa.resx).</t>
        </is>
      </c>
      <c r="I206" s="8" t="inlineStr">
        <is>
          <t>Set DefaultRequestCulture to fa, RTL by default, a local Persian font, and fix leftover English strings in resources.</t>
        </is>
      </c>
      <c r="J206" s="8" t="inlineStr">
        <is>
          <t>Login and main pages are fully Persian RTL and English is selectable in user settings.</t>
        </is>
      </c>
      <c r="K206" s="8" t="n"/>
      <c r="L206" s="10" t="inlineStr">
        <is>
          <t>M1</t>
        </is>
      </c>
      <c r="M206" s="10" t="inlineStr">
        <is>
          <t>M</t>
        </is>
      </c>
      <c r="N206" s="10" t="inlineStr">
        <is>
          <t>Sales blocker</t>
        </is>
      </c>
      <c r="O206" s="10" t="inlineStr">
        <is>
          <t>#1</t>
        </is>
      </c>
      <c r="P206" s="10" t="inlineStr">
        <is>
          <t>Titan #190 #176</t>
        </is>
      </c>
      <c r="Q206" s="10" t="inlineStr"/>
      <c r="R206" s="8" t="inlineStr">
        <is>
          <t>Persian localization</t>
        </is>
      </c>
      <c r="S206" s="10" t="inlineStr">
        <is>
          <t>No</t>
        </is>
      </c>
      <c r="T206" s="10" t="n"/>
      <c r="U206" s="10" t="n"/>
    </row>
    <row r="207">
      <c r="A207" s="10" t="n">
        <v>206</v>
      </c>
      <c r="B207" s="10" t="inlineStr">
        <is>
          <t>Claude</t>
        </is>
      </c>
      <c r="C207" s="8" t="inlineStr">
        <is>
          <t>Persian Localization, RTL &amp; Jalali Calendar</t>
        </is>
      </c>
      <c r="D207" s="8" t="inlineStr">
        <is>
          <t>Jalali calendar in UI and reports (picker, filter, display) with Gregorian storage</t>
        </is>
      </c>
      <c r="E207" s="10" t="inlineStr">
        <is>
          <t>Feature</t>
        </is>
      </c>
      <c r="F207" s="10" t="inlineStr">
        <is>
          <t>Not Started</t>
        </is>
      </c>
      <c r="G207" s="10" t="inlineStr">
        <is>
          <t>P0</t>
        </is>
      </c>
      <c r="H207" s="8" t="inlineStr">
        <is>
          <t>Program.cs deliberately keeps the Gregorian calendar (see its comment). No Jalali UI was found. Both Jalali and Gregorian are required.</t>
        </is>
      </c>
      <c r="I207" s="8" t="inlineStr">
        <is>
          <t>Jalali/Gregorian date picker, range display and filter, UTC/Gregorian storage, leap-year behavior and official holidays for SLA.</t>
        </is>
      </c>
      <c r="J207" s="8" t="inlineStr">
        <is>
          <t>Tests for leap years 1403/1407 and the midnight boundary for range filters pass.</t>
        </is>
      </c>
      <c r="K207" s="8" t="n"/>
      <c r="L207" s="10" t="inlineStr">
        <is>
          <t>M1</t>
        </is>
      </c>
      <c r="M207" s="10" t="inlineStr">
        <is>
          <t>L</t>
        </is>
      </c>
      <c r="N207" s="10" t="inlineStr">
        <is>
          <t>Sales blocker</t>
        </is>
      </c>
      <c r="O207" s="10" t="inlineStr">
        <is>
          <t>#205</t>
        </is>
      </c>
      <c r="P207" s="10" t="inlineStr">
        <is>
          <t>Titan #179</t>
        </is>
      </c>
      <c r="Q207" s="10" t="inlineStr">
        <is>
          <t>OLD-101</t>
        </is>
      </c>
      <c r="R207" s="8" t="inlineStr">
        <is>
          <t>Persian localization</t>
        </is>
      </c>
      <c r="S207" s="10" t="inlineStr">
        <is>
          <t>No</t>
        </is>
      </c>
      <c r="T207" s="10" t="n"/>
      <c r="U207" s="10" t="n"/>
    </row>
    <row r="208">
      <c r="A208" s="10" t="n">
        <v>207</v>
      </c>
      <c r="B208" s="10" t="inlineStr">
        <is>
          <t>Claude</t>
        </is>
      </c>
      <c r="C208" s="8" t="inlineStr">
        <is>
          <t>Persian Localization, RTL &amp; Jalali Calendar</t>
        </is>
      </c>
      <c r="D208" s="8" t="inlineStr">
        <is>
          <t>Live per-page language and direction switching</t>
        </is>
      </c>
      <c r="E208" s="10" t="inlineStr">
        <is>
          <t>Feature</t>
        </is>
      </c>
      <c r="F208" s="10" t="inlineStr">
        <is>
          <t>Not Started</t>
        </is>
      </c>
      <c r="G208" s="10" t="inlineStr">
        <is>
          <t>P2</t>
        </is>
      </c>
      <c r="H208" s="8" t="inlineStr">
        <is>
          <t>A user-toggleable per-page language and direction is a known need.</t>
        </is>
      </c>
      <c r="I208" s="8" t="inlineStr">
        <is>
          <t>A live language/direction switch with no full reload, stored in the user profile.</t>
        </is>
      </c>
      <c r="J208" s="8" t="inlineStr">
        <is>
          <t>Switching language mirrors every component correctly.</t>
        </is>
      </c>
      <c r="K208" s="8" t="n"/>
      <c r="L208" s="10" t="inlineStr">
        <is>
          <t>M5</t>
        </is>
      </c>
      <c r="M208" s="10" t="inlineStr">
        <is>
          <t>M</t>
        </is>
      </c>
      <c r="N208" s="10" t="inlineStr">
        <is>
          <t>Medium</t>
        </is>
      </c>
      <c r="O208" s="10" t="inlineStr">
        <is>
          <t>#205</t>
        </is>
      </c>
      <c r="P208" s="10" t="inlineStr">
        <is>
          <t>Titan #176</t>
        </is>
      </c>
      <c r="Q208" s="10" t="inlineStr"/>
      <c r="R208" s="8" t="inlineStr">
        <is>
          <t>Persian localization</t>
        </is>
      </c>
      <c r="S208" s="10" t="inlineStr">
        <is>
          <t>No</t>
        </is>
      </c>
      <c r="T208" s="10" t="n"/>
      <c r="U208" s="10" t="n"/>
    </row>
    <row r="209">
      <c r="A209" s="10" t="n">
        <v>208</v>
      </c>
      <c r="B209" s="10" t="inlineStr">
        <is>
          <t>Claude</t>
        </is>
      </c>
      <c r="C209" s="8" t="inlineStr">
        <is>
          <t>Persian Localization, RTL &amp; Jalali Calendar</t>
        </is>
      </c>
      <c r="D209" s="8" t="inlineStr">
        <is>
          <t>Persian digits, thousands separator, Rial/Toman currency, ZWNJ</t>
        </is>
      </c>
      <c r="E209" s="10" t="inlineStr">
        <is>
          <t>Feature</t>
        </is>
      </c>
      <c r="F209" s="10" t="inlineStr">
        <is>
          <t>Not Started</t>
        </is>
      </c>
      <c r="G209" s="10" t="inlineStr">
        <is>
          <t>P1</t>
        </is>
      </c>
      <c r="H209" s="8" t="inlineStr">
        <is>
          <t>Audit E22: number/currency/ZWNJ standards are not defined. 2026-10-28 audit: overlaps #367 (formatting engine); merge when #367 starts. Digit swap exists (IPemsLocale.Digits, SCRUM-426). 2026-10-28 plan audit: dependency/milestone corrected (see docs/audits/2026-10-28-dynamic-restful-audit.md).</t>
        </is>
      </c>
      <c r="I209" s="8" t="inlineStr">
        <is>
          <t>A Persian number/currency/percent formatting library (separators, Rial/Toman) applied in forms, grids and reports.</t>
        </is>
      </c>
      <c r="J209" s="8" t="inlineStr">
        <is>
          <t>One consistent format everywhere; both Persian and Latin digits are accepted as input.</t>
        </is>
      </c>
      <c r="K209" s="8" t="n"/>
      <c r="L209" s="10" t="inlineStr">
        <is>
          <t>M2</t>
        </is>
      </c>
      <c r="M209" s="10" t="inlineStr">
        <is>
          <t>S</t>
        </is>
      </c>
      <c r="N209" s="10" t="inlineStr">
        <is>
          <t>High</t>
        </is>
      </c>
      <c r="O209" s="10" t="inlineStr">
        <is>
          <t>#205</t>
        </is>
      </c>
      <c r="P209" s="10" t="inlineStr"/>
      <c r="Q209" s="10" t="inlineStr"/>
      <c r="R209" s="8" t="inlineStr">
        <is>
          <t>Persian localization</t>
        </is>
      </c>
      <c r="S209" s="10" t="inlineStr">
        <is>
          <t>No</t>
        </is>
      </c>
      <c r="T209" s="10" t="n"/>
      <c r="U209" s="10" t="n"/>
    </row>
    <row r="210">
      <c r="A210" s="10" t="n">
        <v>209</v>
      </c>
      <c r="B210" s="10" t="inlineStr">
        <is>
          <t>Claude</t>
        </is>
      </c>
      <c r="C210" s="8" t="inlineStr">
        <is>
          <t>Persian Localization, RTL &amp; Jalali Calendar</t>
        </is>
      </c>
      <c r="D210" s="8" t="inlineStr">
        <is>
          <t>Fix invalid dates and LTR/RTL layout in PDF and Excel reports</t>
        </is>
      </c>
      <c r="E210" s="10" t="inlineStr">
        <is>
          <t>Bug Fix</t>
        </is>
      </c>
      <c r="F210" s="10" t="inlineStr">
        <is>
          <t>Not Started</t>
        </is>
      </c>
      <c r="G210" s="10" t="inlineStr">
        <is>
          <t>P1</t>
        </is>
      </c>
      <c r="H210" s="8" t="inlineStr">
        <is>
          <t>Known defects on a comparable platform: invalid dates in downloaded reports and layout overflow.</t>
        </is>
      </c>
      <c r="I210" s="8" t="inlineStr">
        <is>
          <t>Fix invalid dates and RTL layout in PDF (QuestPDF) and Excel and embed a Persian font.</t>
        </is>
      </c>
      <c r="J210" s="8" t="inlineStr">
        <is>
          <t>Main report samples print with correct dates and no text overflow.</t>
        </is>
      </c>
      <c r="K210" s="8" t="n"/>
      <c r="L210" s="10" t="inlineStr">
        <is>
          <t>M4</t>
        </is>
      </c>
      <c r="M210" s="10" t="inlineStr">
        <is>
          <t>M</t>
        </is>
      </c>
      <c r="N210" s="10" t="inlineStr">
        <is>
          <t>High</t>
        </is>
      </c>
      <c r="O210" s="10" t="inlineStr">
        <is>
          <t>#205</t>
        </is>
      </c>
      <c r="P210" s="10" t="inlineStr">
        <is>
          <t>Titan #154 #155</t>
        </is>
      </c>
      <c r="Q210" s="10" t="inlineStr"/>
      <c r="R210" s="8" t="inlineStr">
        <is>
          <t>Persian localization</t>
        </is>
      </c>
      <c r="S210" s="10" t="inlineStr">
        <is>
          <t>No</t>
        </is>
      </c>
      <c r="T210" s="10" t="n"/>
      <c r="U210" s="10" t="n"/>
    </row>
    <row r="211">
      <c r="A211" s="10" t="n">
        <v>210</v>
      </c>
      <c r="B211" s="10" t="inlineStr">
        <is>
          <t>Claude</t>
        </is>
      </c>
      <c r="C211" s="8" t="inlineStr">
        <is>
          <t>Reporting, Dashboards &amp; Export</t>
        </is>
      </c>
      <c r="D211" s="8" t="inlineStr">
        <is>
          <t>Server-side export service (async, RLS, sorting, format) with small Excel file size</t>
        </is>
      </c>
      <c r="E211" s="10" t="inlineStr">
        <is>
          <t>Feature</t>
        </is>
      </c>
      <c r="F211" s="10" t="inlineStr">
        <is>
          <t>Not Started</t>
        </is>
      </c>
      <c r="G211" s="10" t="inlineStr">
        <is>
          <t>P1</t>
        </is>
      </c>
      <c r="H211" s="8" t="inlineStr">
        <is>
          <t>Server-side generation, correct ordering and file size are known concerns.</t>
        </is>
      </c>
      <c r="I211" s="8" t="inlineStr">
        <is>
          <t>An async export service with RLS, sort/filter, format profiles and audit; Excel size optimization with a library of suitable licence (ClosedXML/EPPlus).</t>
        </is>
      </c>
      <c r="J211" s="8" t="inlineStr">
        <is>
          <t>Exporting 100k rows with no timeout, in the right order, with only permitted data.</t>
        </is>
      </c>
      <c r="K211" s="8" t="n"/>
      <c r="L211" s="10" t="inlineStr">
        <is>
          <t>M4</t>
        </is>
      </c>
      <c r="M211" s="10" t="inlineStr">
        <is>
          <t>L</t>
        </is>
      </c>
      <c r="N211" s="10" t="inlineStr">
        <is>
          <t>High</t>
        </is>
      </c>
      <c r="O211" s="10" t="inlineStr">
        <is>
          <t>#12</t>
        </is>
      </c>
      <c r="P211" s="10" t="inlineStr">
        <is>
          <t>Titan #58 #62 #133 #156</t>
        </is>
      </c>
      <c r="Q211" s="10" t="inlineStr">
        <is>
          <t>OLD-91</t>
        </is>
      </c>
      <c r="R211" s="8" t="inlineStr">
        <is>
          <t>Reporting</t>
        </is>
      </c>
      <c r="S211" s="10" t="inlineStr">
        <is>
          <t>No</t>
        </is>
      </c>
      <c r="T211" s="10" t="n"/>
      <c r="U211" s="10" t="n"/>
    </row>
    <row r="212">
      <c r="A212" s="10" t="n">
        <v>211</v>
      </c>
      <c r="B212" s="10" t="inlineStr">
        <is>
          <t>Claude</t>
        </is>
      </c>
      <c r="C212" s="8" t="inlineStr">
        <is>
          <t>Reporting, Dashboards &amp; Export</t>
        </is>
      </c>
      <c r="D212" s="8" t="inlineStr">
        <is>
          <t>Auditable evidence package (signed export)</t>
        </is>
      </c>
      <c r="E212" s="10" t="inlineStr">
        <is>
          <t>Feature</t>
        </is>
      </c>
      <c r="F212" s="10" t="inlineStr">
        <is>
          <t>Not Started</t>
        </is>
      </c>
      <c r="G212" s="10" t="inlineStr">
        <is>
          <t>P2</t>
        </is>
      </c>
      <c r="H212" s="8" t="inlineStr">
        <is>
          <t>Audit E14: no audit evidence package exists.</t>
        </is>
      </c>
      <c r="I212" s="8" t="inlineStr">
        <is>
          <t>A signed export with record state, history, comments, attachments, hashes, access decisions and audit trail.</t>
        </is>
      </c>
      <c r="J212" s="8" t="inlineStr">
        <is>
          <t>The package is verifiable independently of the system.</t>
        </is>
      </c>
      <c r="K212" s="8" t="n"/>
      <c r="L212" s="10" t="inlineStr">
        <is>
          <t>M5</t>
        </is>
      </c>
      <c r="M212" s="10" t="inlineStr">
        <is>
          <t>M</t>
        </is>
      </c>
      <c r="N212" s="10" t="inlineStr">
        <is>
          <t>Medium</t>
        </is>
      </c>
      <c r="O212" s="10" t="inlineStr">
        <is>
          <t>#81</t>
        </is>
      </c>
      <c r="P212" s="10" t="inlineStr"/>
      <c r="Q212" s="10" t="inlineStr">
        <is>
          <t>OLD-58</t>
        </is>
      </c>
      <c r="R212" s="8" t="inlineStr">
        <is>
          <t>Reporting</t>
        </is>
      </c>
      <c r="S212" s="10" t="inlineStr">
        <is>
          <t>No</t>
        </is>
      </c>
      <c r="T212" s="10" t="n"/>
      <c r="U212" s="10" t="n"/>
    </row>
    <row r="213">
      <c r="A213" s="10" t="n">
        <v>212</v>
      </c>
      <c r="B213" s="10" t="inlineStr">
        <is>
          <t>Claude</t>
        </is>
      </c>
      <c r="C213" s="8" t="inlineStr">
        <is>
          <t>Reporting, Dashboards &amp; Export</t>
        </is>
      </c>
      <c r="D213" s="8" t="inlineStr">
        <is>
          <t>Integrate cost, budget and schedule with work/documents/changes</t>
        </is>
      </c>
      <c r="E213" s="10" t="inlineStr">
        <is>
          <t>Feature</t>
        </is>
      </c>
      <c r="F213" s="10" t="inlineStr">
        <is>
          <t>Not Started</t>
        </is>
      </c>
      <c r="G213" s="10" t="inlineStr">
        <is>
          <t>P2</t>
        </is>
      </c>
      <c r="H213" s="8" t="inlineStr">
        <is>
          <t>Audit E20: work, documents and changes do not link to cost code, budget or schedule.</t>
        </is>
      </c>
      <c r="I213" s="8" t="inlineStr">
        <is>
          <t>Dynamic links to cost code, budget and schedule activity, and a change-impact report.</t>
        </is>
      </c>
      <c r="J213" s="8" t="inlineStr">
        <is>
          <t>The impact report of a change on cost and time is visible.</t>
        </is>
      </c>
      <c r="K213" s="8" t="n"/>
      <c r="L213" s="10" t="inlineStr">
        <is>
          <t>M5</t>
        </is>
      </c>
      <c r="M213" s="10" t="inlineStr">
        <is>
          <t>L</t>
        </is>
      </c>
      <c r="N213" s="10" t="inlineStr">
        <is>
          <t>Medium</t>
        </is>
      </c>
      <c r="O213" s="10" t="inlineStr">
        <is>
          <t>#198</t>
        </is>
      </c>
      <c r="P213" s="10" t="inlineStr"/>
      <c r="Q213" s="10" t="inlineStr">
        <is>
          <t>OLD-85</t>
        </is>
      </c>
      <c r="R213" s="8" t="inlineStr">
        <is>
          <t>Reporting</t>
        </is>
      </c>
      <c r="S213" s="10" t="inlineStr">
        <is>
          <t>No</t>
        </is>
      </c>
      <c r="T213" s="10" t="n"/>
      <c r="U213" s="10" t="n"/>
    </row>
    <row r="214">
      <c r="A214" s="10" t="n">
        <v>213</v>
      </c>
      <c r="B214" s="10" t="inlineStr">
        <is>
          <t>Claude</t>
        </is>
      </c>
      <c r="C214" s="8" t="inlineStr">
        <is>
          <t>Artificial Intelligence</t>
        </is>
      </c>
      <c r="D214" s="8" t="inlineStr">
        <is>
          <t>Model/prompt registry with versioning and rollback</t>
        </is>
      </c>
      <c r="E214" s="10" t="inlineStr">
        <is>
          <t>Feature</t>
        </is>
      </c>
      <c r="F214" s="10" t="inlineStr">
        <is>
          <t>Not Started</t>
        </is>
      </c>
      <c r="G214" s="10" t="inlineStr">
        <is>
          <t>P2</t>
        </is>
      </c>
      <c r="H214" s="8" t="inlineStr">
        <is>
          <t>PEMS.AI: local Ollama, OCR, semantic search.</t>
        </is>
      </c>
      <c r="I214" s="8" t="inlineStr">
        <is>
          <t>Register model, prompt, output schema, version, owner, test set and rollback state.</t>
        </is>
      </c>
      <c r="J214" s="8" t="inlineStr">
        <is>
          <t>A prompt change gets a version and is reversible.</t>
        </is>
      </c>
      <c r="K214" s="8" t="n"/>
      <c r="L214" s="10" t="inlineStr">
        <is>
          <t>M5</t>
        </is>
      </c>
      <c r="M214" s="10" t="inlineStr">
        <is>
          <t>M</t>
        </is>
      </c>
      <c r="N214" s="10" t="inlineStr">
        <is>
          <t>Medium</t>
        </is>
      </c>
      <c r="O214" s="10" t="inlineStr">
        <is>
          <t>#1</t>
        </is>
      </c>
      <c r="P214" s="10" t="inlineStr"/>
      <c r="Q214" s="10" t="inlineStr">
        <is>
          <t>OLD-53</t>
        </is>
      </c>
      <c r="R214" s="8" t="inlineStr">
        <is>
          <t>AI</t>
        </is>
      </c>
      <c r="S214" s="10" t="inlineStr">
        <is>
          <t>No</t>
        </is>
      </c>
      <c r="T214" s="10" t="n"/>
      <c r="U214" s="10" t="n"/>
    </row>
    <row r="215">
      <c r="A215" s="10" t="n">
        <v>214</v>
      </c>
      <c r="B215" s="10" t="inlineStr">
        <is>
          <t>Claude</t>
        </is>
      </c>
      <c r="C215" s="8" t="inlineStr">
        <is>
          <t>Artificial Intelligence</t>
        </is>
      </c>
      <c r="D215" s="8" t="inlineStr">
        <is>
          <t>AI traceability: link each result to its source chunk, model/prompt version, confidence and reviewer decision</t>
        </is>
      </c>
      <c r="E215" s="10" t="inlineStr">
        <is>
          <t>Feature</t>
        </is>
      </c>
      <c r="F215" s="10" t="inlineStr">
        <is>
          <t>Not Started</t>
        </is>
      </c>
      <c r="G215" s="10" t="inlineStr">
        <is>
          <t>P2</t>
        </is>
      </c>
      <c r="H215" s="8" t="inlineStr">
        <is>
          <t>Audit E12: AI results are not linked to source and model version.</t>
        </is>
      </c>
      <c r="I215" s="8" t="inlineStr">
        <is>
          <t>Link every AI result to the source chunk, model/prompt version, confidence and reviewer decision.</t>
        </is>
      </c>
      <c r="J215" s="8" t="inlineStr">
        <is>
          <t>For any AI suggestion the source and the human decision can be seen.</t>
        </is>
      </c>
      <c r="K215" s="8" t="n"/>
      <c r="L215" s="10" t="inlineStr">
        <is>
          <t>M5</t>
        </is>
      </c>
      <c r="M215" s="10" t="inlineStr">
        <is>
          <t>M</t>
        </is>
      </c>
      <c r="N215" s="10" t="inlineStr">
        <is>
          <t>Medium</t>
        </is>
      </c>
      <c r="O215" s="10" t="inlineStr">
        <is>
          <t>#213</t>
        </is>
      </c>
      <c r="P215" s="10" t="inlineStr"/>
      <c r="Q215" s="10" t="inlineStr">
        <is>
          <t>OLD-54</t>
        </is>
      </c>
      <c r="R215" s="8" t="inlineStr">
        <is>
          <t>AI</t>
        </is>
      </c>
      <c r="S215" s="10" t="inlineStr">
        <is>
          <t>No</t>
        </is>
      </c>
      <c r="T215" s="10" t="n"/>
      <c r="U215" s="10" t="n"/>
    </row>
    <row r="216">
      <c r="A216" s="10" t="n">
        <v>215</v>
      </c>
      <c r="B216" s="10" t="inlineStr">
        <is>
          <t>Claude</t>
        </is>
      </c>
      <c r="C216" s="8" t="inlineStr">
        <is>
          <t>Artificial Intelligence</t>
        </is>
      </c>
      <c r="D216" s="8" t="inlineStr">
        <is>
          <t>AI data boundary: enforce RLS, redact restricted fields, audit</t>
        </is>
      </c>
      <c r="E216" s="10" t="inlineStr">
        <is>
          <t>Feature</t>
        </is>
      </c>
      <c r="F216" s="10" t="inlineStr">
        <is>
          <t>Not Started</t>
        </is>
      </c>
      <c r="G216" s="10" t="inlineStr">
        <is>
          <t>P1</t>
        </is>
      </c>
      <c r="H216" s="8" t="inlineStr">
        <is>
          <t>Audit E12: AI jobs must not see data outside the user's access.</t>
        </is>
      </c>
      <c r="I216" s="8" t="inlineStr">
        <is>
          <t>Enforce RLS and redaction of restricted fields before sending to the model, and record audit.</t>
        </is>
      </c>
      <c r="J216" s="8" t="inlineStr">
        <is>
          <t>A forbidden document never appears in semantic search or AI answers.</t>
        </is>
      </c>
      <c r="K216" s="8" t="n"/>
      <c r="L216" s="10" t="inlineStr">
        <is>
          <t>M4</t>
        </is>
      </c>
      <c r="M216" s="10" t="inlineStr">
        <is>
          <t>M</t>
        </is>
      </c>
      <c r="N216" s="10" t="inlineStr">
        <is>
          <t>High</t>
        </is>
      </c>
      <c r="O216" s="10" t="inlineStr">
        <is>
          <t>#178</t>
        </is>
      </c>
      <c r="P216" s="10" t="inlineStr"/>
      <c r="Q216" s="10" t="inlineStr">
        <is>
          <t>OLD-55</t>
        </is>
      </c>
      <c r="R216" s="8" t="inlineStr">
        <is>
          <t>AI</t>
        </is>
      </c>
      <c r="S216" s="10" t="inlineStr">
        <is>
          <t>No</t>
        </is>
      </c>
      <c r="T216" s="10" t="n"/>
      <c r="U216" s="10" t="n"/>
    </row>
    <row r="217">
      <c r="A217" s="10" t="n">
        <v>216</v>
      </c>
      <c r="B217" s="10" t="inlineStr">
        <is>
          <t>Claude</t>
        </is>
      </c>
      <c r="C217" s="8" t="inlineStr">
        <is>
          <t>Artificial Intelligence</t>
        </is>
      </c>
      <c r="D217" s="8" t="inlineStr">
        <is>
          <t>Admin/user assistant and form/module-building assistant (offline LLM)</t>
        </is>
      </c>
      <c r="E217" s="10" t="inlineStr">
        <is>
          <t>Feature</t>
        </is>
      </c>
      <c r="F217" s="10" t="inlineStr">
        <is>
          <t>Not Started</t>
        </is>
      </c>
      <c r="G217" s="10" t="inlineStr">
        <is>
          <t>P3</t>
        </is>
      </c>
      <c r="H217" s="8" t="inlineStr">
        <is>
          <t>Hosting decision for an offline-only LLM was already made on a comparable platform; PEMS has local Ollama.</t>
        </is>
      </c>
      <c r="I217" s="8" t="inlineStr">
        <is>
          <t>An assistant (help, drafting, access debugging) and a form/module-building assistant using a local LLM, all with RLS and audit.</t>
        </is>
      </c>
      <c r="J217" s="8" t="inlineStr">
        <is>
          <t>The assistant runs without internet and sees only the user's permitted data.</t>
        </is>
      </c>
      <c r="K217" s="8" t="n"/>
      <c r="L217" s="10" t="inlineStr">
        <is>
          <t>M6</t>
        </is>
      </c>
      <c r="M217" s="10" t="inlineStr">
        <is>
          <t>XL</t>
        </is>
      </c>
      <c r="N217" s="10" t="inlineStr">
        <is>
          <t>Medium</t>
        </is>
      </c>
      <c r="O217" s="10" t="inlineStr">
        <is>
          <t>#215 #44</t>
        </is>
      </c>
      <c r="P217" s="10" t="inlineStr">
        <is>
          <t>Titan #211 #212 #181 #182</t>
        </is>
      </c>
      <c r="Q217" s="10" t="inlineStr"/>
      <c r="R217" s="8" t="inlineStr">
        <is>
          <t>AI</t>
        </is>
      </c>
      <c r="S217" s="10" t="inlineStr">
        <is>
          <t>No</t>
        </is>
      </c>
      <c r="T217" s="10" t="n"/>
      <c r="U217" s="10" t="n"/>
    </row>
    <row r="218">
      <c r="A218" s="10" t="n">
        <v>217</v>
      </c>
      <c r="B218" s="10" t="inlineStr">
        <is>
          <t>Claude</t>
        </is>
      </c>
      <c r="C218" s="8" t="inlineStr">
        <is>
          <t>Domain: Engineering, EDMS/VDR &amp; Records</t>
        </is>
      </c>
      <c r="D218" s="8" t="inlineStr">
        <is>
          <t>Dynamic import designer for MDR and documents (replacing fixed imports)</t>
        </is>
      </c>
      <c r="E218" s="10" t="inlineStr">
        <is>
          <t>Feature</t>
        </is>
      </c>
      <c r="F218" s="10" t="inlineStr">
        <is>
          <t>Not Started</t>
        </is>
      </c>
      <c r="G218" s="10" t="inlineStr">
        <is>
          <t>P2</t>
        </is>
      </c>
      <c r="H218" s="8" t="inlineStr">
        <is>
          <t>MDR/MDB imports are fixed (MDRImport, MrsImport, VDRImport).</t>
        </is>
      </c>
      <c r="I218" s="8" t="inlineStr">
        <is>
          <t>Recreate the EDMS imports with the dynamic import designer.</t>
        </is>
      </c>
      <c r="J218" s="8" t="inlineStr">
        <is>
          <t>An MDR import with a dynamic template gives the same result as before.</t>
        </is>
      </c>
      <c r="K218" s="8" t="n"/>
      <c r="L218" s="10" t="inlineStr">
        <is>
          <t>M5</t>
        </is>
      </c>
      <c r="M218" s="10" t="inlineStr">
        <is>
          <t>M</t>
        </is>
      </c>
      <c r="N218" s="10" t="inlineStr">
        <is>
          <t>Medium</t>
        </is>
      </c>
      <c r="O218" s="10" t="inlineStr">
        <is>
          <t>#25</t>
        </is>
      </c>
      <c r="P218" s="10" t="inlineStr"/>
      <c r="Q218" s="10" t="inlineStr">
        <is>
          <t>OLD-56</t>
        </is>
      </c>
      <c r="R218" s="8" t="inlineStr">
        <is>
          <t>Domain modules</t>
        </is>
      </c>
      <c r="S218" s="10" t="inlineStr">
        <is>
          <t>No</t>
        </is>
      </c>
      <c r="T218" s="10" t="n"/>
      <c r="U218" s="10" t="n"/>
    </row>
    <row r="219">
      <c r="A219" s="10" t="n">
        <v>218</v>
      </c>
      <c r="B219" s="10" t="inlineStr">
        <is>
          <t>Claude</t>
        </is>
      </c>
      <c r="C219" s="8" t="inlineStr">
        <is>
          <t>Domain: Engineering, EDMS/VDR &amp; Records</t>
        </is>
      </c>
      <c r="D219" s="8" t="inlineStr">
        <is>
          <t>CAD/BIM integration: metadata, references, preview, revision</t>
        </is>
      </c>
      <c r="E219" s="10" t="inlineStr">
        <is>
          <t>Feature</t>
        </is>
      </c>
      <c r="F219" s="10" t="inlineStr">
        <is>
          <t>Not Started</t>
        </is>
      </c>
      <c r="G219" s="10" t="inlineStr">
        <is>
          <t>P2</t>
        </is>
      </c>
      <c r="H219" s="8" t="inlineStr">
        <is>
          <t>Audit E17: no CAD/BIM metadata or preview exists.</t>
        </is>
      </c>
      <c r="I219" s="8" t="inlineStr">
        <is>
          <t>Store metadata, references, renditions and revision links with access-controlled preview.</t>
        </is>
      </c>
      <c r="J219" s="8" t="inlineStr">
        <is>
          <t>A sample CAD file shows with a preview and a linked revision.</t>
        </is>
      </c>
      <c r="K219" s="8" t="n"/>
      <c r="L219" s="10" t="inlineStr">
        <is>
          <t>M5</t>
        </is>
      </c>
      <c r="M219" s="10" t="inlineStr">
        <is>
          <t>XL</t>
        </is>
      </c>
      <c r="N219" s="10" t="inlineStr">
        <is>
          <t>Medium</t>
        </is>
      </c>
      <c r="O219" s="10" t="inlineStr">
        <is>
          <t>#91</t>
        </is>
      </c>
      <c r="P219" s="10" t="inlineStr"/>
      <c r="Q219" s="10" t="inlineStr">
        <is>
          <t>OLD-68</t>
        </is>
      </c>
      <c r="R219" s="8" t="inlineStr">
        <is>
          <t>Domain modules</t>
        </is>
      </c>
      <c r="S219" s="10" t="inlineStr">
        <is>
          <t>No</t>
        </is>
      </c>
      <c r="T219" s="10" t="n"/>
      <c r="U219" s="10" t="n"/>
    </row>
    <row r="220">
      <c r="A220" s="10" t="n">
        <v>219</v>
      </c>
      <c r="B220" s="10" t="inlineStr">
        <is>
          <t>Claude</t>
        </is>
      </c>
      <c r="C220" s="8" t="inlineStr">
        <is>
          <t>Domain: Engineering, EDMS/VDR &amp; Records</t>
        </is>
      </c>
      <c r="D220" s="8" t="inlineStr">
        <is>
          <t>2D/3D/4D markup and review with audit</t>
        </is>
      </c>
      <c r="E220" s="10" t="inlineStr">
        <is>
          <t>Feature</t>
        </is>
      </c>
      <c r="F220" s="10" t="inlineStr">
        <is>
          <t>Not Started</t>
        </is>
      </c>
      <c r="G220" s="10" t="inlineStr">
        <is>
          <t>P3</t>
        </is>
      </c>
      <c r="H220" s="8" t="inlineStr">
        <is>
          <t>Audit E17: no markup-based review exists.</t>
        </is>
      </c>
      <c r="I220" s="8" t="inlineStr">
        <is>
          <t>Markup and comments on drawing/model bound to a revision with audit export.</t>
        </is>
      </c>
      <c r="J220" s="8" t="inlineStr">
        <is>
          <t>A drawing review with markup and replies is recorded and auditable.</t>
        </is>
      </c>
      <c r="K220" s="8" t="n"/>
      <c r="L220" s="10" t="inlineStr">
        <is>
          <t>M6</t>
        </is>
      </c>
      <c r="M220" s="10" t="inlineStr">
        <is>
          <t>XL</t>
        </is>
      </c>
      <c r="N220" s="10" t="inlineStr">
        <is>
          <t>Low</t>
        </is>
      </c>
      <c r="O220" s="10" t="inlineStr">
        <is>
          <t>#218</t>
        </is>
      </c>
      <c r="P220" s="10" t="inlineStr"/>
      <c r="Q220" s="10" t="inlineStr">
        <is>
          <t>OLD-69</t>
        </is>
      </c>
      <c r="R220" s="8" t="inlineStr">
        <is>
          <t>Domain modules</t>
        </is>
      </c>
      <c r="S220" s="10" t="inlineStr">
        <is>
          <t>No</t>
        </is>
      </c>
      <c r="T220" s="10" t="n"/>
      <c r="U220" s="10" t="n"/>
    </row>
    <row r="221">
      <c r="A221" s="10" t="n">
        <v>220</v>
      </c>
      <c r="B221" s="10" t="inlineStr">
        <is>
          <t>Claude</t>
        </is>
      </c>
      <c r="C221" s="8" t="inlineStr">
        <is>
          <t>Domain: Engineering, EDMS/VDR &amp; Records</t>
        </is>
      </c>
      <c r="D221" s="8" t="inlineStr">
        <is>
          <t>Title-block extraction and revision change comparison</t>
        </is>
      </c>
      <c r="E221" s="10" t="inlineStr">
        <is>
          <t>Feature</t>
        </is>
      </c>
      <c r="F221" s="10" t="inlineStr">
        <is>
          <t>Not Started</t>
        </is>
      </c>
      <c r="G221" s="10" t="inlineStr">
        <is>
          <t>P3</t>
        </is>
      </c>
      <c r="H221" s="8" t="inlineStr">
        <is>
          <t>Audit E17: no title-block extraction or revision comparison exists; PEMS.AI and OCR provide the base.</t>
        </is>
      </c>
      <c r="I221" s="8" t="inlineStr">
        <is>
          <t>Extract document number, revision, title, discipline and status with OCR and compare differences with reviewer approval.</t>
        </is>
      </c>
      <c r="J221" s="8" t="inlineStr">
        <is>
          <t>Extracted values are recorded only after human approval.</t>
        </is>
      </c>
      <c r="K221" s="8" t="n"/>
      <c r="L221" s="10" t="inlineStr">
        <is>
          <t>M6</t>
        </is>
      </c>
      <c r="M221" s="10" t="inlineStr">
        <is>
          <t>L</t>
        </is>
      </c>
      <c r="N221" s="10" t="inlineStr">
        <is>
          <t>Low</t>
        </is>
      </c>
      <c r="O221" s="10" t="inlineStr">
        <is>
          <t>#218</t>
        </is>
      </c>
      <c r="P221" s="10" t="inlineStr"/>
      <c r="Q221" s="10" t="inlineStr">
        <is>
          <t>OLD-70</t>
        </is>
      </c>
      <c r="R221" s="8" t="inlineStr">
        <is>
          <t>Domain modules</t>
        </is>
      </c>
      <c r="S221" s="10" t="inlineStr">
        <is>
          <t>No</t>
        </is>
      </c>
      <c r="T221" s="10" t="n"/>
      <c r="U221" s="10" t="n"/>
    </row>
    <row r="222">
      <c r="A222" s="10" t="n">
        <v>221</v>
      </c>
      <c r="B222" s="10" t="inlineStr">
        <is>
          <t>Claude</t>
        </is>
      </c>
      <c r="C222" s="8" t="inlineStr">
        <is>
          <t>Domain: Engineering, EDMS/VDR &amp; Records</t>
        </is>
      </c>
      <c r="D222" s="8" t="inlineStr">
        <is>
          <t>Record declaration and retention/disposition schedule</t>
        </is>
      </c>
      <c r="E222" s="10" t="inlineStr">
        <is>
          <t>Feature</t>
        </is>
      </c>
      <c r="F222" s="10" t="inlineStr">
        <is>
          <t>Not Started</t>
        </is>
      </c>
      <c r="G222" s="10" t="inlineStr">
        <is>
          <t>P2</t>
        </is>
      </c>
      <c r="H222" s="8" t="inlineStr">
        <is>
          <t>Audit E17: no record declaration or disposition schedule exists.</t>
        </is>
      </c>
      <c r="I222" s="8" t="inlineStr">
        <is>
          <t>Declare records, freeze, retention schedule and disposition with approval and legal hold.</t>
        </is>
      </c>
      <c r="J222" s="8" t="inlineStr">
        <is>
          <t>Disposition happens only with approval and without violating legal hold.</t>
        </is>
      </c>
      <c r="K222" s="8" t="n"/>
      <c r="L222" s="10" t="inlineStr">
        <is>
          <t>M5</t>
        </is>
      </c>
      <c r="M222" s="10" t="inlineStr">
        <is>
          <t>L</t>
        </is>
      </c>
      <c r="N222" s="10" t="inlineStr">
        <is>
          <t>High</t>
        </is>
      </c>
      <c r="O222" s="10" t="inlineStr">
        <is>
          <t>#186</t>
        </is>
      </c>
      <c r="P222" s="10" t="inlineStr"/>
      <c r="Q222" s="10" t="inlineStr">
        <is>
          <t>OLD-71 OLD-72</t>
        </is>
      </c>
      <c r="R222" s="8" t="inlineStr">
        <is>
          <t>Domain modules</t>
        </is>
      </c>
      <c r="S222" s="10" t="inlineStr">
        <is>
          <t>No</t>
        </is>
      </c>
      <c r="T222" s="10" t="n"/>
      <c r="U222" s="10" t="n"/>
    </row>
    <row r="223">
      <c r="A223" s="10" t="n">
        <v>222</v>
      </c>
      <c r="B223" s="10" t="inlineStr">
        <is>
          <t>Claude</t>
        </is>
      </c>
      <c r="C223" s="8" t="inlineStr">
        <is>
          <t>Domain: Engineering, EDMS/VDR &amp; Records</t>
        </is>
      </c>
      <c r="D223" s="8" t="inlineStr">
        <is>
          <t>Electronic signature for document/work-order approval</t>
        </is>
      </c>
      <c r="E223" s="10" t="inlineStr">
        <is>
          <t>Feature</t>
        </is>
      </c>
      <c r="F223" s="10" t="inlineStr">
        <is>
          <t>Not Started</t>
        </is>
      </c>
      <c r="G223" s="10" t="inlineStr">
        <is>
          <t>P2</t>
        </is>
      </c>
      <c r="H223" s="8" t="inlineStr">
        <is>
          <t>E-signature for contract/work-order/document sign-off is not built yet on the reference platform.</t>
        </is>
      </c>
      <c r="I223" s="8" t="inlineStr">
        <is>
          <t>A signature at the workflow approval stage with an internal certificate/timestamp and a tracking number.</t>
        </is>
      </c>
      <c r="J223" s="8" t="inlineStr">
        <is>
          <t>An approved document carries a signature and hash and can be verified.</t>
        </is>
      </c>
      <c r="K223" s="8" t="n"/>
      <c r="L223" s="10" t="inlineStr">
        <is>
          <t>M5</t>
        </is>
      </c>
      <c r="M223" s="10" t="inlineStr">
        <is>
          <t>M</t>
        </is>
      </c>
      <c r="N223" s="10" t="inlineStr">
        <is>
          <t>Medium</t>
        </is>
      </c>
      <c r="O223" s="10" t="inlineStr">
        <is>
          <t>#53</t>
        </is>
      </c>
      <c r="P223" s="10" t="inlineStr">
        <is>
          <t>Titan #197</t>
        </is>
      </c>
      <c r="Q223" s="10" t="inlineStr"/>
      <c r="R223" s="8" t="inlineStr">
        <is>
          <t>Domain modules</t>
        </is>
      </c>
      <c r="S223" s="10" t="inlineStr">
        <is>
          <t>No</t>
        </is>
      </c>
      <c r="T223" s="10" t="n"/>
      <c r="U223" s="10" t="n"/>
    </row>
    <row r="224">
      <c r="A224" s="10" t="n">
        <v>223</v>
      </c>
      <c r="B224" s="10" t="inlineStr">
        <is>
          <t>Claude</t>
        </is>
      </c>
      <c r="C224" s="8" t="inlineStr">
        <is>
          <t>Domain: CMMS/EAM &amp; Field Operations</t>
        </is>
      </c>
      <c r="D224" s="8" t="inlineStr">
        <is>
          <t>Offline mobile work execution (work order, checklist, parts, photos, signature, conflict resolution)</t>
        </is>
      </c>
      <c r="E224" s="10" t="inlineStr">
        <is>
          <t>Feature</t>
        </is>
      </c>
      <c r="F224" s="10" t="inlineStr">
        <is>
          <t>Not Started</t>
        </is>
      </c>
      <c r="G224" s="10" t="inlineStr">
        <is>
          <t>P1</t>
        </is>
      </c>
      <c r="H224" s="8" t="inlineStr">
        <is>
          <t>A basic PWA exists (manifest + service worker). A working mobile view for every screen type and on-site time/material tracking are known needs. 2026-10-28 plan audit: dependency/milestone corrected (see docs/audits/2026-10-28-dynamic-restful-audit.md).</t>
        </is>
      </c>
      <c r="I224" s="8" t="inlineStr">
        <is>
          <t>A PWA or light app: assigned work, checklist, labor, parts, photos, signature, comments and status change offline with conflict resolution on sync.</t>
        </is>
      </c>
      <c r="J224" s="8" t="inlineStr">
        <is>
          <t>A work order completes with no network and syncs after reconnect with no data loss.</t>
        </is>
      </c>
      <c r="K224" s="8" t="n"/>
      <c r="L224" s="10" t="inlineStr">
        <is>
          <t>M5</t>
        </is>
      </c>
      <c r="M224" s="10" t="inlineStr">
        <is>
          <t>XL</t>
        </is>
      </c>
      <c r="N224" s="10" t="inlineStr">
        <is>
          <t>Sales blocker</t>
        </is>
      </c>
      <c r="O224" s="10" t="inlineStr">
        <is>
          <t>#89 #39</t>
        </is>
      </c>
      <c r="P224" s="10" t="inlineStr">
        <is>
          <t>Titan #177 #198</t>
        </is>
      </c>
      <c r="Q224" s="10" t="inlineStr">
        <is>
          <t>OLD-62</t>
        </is>
      </c>
      <c r="R224" s="8" t="inlineStr">
        <is>
          <t>Domain modules</t>
        </is>
      </c>
      <c r="S224" s="10" t="inlineStr">
        <is>
          <t>No</t>
        </is>
      </c>
      <c r="T224" s="10" t="n"/>
      <c r="U224" s="10" t="n"/>
    </row>
    <row r="225">
      <c r="A225" s="10" t="n">
        <v>224</v>
      </c>
      <c r="B225" s="10" t="inlineStr">
        <is>
          <t>Claude</t>
        </is>
      </c>
      <c r="C225" s="8" t="inlineStr">
        <is>
          <t>Domain: CMMS/EAM &amp; Field Operations</t>
        </is>
      </c>
      <c r="D225" s="8" t="inlineStr">
        <is>
          <t>Mobile permit/LOTO/gas test/inspection forms with offline draft</t>
        </is>
      </c>
      <c r="E225" s="10" t="inlineStr">
        <is>
          <t>Feature</t>
        </is>
      </c>
      <c r="F225" s="10" t="inlineStr">
        <is>
          <t>Not Started</t>
        </is>
      </c>
      <c r="G225" s="10" t="inlineStr">
        <is>
          <t>P1</t>
        </is>
      </c>
      <c r="H225" s="8" t="inlineStr">
        <is>
          <t>Audit E16: permits, LOTO and gas tests are desktop only. 2026-10-28 plan audit: follows #223 to M5.</t>
        </is>
      </c>
      <c r="I225" s="8" t="inlineStr">
        <is>
          <t>Mobile permit, LOTO, gas-test and inspection forms with offline drafts and server validation after sync.</t>
        </is>
      </c>
      <c r="J225" s="8" t="inlineStr">
        <is>
          <t>A field permit is captured offline and validated or rejected after reconnect.</t>
        </is>
      </c>
      <c r="K225" s="8" t="n"/>
      <c r="L225" s="10" t="inlineStr">
        <is>
          <t>M5</t>
        </is>
      </c>
      <c r="M225" s="10" t="inlineStr">
        <is>
          <t>L</t>
        </is>
      </c>
      <c r="N225" s="10" t="inlineStr">
        <is>
          <t>High</t>
        </is>
      </c>
      <c r="O225" s="10" t="inlineStr">
        <is>
          <t>#223</t>
        </is>
      </c>
      <c r="P225" s="10" t="inlineStr"/>
      <c r="Q225" s="10" t="inlineStr">
        <is>
          <t>OLD-63</t>
        </is>
      </c>
      <c r="R225" s="8" t="inlineStr">
        <is>
          <t>Domain modules</t>
        </is>
      </c>
      <c r="S225" s="10" t="inlineStr">
        <is>
          <t>No</t>
        </is>
      </c>
      <c r="T225" s="10" t="n"/>
      <c r="U225" s="10" t="n"/>
    </row>
    <row r="226">
      <c r="A226" s="10" t="n">
        <v>225</v>
      </c>
      <c r="B226" s="10" t="inlineStr">
        <is>
          <t>Claude</t>
        </is>
      </c>
      <c r="C226" s="8" t="inlineStr">
        <is>
          <t>Domain: CMMS/EAM &amp; Field Operations</t>
        </is>
      </c>
      <c r="D226" s="8" t="inlineStr">
        <is>
          <t>Asset health score (explainable and versioned)</t>
        </is>
      </c>
      <c r="E226" s="10" t="inlineStr">
        <is>
          <t>Feature</t>
        </is>
      </c>
      <c r="F226" s="10" t="inlineStr">
        <is>
          <t>Not Started</t>
        </is>
      </c>
      <c r="G226" s="10" t="inlineStr">
        <is>
          <t>P2</t>
        </is>
      </c>
      <c r="H226" s="8" t="inlineStr">
        <is>
          <t>Audit E16: no asset health score exists.</t>
        </is>
      </c>
      <c r="I226" s="8" t="inlineStr">
        <is>
          <t>An explainable, versioned and auditable score model on the asset and work-planning screens.</t>
        </is>
      </c>
      <c r="J226" s="8" t="inlineStr">
        <is>
          <t>Each asset's score is shown with its contributing factors.</t>
        </is>
      </c>
      <c r="K226" s="8" t="n"/>
      <c r="L226" s="10" t="inlineStr">
        <is>
          <t>M5</t>
        </is>
      </c>
      <c r="M226" s="10" t="inlineStr">
        <is>
          <t>L</t>
        </is>
      </c>
      <c r="N226" s="10" t="inlineStr">
        <is>
          <t>Medium</t>
        </is>
      </c>
      <c r="O226" s="10" t="inlineStr">
        <is>
          <t>#89</t>
        </is>
      </c>
      <c r="P226" s="10" t="inlineStr"/>
      <c r="Q226" s="10" t="inlineStr">
        <is>
          <t>OLD-64</t>
        </is>
      </c>
      <c r="R226" s="8" t="inlineStr">
        <is>
          <t>Domain modules</t>
        </is>
      </c>
      <c r="S226" s="10" t="inlineStr">
        <is>
          <t>No</t>
        </is>
      </c>
      <c r="T226" s="10" t="n"/>
      <c r="U226" s="10" t="n"/>
    </row>
    <row r="227">
      <c r="A227" s="10" t="n">
        <v>226</v>
      </c>
      <c r="B227" s="10" t="inlineStr">
        <is>
          <t>Claude</t>
        </is>
      </c>
      <c r="C227" s="8" t="inlineStr">
        <is>
          <t>Domain: CMMS/EAM &amp; Field Operations</t>
        </is>
      </c>
      <c r="D227" s="8" t="inlineStr">
        <is>
          <t>Condition monitoring and IIoT/sensor ingestion with thresholds and conversion to work requests</t>
        </is>
      </c>
      <c r="E227" s="10" t="inlineStr">
        <is>
          <t>Feature</t>
        </is>
      </c>
      <c r="F227" s="10" t="inlineStr">
        <is>
          <t>Not Started</t>
        </is>
      </c>
      <c r="G227" s="10" t="inlineStr">
        <is>
          <t>P2</t>
        </is>
      </c>
      <c r="H227" s="8" t="inlineStr">
        <is>
          <t>Audit E16: no sensor data ingestion exists.</t>
        </is>
      </c>
      <c r="I227" s="8" t="inlineStr">
        <is>
          <t>Data intake (MQTT/OPC UA/file), thresholds, trends, alerts and conversion to a work request with source traceability.</t>
        </is>
      </c>
      <c r="J227" s="8" t="inlineStr">
        <is>
          <t>A value crossing a threshold creates a suggested work request.</t>
        </is>
      </c>
      <c r="K227" s="8" t="n"/>
      <c r="L227" s="10" t="inlineStr">
        <is>
          <t>M5</t>
        </is>
      </c>
      <c r="M227" s="10" t="inlineStr">
        <is>
          <t>XL</t>
        </is>
      </c>
      <c r="N227" s="10" t="inlineStr">
        <is>
          <t>Medium</t>
        </is>
      </c>
      <c r="O227" s="10" t="inlineStr">
        <is>
          <t>#195</t>
        </is>
      </c>
      <c r="P227" s="10" t="inlineStr"/>
      <c r="Q227" s="10" t="inlineStr">
        <is>
          <t>OLD-65</t>
        </is>
      </c>
      <c r="R227" s="8" t="inlineStr">
        <is>
          <t>Domain modules</t>
        </is>
      </c>
      <c r="S227" s="10" t="inlineStr">
        <is>
          <t>No</t>
        </is>
      </c>
      <c r="T227" s="10" t="n"/>
      <c r="U227" s="10" t="n"/>
    </row>
    <row r="228">
      <c r="A228" s="10" t="n">
        <v>227</v>
      </c>
      <c r="B228" s="10" t="inlineStr">
        <is>
          <t>Claude</t>
        </is>
      </c>
      <c r="C228" s="8" t="inlineStr">
        <is>
          <t>Domain: CMMS/EAM &amp; Field Operations</t>
        </is>
      </c>
      <c r="D228" s="8" t="inlineStr">
        <is>
          <t>Maintenance scheduling board (capacity, skills, materials, conflicts)</t>
        </is>
      </c>
      <c r="E228" s="10" t="inlineStr">
        <is>
          <t>Feature</t>
        </is>
      </c>
      <c r="F228" s="10" t="inlineStr">
        <is>
          <t>Not Started</t>
        </is>
      </c>
      <c r="G228" s="10" t="inlineStr">
        <is>
          <t>P2</t>
        </is>
      </c>
      <c r="H228" s="8" t="inlineStr">
        <is>
          <t>Audit E16: no advanced scheduling board exists; date-range resource booking with overlap prevention is a known need.</t>
        </is>
      </c>
      <c r="I228" s="8" t="inlineStr">
        <is>
          <t>A drag/drop board with capacity, skills, materials, windows, conflicts and audited publishing.</t>
        </is>
      </c>
      <c r="J228" s="8" t="inlineStr">
        <is>
          <t>A conflicting assignment warns before publishing.</t>
        </is>
      </c>
      <c r="K228" s="8" t="n"/>
      <c r="L228" s="10" t="inlineStr">
        <is>
          <t>M5</t>
        </is>
      </c>
      <c r="M228" s="10" t="inlineStr">
        <is>
          <t>XL</t>
        </is>
      </c>
      <c r="N228" s="10" t="inlineStr">
        <is>
          <t>High</t>
        </is>
      </c>
      <c r="O228" s="10" t="inlineStr">
        <is>
          <t>#33</t>
        </is>
      </c>
      <c r="P228" s="10" t="inlineStr">
        <is>
          <t>Titan #172</t>
        </is>
      </c>
      <c r="Q228" s="10" t="inlineStr">
        <is>
          <t>OLD-66</t>
        </is>
      </c>
      <c r="R228" s="8" t="inlineStr">
        <is>
          <t>Domain modules</t>
        </is>
      </c>
      <c r="S228" s="10" t="inlineStr">
        <is>
          <t>No</t>
        </is>
      </c>
      <c r="T228" s="10" t="n"/>
      <c r="U228" s="10" t="n"/>
    </row>
    <row r="229">
      <c r="A229" s="10" t="n">
        <v>228</v>
      </c>
      <c r="B229" s="10" t="inlineStr">
        <is>
          <t>Claude</t>
        </is>
      </c>
      <c r="C229" s="8" t="inlineStr">
        <is>
          <t>Domain: CMMS/EAM &amp; Field Operations</t>
        </is>
      </c>
      <c r="D229" s="8" t="inlineStr">
        <is>
          <t>Spare-parts optimization and warranty tracking</t>
        </is>
      </c>
      <c r="E229" s="10" t="inlineStr">
        <is>
          <t>Feature</t>
        </is>
      </c>
      <c r="F229" s="10" t="inlineStr">
        <is>
          <t>Not Started</t>
        </is>
      </c>
      <c r="G229" s="10" t="inlineStr">
        <is>
          <t>P2</t>
        </is>
      </c>
      <c r="H229" s="8" t="inlineStr">
        <is>
          <t>Audit E16: no suggested min/max or parts warranty exists.</t>
        </is>
      </c>
      <c r="I229" s="8" t="inlineStr">
        <is>
          <t>Min/max suggestions, critical spares, warranty, lead time and demand from work orders.</t>
        </is>
      </c>
      <c r="J229" s="8" t="inlineStr">
        <is>
          <t>A suggested order is presented with an explanation of the calculation.</t>
        </is>
      </c>
      <c r="K229" s="8" t="n"/>
      <c r="L229" s="10" t="inlineStr">
        <is>
          <t>M5</t>
        </is>
      </c>
      <c r="M229" s="10" t="inlineStr">
        <is>
          <t>L</t>
        </is>
      </c>
      <c r="N229" s="10" t="inlineStr">
        <is>
          <t>Medium</t>
        </is>
      </c>
      <c r="O229" s="10" t="inlineStr">
        <is>
          <t>#90</t>
        </is>
      </c>
      <c r="P229" s="10" t="inlineStr"/>
      <c r="Q229" s="10" t="inlineStr">
        <is>
          <t>OLD-67</t>
        </is>
      </c>
      <c r="R229" s="8" t="inlineStr">
        <is>
          <t>Domain modules</t>
        </is>
      </c>
      <c r="S229" s="10" t="inlineStr">
        <is>
          <t>No</t>
        </is>
      </c>
      <c r="T229" s="10" t="n"/>
      <c r="U229" s="10" t="n"/>
    </row>
    <row r="230">
      <c r="A230" s="10" t="n">
        <v>229</v>
      </c>
      <c r="B230" s="10" t="inlineStr">
        <is>
          <t>Claude</t>
        </is>
      </c>
      <c r="C230" s="8" t="inlineStr">
        <is>
          <t>Domain: CMMS/EAM &amp; Field Operations</t>
        </is>
      </c>
      <c r="D230" s="8" t="inlineStr">
        <is>
          <t>Engineering instruction (TS) to work-order association (one-to-many) and field time/material logging</t>
        </is>
      </c>
      <c r="E230" s="10" t="inlineStr">
        <is>
          <t>Feature</t>
        </is>
      </c>
      <c r="F230" s="10" t="inlineStr">
        <is>
          <t>Not Started</t>
        </is>
      </c>
      <c r="G230" s="10" t="inlineStr">
        <is>
          <t>P2</t>
        </is>
      </c>
      <c r="H230" s="8" t="inlineStr">
        <is>
          <t>A one-to-many association between engineering instructions and work orders is decided but not built on the reference platform.</t>
        </is>
      </c>
      <c r="I230" s="8" t="inlineStr">
        <is>
          <t>A one-to-many link and time/material logging on the work order.</t>
        </is>
      </c>
      <c r="J230" s="8" t="inlineStr">
        <is>
          <t>From a TS all related work orders are visible and vice versa.</t>
        </is>
      </c>
      <c r="K230" s="8" t="n"/>
      <c r="L230" s="10" t="inlineStr">
        <is>
          <t>M5</t>
        </is>
      </c>
      <c r="M230" s="10" t="inlineStr">
        <is>
          <t>M</t>
        </is>
      </c>
      <c r="N230" s="10" t="inlineStr">
        <is>
          <t>Medium</t>
        </is>
      </c>
      <c r="O230" s="10" t="inlineStr">
        <is>
          <t>#89</t>
        </is>
      </c>
      <c r="P230" s="10" t="inlineStr">
        <is>
          <t>Titan #86 #198</t>
        </is>
      </c>
      <c r="Q230" s="10" t="inlineStr"/>
      <c r="R230" s="8" t="inlineStr">
        <is>
          <t>Domain modules</t>
        </is>
      </c>
      <c r="S230" s="10" t="inlineStr">
        <is>
          <t>No</t>
        </is>
      </c>
      <c r="T230" s="10" t="n"/>
      <c r="U230" s="10" t="n"/>
    </row>
    <row r="231">
      <c r="A231" s="10" t="n">
        <v>230</v>
      </c>
      <c r="B231" s="10" t="inlineStr">
        <is>
          <t>Claude</t>
        </is>
      </c>
      <c r="C231" s="8" t="inlineStr">
        <is>
          <t>Domain: CMMS/EAM &amp; Field Operations</t>
        </is>
      </c>
      <c r="D231" s="8" t="inlineStr">
        <is>
          <t>FMEA and reliability KPIs in the asset package</t>
        </is>
      </c>
      <c r="E231" s="10" t="inlineStr">
        <is>
          <t>Feature</t>
        </is>
      </c>
      <c r="F231" s="10" t="inlineStr">
        <is>
          <t>Not Started</t>
        </is>
      </c>
      <c r="G231" s="10" t="inlineStr">
        <is>
          <t>P3</t>
        </is>
      </c>
      <c r="H231" s="8" t="inlineStr">
        <is>
          <t>PEMS already has RcmFmea/Reliability (static).</t>
        </is>
      </c>
      <c r="I231" s="8" t="inlineStr">
        <is>
          <t>Connect RcmFmea and Reliability as a specialized extension in an 'Asset Management' package with reliability KPIs.</t>
        </is>
      </c>
      <c r="J231" s="8" t="inlineStr">
        <is>
          <t>An asset's FMEA is shown with KPIs and the linked maintenance plan.</t>
        </is>
      </c>
      <c r="K231" s="8" t="n"/>
      <c r="L231" s="10" t="inlineStr">
        <is>
          <t>M6</t>
        </is>
      </c>
      <c r="M231" s="10" t="inlineStr">
        <is>
          <t>L</t>
        </is>
      </c>
      <c r="N231" s="10" t="inlineStr">
        <is>
          <t>Low</t>
        </is>
      </c>
      <c r="O231" s="10" t="inlineStr">
        <is>
          <t>#93</t>
        </is>
      </c>
      <c r="P231" s="10" t="inlineStr">
        <is>
          <t>Titan #228</t>
        </is>
      </c>
      <c r="Q231" s="10" t="inlineStr"/>
      <c r="R231" s="8" t="inlineStr">
        <is>
          <t>Domain modules</t>
        </is>
      </c>
      <c r="S231" s="10" t="inlineStr">
        <is>
          <t>No</t>
        </is>
      </c>
      <c r="T231" s="10" t="n"/>
      <c r="U231" s="10" t="n"/>
    </row>
    <row r="232">
      <c r="A232" s="10" t="n">
        <v>231</v>
      </c>
      <c r="B232" s="10" t="inlineStr">
        <is>
          <t>Claude</t>
        </is>
      </c>
      <c r="C232" s="8" t="inlineStr">
        <is>
          <t>Domain: HR, Projects, Finance &amp; Procurement</t>
        </is>
      </c>
      <c r="D232" s="8" t="inlineStr">
        <is>
          <t>HR and employee services: personnel separate from users, organization, attendance, leave, training, contracts</t>
        </is>
      </c>
      <c r="E232" s="10" t="inlineStr">
        <is>
          <t>Feature</t>
        </is>
      </c>
      <c r="F232" s="10" t="inlineStr">
        <is>
          <t>Not Started</t>
        </is>
      </c>
      <c r="G232" s="10" t="inlineStr">
        <is>
          <t>P2</t>
        </is>
      </c>
      <c r="H232" s="8" t="inlineStr">
        <is>
          <t>Personnel master data should be linked to, not merged with, login users; attendance and leave are known needs.</t>
        </is>
      </c>
      <c r="I232" s="8" t="inlineStr">
        <is>
          <t>Personnel linked (not merged) to login users, org chart, attendance, leave with approval, training, contracts and self-service, all built with the module builder.</t>
        </is>
      </c>
      <c r="J232" s="8" t="inlineStr">
        <is>
          <t>A leave request runs through approval workflow with an end-to-end leave balance.</t>
        </is>
      </c>
      <c r="K232" s="8" t="n"/>
      <c r="L232" s="10" t="inlineStr">
        <is>
          <t>M5</t>
        </is>
      </c>
      <c r="M232" s="10" t="inlineStr">
        <is>
          <t>XL</t>
        </is>
      </c>
      <c r="N232" s="10" t="inlineStr">
        <is>
          <t>Medium</t>
        </is>
      </c>
      <c r="O232" s="10" t="inlineStr">
        <is>
          <t>#88</t>
        </is>
      </c>
      <c r="P232" s="10" t="inlineStr">
        <is>
          <t>Titan #91 #186 #187 #188</t>
        </is>
      </c>
      <c r="Q232" s="10" t="inlineStr">
        <is>
          <t>OLD-108</t>
        </is>
      </c>
      <c r="R232" s="8" t="inlineStr">
        <is>
          <t>Domain modules</t>
        </is>
      </c>
      <c r="S232" s="10" t="inlineStr">
        <is>
          <t>No</t>
        </is>
      </c>
      <c r="T232" s="10" t="n"/>
      <c r="U232" s="10" t="n"/>
    </row>
    <row r="233">
      <c r="A233" s="10" t="n">
        <v>232</v>
      </c>
      <c r="B233" s="10" t="inlineStr">
        <is>
          <t>Claude</t>
        </is>
      </c>
      <c r="C233" s="8" t="inlineStr">
        <is>
          <t>Domain: HR, Projects, Finance &amp; Procurement</t>
        </is>
      </c>
      <c r="D233" s="8" t="inlineStr">
        <is>
          <t>Project control, change, quality and operations (MOC, risk, NCR/CAPA, ITP, SOP) as dynamic processes</t>
        </is>
      </c>
      <c r="E233" s="10" t="inlineStr">
        <is>
          <t>Feature</t>
        </is>
      </c>
      <c r="F233" s="10" t="inlineStr">
        <is>
          <t>Not Started</t>
        </is>
      </c>
      <c r="G233" s="10" t="inlineStr">
        <is>
          <t>P2</t>
        </is>
      </c>
      <c r="H233" s="8" t="inlineStr">
        <is>
          <t>Audit E24: MOC, risk, NCR/CAPA, ITP and SOP named in the requirements document must become dynamic processes.</t>
        </is>
      </c>
      <c r="I233" s="8" t="inlineStr">
        <is>
          <t>Build each process with a template of form + workflow + report (FRM_TPL) and put it in the template pack.</t>
        </is>
      </c>
      <c r="J233" s="8" t="inlineStr">
        <is>
          <t>A complete NCR/CAPA process runs with report and SLA.</t>
        </is>
      </c>
      <c r="K233" s="8" t="n"/>
      <c r="L233" s="10" t="inlineStr">
        <is>
          <t>M5</t>
        </is>
      </c>
      <c r="M233" s="10" t="inlineStr">
        <is>
          <t>XL</t>
        </is>
      </c>
      <c r="N233" s="10" t="inlineStr">
        <is>
          <t>Medium</t>
        </is>
      </c>
      <c r="O233" s="10" t="inlineStr">
        <is>
          <t>#82</t>
        </is>
      </c>
      <c r="P233" s="10" t="inlineStr">
        <is>
          <t>Titan #106 #108</t>
        </is>
      </c>
      <c r="Q233" s="10" t="inlineStr">
        <is>
          <t>OLD-110</t>
        </is>
      </c>
      <c r="R233" s="8" t="inlineStr">
        <is>
          <t>Domain modules</t>
        </is>
      </c>
      <c r="S233" s="10" t="inlineStr">
        <is>
          <t>No</t>
        </is>
      </c>
      <c r="T233" s="10" t="n"/>
      <c r="U233" s="10" t="n"/>
    </row>
    <row r="234">
      <c r="A234" s="10" t="n">
        <v>233</v>
      </c>
      <c r="B234" s="10" t="inlineStr">
        <is>
          <t>Claude</t>
        </is>
      </c>
      <c r="C234" s="8" t="inlineStr">
        <is>
          <t>Domain: HR, Projects, Finance &amp; Procurement</t>
        </is>
      </c>
      <c r="D234" s="8" t="inlineStr">
        <is>
          <t>Finance, procurement and warehouse: cost code, invoice, contract, receipt and store issue</t>
        </is>
      </c>
      <c r="E234" s="10" t="inlineStr">
        <is>
          <t>Feature</t>
        </is>
      </c>
      <c r="F234" s="10" t="inlineStr">
        <is>
          <t>Not Started</t>
        </is>
      </c>
      <c r="G234" s="10" t="inlineStr">
        <is>
          <t>P3</t>
        </is>
      </c>
      <c r="H234" s="8" t="inlineStr">
        <is>
          <t>Buying-side PO shape, costing and a quote/order/invoice engine are known but unbuilt needs.</t>
        </is>
      </c>
      <c r="I234" s="8" t="inlineStr">
        <is>
          <t>Cost code, invoice, contract, receipt/issue, spares and service contract on shared master data; record the build-or-integrate-accounting decision.</t>
        </is>
      </c>
      <c r="J234" s="8" t="inlineStr">
        <is>
          <t>An audited purchase-to-payment-record cycle works end to end.</t>
        </is>
      </c>
      <c r="K234" s="8" t="n"/>
      <c r="L234" s="10" t="inlineStr">
        <is>
          <t>M6</t>
        </is>
      </c>
      <c r="M234" s="10" t="inlineStr">
        <is>
          <t>XL</t>
        </is>
      </c>
      <c r="N234" s="10" t="inlineStr">
        <is>
          <t>Low</t>
        </is>
      </c>
      <c r="O234" s="10" t="inlineStr">
        <is>
          <t>#90</t>
        </is>
      </c>
      <c r="P234" s="10" t="inlineStr">
        <is>
          <t>Titan #191 #193 #194 #195 #224</t>
        </is>
      </c>
      <c r="Q234" s="10" t="inlineStr">
        <is>
          <t>OLD-111</t>
        </is>
      </c>
      <c r="R234" s="8" t="inlineStr">
        <is>
          <t>Domain modules</t>
        </is>
      </c>
      <c r="S234" s="10" t="inlineStr">
        <is>
          <t>No</t>
        </is>
      </c>
      <c r="T234" s="10" t="n"/>
      <c r="U234" s="10" t="n"/>
    </row>
    <row r="235">
      <c r="A235" s="10" t="n">
        <v>234</v>
      </c>
      <c r="B235" s="10" t="inlineStr">
        <is>
          <t>Claude</t>
        </is>
      </c>
      <c r="C235" s="8" t="inlineStr">
        <is>
          <t>Support, Operations &amp; Documentation</t>
        </is>
      </c>
      <c r="D235" s="8" t="inlineStr">
        <is>
          <t>Implementation playbook and template packs for EPC/CMMS projects</t>
        </is>
      </c>
      <c r="E235" s="10" t="inlineStr">
        <is>
          <t>Docs</t>
        </is>
      </c>
      <c r="F235" s="10" t="inlineStr">
        <is>
          <t>Not Started</t>
        </is>
      </c>
      <c r="G235" s="10" t="inlineStr">
        <is>
          <t>P1</t>
        </is>
      </c>
      <c r="H235" s="8" t="inlineStr">
        <is>
          <t>Audit E20: no implementation templates (roles, workflows, forms, reports, import, UAT, sample data) exist.</t>
        </is>
      </c>
      <c r="I235" s="8" t="inlineStr">
        <is>
          <t>A template pack for EPC/CMMS projects with roles, forms, workflows, reports, imports, UAT and sample data, plus a step-by-step implementation guide.</t>
        </is>
      </c>
      <c r="J235" s="8" t="inlineStr">
        <is>
          <t>A sample implementation with the pack in 2 weeks or less on a test environment.</t>
        </is>
      </c>
      <c r="K235" s="8" t="n"/>
      <c r="L235" s="10" t="inlineStr">
        <is>
          <t>M4</t>
        </is>
      </c>
      <c r="M235" s="10" t="inlineStr">
        <is>
          <t>L</t>
        </is>
      </c>
      <c r="N235" s="10" t="inlineStr">
        <is>
          <t>High</t>
        </is>
      </c>
      <c r="O235" s="10" t="inlineStr">
        <is>
          <t>#52</t>
        </is>
      </c>
      <c r="P235" s="10" t="inlineStr"/>
      <c r="Q235" s="10" t="inlineStr">
        <is>
          <t>OLD-86</t>
        </is>
      </c>
      <c r="R235" s="8" t="inlineStr">
        <is>
          <t>Support &amp; documentation</t>
        </is>
      </c>
      <c r="S235" s="10" t="inlineStr">
        <is>
          <t>No</t>
        </is>
      </c>
      <c r="T235" s="10" t="n"/>
      <c r="U235" s="10" t="n"/>
    </row>
    <row r="236">
      <c r="A236" s="10" t="n">
        <v>235</v>
      </c>
      <c r="B236" s="10" t="inlineStr">
        <is>
          <t>Claude</t>
        </is>
      </c>
      <c r="C236" s="8" t="inlineStr">
        <is>
          <t>Support, Operations &amp; Documentation</t>
        </is>
      </c>
      <c r="D236" s="8" t="inlineStr">
        <is>
          <t>Support/ticket and SLA module</t>
        </is>
      </c>
      <c r="E236" s="10" t="inlineStr">
        <is>
          <t>Feature</t>
        </is>
      </c>
      <c r="F236" s="10" t="inlineStr">
        <is>
          <t>Not Started</t>
        </is>
      </c>
      <c r="G236" s="10" t="inlineStr">
        <is>
          <t>P2</t>
        </is>
      </c>
      <c r="H236" s="8" t="inlineStr">
        <is>
          <t>A supporting app (tickets/errors/logs) with RBAC is a proven building block.</t>
        </is>
      </c>
      <c r="I236" s="8" t="inlineStr">
        <is>
          <t>A ticket and SLA module built with the module builder/Case (W_CASE): severity, timer, assignment, customer updates and resolution report.</t>
        </is>
      </c>
      <c r="J236" s="8" t="inlineStr">
        <is>
          <t>A ticket from filing to resolution with SLA and a final report.</t>
        </is>
      </c>
      <c r="K236" s="8" t="n"/>
      <c r="L236" s="10" t="inlineStr">
        <is>
          <t>M5</t>
        </is>
      </c>
      <c r="M236" s="10" t="inlineStr">
        <is>
          <t>L</t>
        </is>
      </c>
      <c r="N236" s="10" t="inlineStr">
        <is>
          <t>Medium</t>
        </is>
      </c>
      <c r="O236" s="10" t="inlineStr">
        <is>
          <t>#79</t>
        </is>
      </c>
      <c r="P236" s="10" t="inlineStr">
        <is>
          <t>Titan #93 #127</t>
        </is>
      </c>
      <c r="Q236" s="10" t="inlineStr">
        <is>
          <t>OLD-107</t>
        </is>
      </c>
      <c r="R236" s="8" t="inlineStr">
        <is>
          <t>Support &amp; documentation</t>
        </is>
      </c>
      <c r="S236" s="10" t="inlineStr">
        <is>
          <t>No</t>
        </is>
      </c>
      <c r="T236" s="10" t="n"/>
      <c r="U236" s="10" t="n"/>
    </row>
    <row r="237">
      <c r="A237" s="10" t="n">
        <v>236</v>
      </c>
      <c r="B237" s="10" t="inlineStr">
        <is>
          <t>Claude</t>
        </is>
      </c>
      <c r="C237" s="8" t="inlineStr">
        <is>
          <t>Support, Operations &amp; Documentation</t>
        </is>
      </c>
      <c r="D237" s="8" t="inlineStr">
        <is>
          <t>User and admin training programme (course, video, certificate) and system guide</t>
        </is>
      </c>
      <c r="E237" s="10" t="inlineStr">
        <is>
          <t>Docs</t>
        </is>
      </c>
      <c r="F237" s="10" t="inlineStr">
        <is>
          <t>Not Started</t>
        </is>
      </c>
      <c r="G237" s="10" t="inlineStr">
        <is>
          <t>P1</t>
        </is>
      </c>
      <c r="H237" s="8" t="inlineStr">
        <is>
          <t>Audit Help Governance: documentation must stay in sync with code.</t>
        </is>
      </c>
      <c r="I237" s="8" t="inlineStr">
        <is>
          <t>Lesson plan, video and exercises for user, builder and admin roles; certificate on completion.</t>
        </is>
      </c>
      <c r="J237" s="8" t="inlineStr">
        <is>
          <t>A three-day course is ready to run and participant feedback is recorded.</t>
        </is>
      </c>
      <c r="K237" s="8" t="n"/>
      <c r="L237" s="10" t="inlineStr">
        <is>
          <t>M4</t>
        </is>
      </c>
      <c r="M237" s="10" t="inlineStr">
        <is>
          <t>M</t>
        </is>
      </c>
      <c r="N237" s="10" t="inlineStr">
        <is>
          <t>High</t>
        </is>
      </c>
      <c r="O237" s="10" t="inlineStr">
        <is>
          <t>#136</t>
        </is>
      </c>
      <c r="P237" s="10" t="inlineStr"/>
      <c r="Q237" s="10" t="inlineStr"/>
      <c r="R237" s="8" t="inlineStr">
        <is>
          <t>Support &amp; documentation</t>
        </is>
      </c>
      <c r="S237" s="10" t="inlineStr">
        <is>
          <t>No</t>
        </is>
      </c>
      <c r="T237" s="10" t="n"/>
      <c r="U237" s="10" t="n"/>
    </row>
    <row r="238">
      <c r="A238" s="10" t="n">
        <v>237</v>
      </c>
      <c r="B238" s="10" t="inlineStr">
        <is>
          <t>Claude</t>
        </is>
      </c>
      <c r="C238" s="8" t="inlineStr">
        <is>
          <t>Support, Operations &amp; Documentation</t>
        </is>
      </c>
      <c r="D238" s="8" t="inlineStr">
        <is>
          <t>Help governance: automatic help for dynamic forms/modules from metadata</t>
        </is>
      </c>
      <c r="E238" s="10" t="inlineStr">
        <is>
          <t>Feature</t>
        </is>
      </c>
      <c r="F238" s="10" t="inlineStr">
        <is>
          <t>Not Started</t>
        </is>
      </c>
      <c r="G238" s="10" t="inlineStr">
        <is>
          <t>P2</t>
        </is>
      </c>
      <c r="H238" s="8" t="inlineStr">
        <is>
          <t>docs/help and ContextualHelp exist.</t>
        </is>
      </c>
      <c r="I238" s="8" t="inlineStr">
        <is>
          <t>Generate contextual help for each dynamic form/module from metadata descriptions and merge it with the existing Help system.</t>
        </is>
      </c>
      <c r="J238" s="8" t="inlineStr">
        <is>
          <t>Adding a field with a description puts its help in the UI and docs.</t>
        </is>
      </c>
      <c r="K238" s="8" t="n"/>
      <c r="L238" s="10" t="inlineStr">
        <is>
          <t>M5</t>
        </is>
      </c>
      <c r="M238" s="10" t="inlineStr">
        <is>
          <t>M</t>
        </is>
      </c>
      <c r="N238" s="10" t="inlineStr">
        <is>
          <t>Medium</t>
        </is>
      </c>
      <c r="O238" s="10" t="inlineStr">
        <is>
          <t>#10 #136</t>
        </is>
      </c>
      <c r="P238" s="10" t="inlineStr"/>
      <c r="Q238" s="10" t="inlineStr"/>
      <c r="R238" s="8" t="inlineStr">
        <is>
          <t>Support &amp; documentation</t>
        </is>
      </c>
      <c r="S238" s="10" t="inlineStr">
        <is>
          <t>No</t>
        </is>
      </c>
      <c r="T238" s="10" t="n"/>
      <c r="U238" s="10" t="n"/>
    </row>
    <row r="239">
      <c r="A239" s="10" t="n">
        <v>238</v>
      </c>
      <c r="B239" s="10" t="inlineStr">
        <is>
          <t>Claude</t>
        </is>
      </c>
      <c r="C239" s="8" t="inlineStr">
        <is>
          <t>Support, Operations &amp; Documentation</t>
        </is>
      </c>
      <c r="D239" s="8" t="inlineStr">
        <is>
          <t>Keep this backlog current: update Status/Report in the same task as the work</t>
        </is>
      </c>
      <c r="E239" s="10" t="inlineStr">
        <is>
          <t>Ops Process</t>
        </is>
      </c>
      <c r="F239" s="10" t="inlineStr">
        <is>
          <t>Not Started</t>
        </is>
      </c>
      <c r="G239" s="10" t="inlineStr">
        <is>
          <t>P1</t>
        </is>
      </c>
      <c r="H239" s="8" t="inlineStr">
        <is>
          <t>Plan-file-driven work only stays trustworthy if it is updated as part of every task.</t>
        </is>
      </c>
      <c r="I239" s="8" t="inlineStr">
        <is>
          <t>Before each task mark its row In Progress and afterward Done/Partial with a Report (commit); new rows get fresh numbers.</t>
        </is>
      </c>
      <c r="J239" s="8" t="inlineStr">
        <is>
          <t>No task is closed without a row and a report in the backlog.</t>
        </is>
      </c>
      <c r="K239" s="8" t="n"/>
      <c r="L239" s="10" t="inlineStr">
        <is>
          <t>M4</t>
        </is>
      </c>
      <c r="M239" s="10" t="inlineStr">
        <is>
          <t>S</t>
        </is>
      </c>
      <c r="N239" s="10" t="inlineStr">
        <is>
          <t>Medium</t>
        </is>
      </c>
      <c r="O239" s="10" t="inlineStr">
        <is>
          <t>#2</t>
        </is>
      </c>
      <c r="P239" s="10" t="inlineStr"/>
      <c r="Q239" s="10" t="inlineStr"/>
      <c r="R239" s="8" t="inlineStr">
        <is>
          <t>Support &amp; documentation</t>
        </is>
      </c>
      <c r="S239" s="10" t="inlineStr">
        <is>
          <t>No</t>
        </is>
      </c>
      <c r="T239" s="10" t="n"/>
      <c r="U239" s="10" t="n"/>
    </row>
    <row r="240">
      <c r="A240" s="10" t="n">
        <v>239</v>
      </c>
      <c r="B240" s="10" t="inlineStr">
        <is>
          <t>Claude</t>
        </is>
      </c>
      <c r="C240" s="8" t="inlineStr">
        <is>
          <t>Existing PEMS Capabilities (estimated from code)</t>
        </is>
      </c>
      <c r="D240" s="8" t="inlineStr">
        <is>
          <t>Multi-project .NET architecture (Web, Application, Domain, Persistence, Infrastructure, Shared, AI, WorkflowPlatform, Tests)</t>
        </is>
      </c>
      <c r="E240" s="10" t="inlineStr">
        <is>
          <t>Feature</t>
        </is>
      </c>
      <c r="F240" s="10" t="inlineStr">
        <is>
          <t>Done</t>
        </is>
      </c>
      <c r="G240" s="10" t="inlineStr">
        <is>
          <t>P3</t>
        </is>
      </c>
      <c r="H240" s="8" t="inlineStr">
        <is>
          <t>PEMS.slnx; 1,505 C#/Razor files</t>
        </is>
      </c>
      <c r="I240" s="8" t="inlineStr">
        <is>
          <t>No action required; only review during acceptance QA.</t>
        </is>
      </c>
      <c r="J240" s="8" t="inlineStr">
        <is>
          <t>Status estimated from static code inspection/audit; acceptance tests have not been run.</t>
        </is>
      </c>
      <c r="K240" s="8" t="n"/>
      <c r="L240" s="10" t="inlineStr">
        <is>
          <t>-</t>
        </is>
      </c>
      <c r="M240" s="10" t="inlineStr">
        <is>
          <t>S</t>
        </is>
      </c>
      <c r="N240" s="10" t="inlineStr">
        <is>
          <t>-</t>
        </is>
      </c>
      <c r="O240" s="10" t="inlineStr"/>
      <c r="P240" s="10" t="inlineStr"/>
      <c r="Q240" s="10" t="inlineStr">
        <is>
          <t>OLD-D1</t>
        </is>
      </c>
      <c r="R240" s="8" t="inlineStr">
        <is>
          <t>Existing capabilities</t>
        </is>
      </c>
      <c r="S240" s="10" t="inlineStr">
        <is>
          <t>No</t>
        </is>
      </c>
      <c r="T240" s="10" t="n"/>
      <c r="U240" s="10" t="n"/>
    </row>
    <row r="241">
      <c r="A241" s="10" t="n">
        <v>240</v>
      </c>
      <c r="B241" s="10" t="inlineStr">
        <is>
          <t>Claude</t>
        </is>
      </c>
      <c r="C241" s="8" t="inlineStr">
        <is>
          <t>Existing PEMS Capabilities (estimated from code)</t>
        </is>
      </c>
      <c r="D241" s="8" t="inlineStr">
        <is>
          <t>ASP.NET Identity authentication with secure cookie, lockout and global authorization filter</t>
        </is>
      </c>
      <c r="E241" s="10" t="inlineStr">
        <is>
          <t>Feature</t>
        </is>
      </c>
      <c r="F241" s="10" t="inlineStr">
        <is>
          <t>Done</t>
        </is>
      </c>
      <c r="G241" s="10" t="inlineStr">
        <is>
          <t>P3</t>
        </is>
      </c>
      <c r="H241" s="8" t="inlineStr">
        <is>
          <t>PEMS.Web/Program.cs</t>
        </is>
      </c>
      <c r="I241" s="8" t="inlineStr">
        <is>
          <t>No action required; only review during acceptance QA.</t>
        </is>
      </c>
      <c r="J241" s="8" t="inlineStr">
        <is>
          <t>Status estimated from static code inspection/audit; acceptance tests have not been run.</t>
        </is>
      </c>
      <c r="K241" s="8" t="n"/>
      <c r="L241" s="10" t="inlineStr">
        <is>
          <t>-</t>
        </is>
      </c>
      <c r="M241" s="10" t="inlineStr">
        <is>
          <t>S</t>
        </is>
      </c>
      <c r="N241" s="10" t="inlineStr">
        <is>
          <t>-</t>
        </is>
      </c>
      <c r="O241" s="10" t="inlineStr"/>
      <c r="P241" s="10" t="inlineStr"/>
      <c r="Q241" s="10" t="inlineStr">
        <is>
          <t>OLD-D2 OLD-D4</t>
        </is>
      </c>
      <c r="R241" s="8" t="inlineStr">
        <is>
          <t>Existing capabilities</t>
        </is>
      </c>
      <c r="S241" s="10" t="inlineStr">
        <is>
          <t>No</t>
        </is>
      </c>
      <c r="T241" s="10" t="n"/>
      <c r="U241" s="10" t="n"/>
    </row>
    <row r="242">
      <c r="A242" s="10" t="n">
        <v>241</v>
      </c>
      <c r="B242" s="10" t="inlineStr">
        <is>
          <t>Claude</t>
        </is>
      </c>
      <c r="C242" s="8" t="inlineStr">
        <is>
          <t>Existing PEMS Capabilities (estimated from code)</t>
        </is>
      </c>
      <c r="D242" s="8" t="inlineStr">
        <is>
          <t>WebAuthn/FIDO2 registration and step-up</t>
        </is>
      </c>
      <c r="E242" s="10" t="inlineStr">
        <is>
          <t>Feature</t>
        </is>
      </c>
      <c r="F242" s="10" t="inlineStr">
        <is>
          <t>Done</t>
        </is>
      </c>
      <c r="G242" s="10" t="inlineStr">
        <is>
          <t>P3</t>
        </is>
      </c>
      <c r="H242" s="8" t="inlineStr">
        <is>
          <t>Fido2.AspNet 4.0.1</t>
        </is>
      </c>
      <c r="I242" s="8" t="inlineStr">
        <is>
          <t>No action required; only review during acceptance QA.</t>
        </is>
      </c>
      <c r="J242" s="8" t="inlineStr">
        <is>
          <t>Status estimated from static code inspection/audit; acceptance tests have not been run.</t>
        </is>
      </c>
      <c r="K242" s="8" t="n"/>
      <c r="L242" s="10" t="inlineStr">
        <is>
          <t>-</t>
        </is>
      </c>
      <c r="M242" s="10" t="inlineStr">
        <is>
          <t>S</t>
        </is>
      </c>
      <c r="N242" s="10" t="inlineStr">
        <is>
          <t>-</t>
        </is>
      </c>
      <c r="O242" s="10" t="inlineStr"/>
      <c r="P242" s="10" t="inlineStr"/>
      <c r="Q242" s="10" t="inlineStr">
        <is>
          <t>OLD-D3</t>
        </is>
      </c>
      <c r="R242" s="8" t="inlineStr">
        <is>
          <t>Existing capabilities</t>
        </is>
      </c>
      <c r="S242" s="10" t="inlineStr">
        <is>
          <t>No</t>
        </is>
      </c>
      <c r="T242" s="10" t="n"/>
      <c r="U242" s="10" t="n"/>
    </row>
    <row r="243">
      <c r="A243" s="10" t="n">
        <v>242</v>
      </c>
      <c r="B243" s="10" t="inlineStr">
        <is>
          <t>Claude</t>
        </is>
      </c>
      <c r="C243" s="8" t="inlineStr">
        <is>
          <t>Existing PEMS Capabilities (estimated from code)</t>
        </is>
      </c>
      <c r="D243" s="8" t="inlineStr">
        <is>
          <t>Central access model (Permission, RolePermissionGrant, RoleAssignment, SoDPolicy, AuthorizationAuditLog)</t>
        </is>
      </c>
      <c r="E243" s="10" t="inlineStr">
        <is>
          <t>Feature</t>
        </is>
      </c>
      <c r="F243" s="10" t="inlineStr">
        <is>
          <t>Done</t>
        </is>
      </c>
      <c r="G243" s="10" t="inlineStr">
        <is>
          <t>P3</t>
        </is>
      </c>
      <c r="H243" s="8" t="inlineStr">
        <is>
          <t>PEMS.Persistence</t>
        </is>
      </c>
      <c r="I243" s="8" t="inlineStr">
        <is>
          <t>No action required; only review during acceptance QA.</t>
        </is>
      </c>
      <c r="J243" s="8" t="inlineStr">
        <is>
          <t>Status estimated from static code inspection/audit; acceptance tests have not been run.</t>
        </is>
      </c>
      <c r="K243" s="8" t="n"/>
      <c r="L243" s="10" t="inlineStr">
        <is>
          <t>-</t>
        </is>
      </c>
      <c r="M243" s="10" t="inlineStr">
        <is>
          <t>S</t>
        </is>
      </c>
      <c r="N243" s="10" t="inlineStr">
        <is>
          <t>-</t>
        </is>
      </c>
      <c r="O243" s="10" t="inlineStr"/>
      <c r="P243" s="10" t="inlineStr"/>
      <c r="Q243" s="10" t="inlineStr">
        <is>
          <t>OLD-D5 OLD-D6 OLD-D7 OLD-D8</t>
        </is>
      </c>
      <c r="R243" s="8" t="inlineStr">
        <is>
          <t>Existing capabilities</t>
        </is>
      </c>
      <c r="S243" s="10" t="inlineStr">
        <is>
          <t>No</t>
        </is>
      </c>
      <c r="T243" s="10" t="n"/>
      <c r="U243" s="10" t="n"/>
    </row>
    <row r="244">
      <c r="A244" s="10" t="n">
        <v>243</v>
      </c>
      <c r="B244" s="10" t="inlineStr">
        <is>
          <t>Claude</t>
        </is>
      </c>
      <c r="C244" s="8" t="inlineStr">
        <is>
          <t>Existing PEMS Capabilities (estimated from code)</t>
        </is>
      </c>
      <c r="D244" s="8" t="inlineStr">
        <is>
          <t>Single workflow runtime with versions, stages, transitions, parallel, approval and history</t>
        </is>
      </c>
      <c r="E244" s="10" t="inlineStr">
        <is>
          <t>Feature</t>
        </is>
      </c>
      <c r="F244" s="10" t="inlineStr">
        <is>
          <t>Done</t>
        </is>
      </c>
      <c r="G244" s="10" t="inlineStr">
        <is>
          <t>P3</t>
        </is>
      </c>
      <c r="H244" s="8" t="inlineStr">
        <is>
          <t>PEMS.WorkflowPlatform</t>
        </is>
      </c>
      <c r="I244" s="8" t="inlineStr">
        <is>
          <t>No action required; only review during acceptance QA.</t>
        </is>
      </c>
      <c r="J244" s="8" t="inlineStr">
        <is>
          <t>Status estimated from static code inspection/audit; acceptance tests have not been run.</t>
        </is>
      </c>
      <c r="K244" s="8" t="n"/>
      <c r="L244" s="10" t="inlineStr">
        <is>
          <t>-</t>
        </is>
      </c>
      <c r="M244" s="10" t="inlineStr">
        <is>
          <t>S</t>
        </is>
      </c>
      <c r="N244" s="10" t="inlineStr">
        <is>
          <t>-</t>
        </is>
      </c>
      <c r="O244" s="10" t="inlineStr"/>
      <c r="P244" s="10" t="inlineStr"/>
      <c r="Q244" s="10" t="inlineStr">
        <is>
          <t>OLD-D9 OLD-D10 OLD-D11</t>
        </is>
      </c>
      <c r="R244" s="8" t="inlineStr">
        <is>
          <t>Existing capabilities</t>
        </is>
      </c>
      <c r="S244" s="10" t="inlineStr">
        <is>
          <t>No</t>
        </is>
      </c>
      <c r="T244" s="10" t="n"/>
      <c r="U244" s="10" t="n"/>
    </row>
    <row r="245">
      <c r="A245" s="10" t="n">
        <v>244</v>
      </c>
      <c r="B245" s="10" t="inlineStr">
        <is>
          <t>Claude</t>
        </is>
      </c>
      <c r="C245" s="8" t="inlineStr">
        <is>
          <t>Existing PEMS Capabilities (estimated from code)</t>
        </is>
      </c>
      <c r="D245" s="8" t="inlineStr">
        <is>
          <t>EDMS/VDR depth (revisions, transmittals, TQ, DCC, MDR)</t>
        </is>
      </c>
      <c r="E245" s="10" t="inlineStr">
        <is>
          <t>Feature</t>
        </is>
      </c>
      <c r="F245" s="10" t="inlineStr">
        <is>
          <t>Done</t>
        </is>
      </c>
      <c r="G245" s="10" t="inlineStr">
        <is>
          <t>P3</t>
        </is>
      </c>
      <c r="H245" s="8" t="inlineStr">
        <is>
          <t>docs/audits and Views</t>
        </is>
      </c>
      <c r="I245" s="8" t="inlineStr">
        <is>
          <t>No action required; only review during acceptance QA.</t>
        </is>
      </c>
      <c r="J245" s="8" t="inlineStr">
        <is>
          <t>Status estimated from static code inspection/audit; acceptance tests have not been run.</t>
        </is>
      </c>
      <c r="K245" s="8" t="n"/>
      <c r="L245" s="10" t="inlineStr">
        <is>
          <t>-</t>
        </is>
      </c>
      <c r="M245" s="10" t="inlineStr">
        <is>
          <t>S</t>
        </is>
      </c>
      <c r="N245" s="10" t="inlineStr">
        <is>
          <t>-</t>
        </is>
      </c>
      <c r="O245" s="10" t="inlineStr"/>
      <c r="P245" s="10" t="inlineStr"/>
      <c r="Q245" s="10" t="inlineStr">
        <is>
          <t>OLD-D12</t>
        </is>
      </c>
      <c r="R245" s="8" t="inlineStr">
        <is>
          <t>Existing capabilities</t>
        </is>
      </c>
      <c r="S245" s="10" t="inlineStr">
        <is>
          <t>No</t>
        </is>
      </c>
      <c r="T245" s="10" t="n"/>
      <c r="U245" s="10" t="n"/>
    </row>
    <row r="246">
      <c r="A246" s="10" t="n">
        <v>245</v>
      </c>
      <c r="B246" s="10" t="inlineStr">
        <is>
          <t>Claude</t>
        </is>
      </c>
      <c r="C246" s="8" t="inlineStr">
        <is>
          <t>Existing PEMS Capabilities (estimated from code)</t>
        </is>
      </c>
      <c r="D246" s="8" t="inlineStr">
        <is>
          <t>Import Center with 11 imports and access control</t>
        </is>
      </c>
      <c r="E246" s="10" t="inlineStr">
        <is>
          <t>Feature</t>
        </is>
      </c>
      <c r="F246" s="10" t="inlineStr">
        <is>
          <t>Done</t>
        </is>
      </c>
      <c r="G246" s="10" t="inlineStr">
        <is>
          <t>P3</t>
        </is>
      </c>
      <c r="H246" s="8" t="inlineStr">
        <is>
          <t>Import Center</t>
        </is>
      </c>
      <c r="I246" s="8" t="inlineStr">
        <is>
          <t>No action required; only review during acceptance QA.</t>
        </is>
      </c>
      <c r="J246" s="8" t="inlineStr">
        <is>
          <t>Status estimated from static code inspection/audit; acceptance tests have not been run.</t>
        </is>
      </c>
      <c r="K246" s="8" t="n"/>
      <c r="L246" s="10" t="inlineStr">
        <is>
          <t>-</t>
        </is>
      </c>
      <c r="M246" s="10" t="inlineStr">
        <is>
          <t>S</t>
        </is>
      </c>
      <c r="N246" s="10" t="inlineStr">
        <is>
          <t>-</t>
        </is>
      </c>
      <c r="O246" s="10" t="inlineStr"/>
      <c r="P246" s="10" t="inlineStr"/>
      <c r="Q246" s="10" t="inlineStr">
        <is>
          <t>OLD-D13</t>
        </is>
      </c>
      <c r="R246" s="8" t="inlineStr">
        <is>
          <t>Existing capabilities</t>
        </is>
      </c>
      <c r="S246" s="10" t="inlineStr">
        <is>
          <t>No</t>
        </is>
      </c>
      <c r="T246" s="10" t="n"/>
      <c r="U246" s="10" t="n"/>
    </row>
    <row r="247">
      <c r="A247" s="10" t="n">
        <v>246</v>
      </c>
      <c r="B247" s="10" t="inlineStr">
        <is>
          <t>Claude</t>
        </is>
      </c>
      <c r="C247" s="8" t="inlineStr">
        <is>
          <t>Existing PEMS Capabilities (estimated from code)</t>
        </is>
      </c>
      <c r="D247" s="8" t="inlineStr">
        <is>
          <t>Relationship exploration service (equipment/document/vendor/MR/PO/work order) with AI relation suggestion</t>
        </is>
      </c>
      <c r="E247" s="10" t="inlineStr">
        <is>
          <t>Feature</t>
        </is>
      </c>
      <c r="F247" s="10" t="inlineStr">
        <is>
          <t>Done</t>
        </is>
      </c>
      <c r="G247" s="10" t="inlineStr">
        <is>
          <t>P3</t>
        </is>
      </c>
      <c r="H247" s="8" t="inlineStr">
        <is>
          <t>Relationship</t>
        </is>
      </c>
      <c r="I247" s="8" t="inlineStr">
        <is>
          <t>No action required; only review during acceptance QA.</t>
        </is>
      </c>
      <c r="J247" s="8" t="inlineStr">
        <is>
          <t>Status estimated from static code inspection/audit; acceptance tests have not been run.</t>
        </is>
      </c>
      <c r="K247" s="8" t="n"/>
      <c r="L247" s="10" t="inlineStr">
        <is>
          <t>-</t>
        </is>
      </c>
      <c r="M247" s="10" t="inlineStr">
        <is>
          <t>S</t>
        </is>
      </c>
      <c r="N247" s="10" t="inlineStr">
        <is>
          <t>-</t>
        </is>
      </c>
      <c r="O247" s="10" t="inlineStr"/>
      <c r="P247" s="10" t="inlineStr"/>
      <c r="Q247" s="10" t="inlineStr">
        <is>
          <t>OLD-D14</t>
        </is>
      </c>
      <c r="R247" s="8" t="inlineStr">
        <is>
          <t>Existing capabilities</t>
        </is>
      </c>
      <c r="S247" s="10" t="inlineStr">
        <is>
          <t>No</t>
        </is>
      </c>
      <c r="T247" s="10" t="n"/>
      <c r="U247" s="10" t="n"/>
    </row>
    <row r="248">
      <c r="A248" s="10" t="n">
        <v>247</v>
      </c>
      <c r="B248" s="10" t="inlineStr">
        <is>
          <t>Claude</t>
        </is>
      </c>
      <c r="C248" s="8" t="inlineStr">
        <is>
          <t>Existing PEMS Capabilities (estimated from code)</t>
        </is>
      </c>
      <c r="D248" s="8" t="inlineStr">
        <is>
          <t>Docker/on-prem development packaging</t>
        </is>
      </c>
      <c r="E248" s="10" t="inlineStr">
        <is>
          <t>Feature</t>
        </is>
      </c>
      <c r="F248" s="10" t="inlineStr">
        <is>
          <t>Done</t>
        </is>
      </c>
      <c r="G248" s="10" t="inlineStr">
        <is>
          <t>P3</t>
        </is>
      </c>
      <c r="H248" s="8" t="inlineStr">
        <is>
          <t>Dockerfile, docker-compose.yml</t>
        </is>
      </c>
      <c r="I248" s="8" t="inlineStr">
        <is>
          <t>No action required; only review during acceptance QA.</t>
        </is>
      </c>
      <c r="J248" s="8" t="inlineStr">
        <is>
          <t>Status estimated from static code inspection/audit; acceptance tests have not been run.</t>
        </is>
      </c>
      <c r="K248" s="8" t="n"/>
      <c r="L248" s="10" t="inlineStr">
        <is>
          <t>-</t>
        </is>
      </c>
      <c r="M248" s="10" t="inlineStr">
        <is>
          <t>S</t>
        </is>
      </c>
      <c r="N248" s="10" t="inlineStr">
        <is>
          <t>-</t>
        </is>
      </c>
      <c r="O248" s="10" t="inlineStr"/>
      <c r="P248" s="10" t="inlineStr"/>
      <c r="Q248" s="10" t="inlineStr">
        <is>
          <t>OLD-D15</t>
        </is>
      </c>
      <c r="R248" s="8" t="inlineStr">
        <is>
          <t>Existing capabilities</t>
        </is>
      </c>
      <c r="S248" s="10" t="inlineStr">
        <is>
          <t>No</t>
        </is>
      </c>
      <c r="T248" s="10" t="n"/>
      <c r="U248" s="10" t="n"/>
    </row>
    <row r="249">
      <c r="A249" s="10" t="n">
        <v>248</v>
      </c>
      <c r="B249" s="10" t="inlineStr">
        <is>
          <t>Claude</t>
        </is>
      </c>
      <c r="C249" s="8" t="inlineStr">
        <is>
          <t>Existing PEMS Capabilities (estimated from code)</t>
        </is>
      </c>
      <c r="D249" s="8" t="inlineStr">
        <is>
          <t>Local AI/OCR/semantic search plumbing (Ollama)</t>
        </is>
      </c>
      <c r="E249" s="10" t="inlineStr">
        <is>
          <t>Feature</t>
        </is>
      </c>
      <c r="F249" s="10" t="inlineStr">
        <is>
          <t>Done</t>
        </is>
      </c>
      <c r="G249" s="10" t="inlineStr">
        <is>
          <t>P3</t>
        </is>
      </c>
      <c r="H249" s="8" t="inlineStr">
        <is>
          <t>PEMS.AI</t>
        </is>
      </c>
      <c r="I249" s="8" t="inlineStr">
        <is>
          <t>No action required; only review during acceptance QA.</t>
        </is>
      </c>
      <c r="J249" s="8" t="inlineStr">
        <is>
          <t>Status estimated from static code inspection/audit; acceptance tests have not been run.</t>
        </is>
      </c>
      <c r="K249" s="8" t="n"/>
      <c r="L249" s="10" t="inlineStr">
        <is>
          <t>-</t>
        </is>
      </c>
      <c r="M249" s="10" t="inlineStr">
        <is>
          <t>S</t>
        </is>
      </c>
      <c r="N249" s="10" t="inlineStr">
        <is>
          <t>-</t>
        </is>
      </c>
      <c r="O249" s="10" t="inlineStr"/>
      <c r="P249" s="10" t="inlineStr"/>
      <c r="Q249" s="10" t="inlineStr">
        <is>
          <t>OLD-D16</t>
        </is>
      </c>
      <c r="R249" s="8" t="inlineStr">
        <is>
          <t>Existing capabilities</t>
        </is>
      </c>
      <c r="S249" s="10" t="inlineStr">
        <is>
          <t>No</t>
        </is>
      </c>
      <c r="T249" s="10" t="n"/>
      <c r="U249" s="10" t="n"/>
    </row>
    <row r="250">
      <c r="A250" s="10" t="n">
        <v>249</v>
      </c>
      <c r="B250" s="10" t="inlineStr">
        <is>
          <t>Claude</t>
        </is>
      </c>
      <c r="C250" s="8" t="inlineStr">
        <is>
          <t>Existing PEMS Capabilities (estimated from code)</t>
        </is>
      </c>
      <c r="D250" s="8" t="inlineStr">
        <is>
          <t>Large automated test inventory (1,403 Fact/Theory in 167 files)</t>
        </is>
      </c>
      <c r="E250" s="10" t="inlineStr">
        <is>
          <t>Feature</t>
        </is>
      </c>
      <c r="F250" s="10" t="inlineStr">
        <is>
          <t>Done</t>
        </is>
      </c>
      <c r="G250" s="10" t="inlineStr">
        <is>
          <t>P3</t>
        </is>
      </c>
      <c r="H250" s="8" t="inlineStr">
        <is>
          <t>PEMS.Tests; run result unknown</t>
        </is>
      </c>
      <c r="I250" s="8" t="inlineStr">
        <is>
          <t>No action required; only review during acceptance QA.</t>
        </is>
      </c>
      <c r="J250" s="8" t="inlineStr">
        <is>
          <t>Status estimated from static code inspection/audit; acceptance tests have not been run.</t>
        </is>
      </c>
      <c r="K250" s="8" t="n"/>
      <c r="L250" s="10" t="inlineStr">
        <is>
          <t>-</t>
        </is>
      </c>
      <c r="M250" s="10" t="inlineStr">
        <is>
          <t>S</t>
        </is>
      </c>
      <c r="N250" s="10" t="inlineStr">
        <is>
          <t>-</t>
        </is>
      </c>
      <c r="O250" s="10" t="inlineStr"/>
      <c r="P250" s="10" t="inlineStr"/>
      <c r="Q250" s="10" t="inlineStr">
        <is>
          <t>OLD-D17</t>
        </is>
      </c>
      <c r="R250" s="8" t="inlineStr">
        <is>
          <t>Existing capabilities</t>
        </is>
      </c>
      <c r="S250" s="10" t="inlineStr">
        <is>
          <t>No</t>
        </is>
      </c>
      <c r="T250" s="10" t="n"/>
      <c r="U250" s="10" t="n"/>
    </row>
    <row r="251">
      <c r="A251" s="10" t="n">
        <v>250</v>
      </c>
      <c r="B251" s="10" t="inlineStr">
        <is>
          <t>Claude</t>
        </is>
      </c>
      <c r="C251" s="8" t="inlineStr">
        <is>
          <t>Existing PEMS Capabilities (estimated from code)</t>
        </is>
      </c>
      <c r="D251" s="8" t="inlineStr">
        <is>
          <t>Domain breadth: CMMS, PTW, inventory, production, projects, reliability, assets, barcode</t>
        </is>
      </c>
      <c r="E251" s="10" t="inlineStr">
        <is>
          <t>Feature</t>
        </is>
      </c>
      <c r="F251" s="10" t="inlineStr">
        <is>
          <t>Done</t>
        </is>
      </c>
      <c r="G251" s="10" t="inlineStr">
        <is>
          <t>P3</t>
        </is>
      </c>
      <c r="H251" s="8" t="inlineStr">
        <is>
          <t>91 View folders</t>
        </is>
      </c>
      <c r="I251" s="8" t="inlineStr">
        <is>
          <t>No action required; only review during acceptance QA.</t>
        </is>
      </c>
      <c r="J251" s="8" t="inlineStr">
        <is>
          <t>Status estimated from static code inspection/audit; acceptance tests have not been run.</t>
        </is>
      </c>
      <c r="K251" s="8" t="n"/>
      <c r="L251" s="10" t="inlineStr">
        <is>
          <t>-</t>
        </is>
      </c>
      <c r="M251" s="10" t="inlineStr">
        <is>
          <t>S</t>
        </is>
      </c>
      <c r="N251" s="10" t="inlineStr">
        <is>
          <t>-</t>
        </is>
      </c>
      <c r="O251" s="10" t="inlineStr"/>
      <c r="P251" s="10" t="inlineStr"/>
      <c r="Q251" s="10" t="inlineStr">
        <is>
          <t>OLD-D18</t>
        </is>
      </c>
      <c r="R251" s="8" t="inlineStr">
        <is>
          <t>Existing capabilities</t>
        </is>
      </c>
      <c r="S251" s="10" t="inlineStr">
        <is>
          <t>No</t>
        </is>
      </c>
      <c r="T251" s="10" t="n"/>
      <c r="U251" s="10" t="n"/>
    </row>
    <row r="252">
      <c r="A252" s="10" t="n">
        <v>251</v>
      </c>
      <c r="B252" s="10" t="inlineStr">
        <is>
          <t>Claude</t>
        </is>
      </c>
      <c r="C252" s="8" t="inlineStr">
        <is>
          <t>Existing PEMS Capabilities (estimated from code)</t>
        </is>
      </c>
      <c r="D252" s="8" t="inlineStr">
        <is>
          <t>Contextual help system and documentation governance</t>
        </is>
      </c>
      <c r="E252" s="10" t="inlineStr">
        <is>
          <t>Feature</t>
        </is>
      </c>
      <c r="F252" s="10" t="inlineStr">
        <is>
          <t>Done</t>
        </is>
      </c>
      <c r="G252" s="10" t="inlineStr">
        <is>
          <t>P3</t>
        </is>
      </c>
      <c r="H252" s="8" t="inlineStr">
        <is>
          <t>docs/help, ContextualHelp</t>
        </is>
      </c>
      <c r="I252" s="8" t="inlineStr">
        <is>
          <t>No action required; only review during acceptance QA.</t>
        </is>
      </c>
      <c r="J252" s="8" t="inlineStr">
        <is>
          <t>Status estimated from static code inspection/audit; acceptance tests have not been run.</t>
        </is>
      </c>
      <c r="K252" s="8" t="n"/>
      <c r="L252" s="10" t="inlineStr">
        <is>
          <t>-</t>
        </is>
      </c>
      <c r="M252" s="10" t="inlineStr">
        <is>
          <t>S</t>
        </is>
      </c>
      <c r="N252" s="10" t="inlineStr">
        <is>
          <t>-</t>
        </is>
      </c>
      <c r="O252" s="10" t="inlineStr"/>
      <c r="P252" s="10" t="inlineStr"/>
      <c r="Q252" s="10" t="inlineStr"/>
      <c r="R252" s="8" t="inlineStr">
        <is>
          <t>Existing capabilities</t>
        </is>
      </c>
      <c r="S252" s="10" t="inlineStr">
        <is>
          <t>No</t>
        </is>
      </c>
      <c r="T252" s="10" t="n"/>
      <c r="U252" s="10" t="n"/>
    </row>
    <row r="253">
      <c r="A253" s="10" t="n">
        <v>252</v>
      </c>
      <c r="B253" s="10" t="inlineStr">
        <is>
          <t>Claude</t>
        </is>
      </c>
      <c r="C253" s="8" t="inlineStr">
        <is>
          <t>Existing PEMS Capabilities (estimated from code)</t>
        </is>
      </c>
      <c r="D253" s="8" t="inlineStr">
        <is>
          <t>Global search with providers</t>
        </is>
      </c>
      <c r="E253" s="10" t="inlineStr">
        <is>
          <t>Feature</t>
        </is>
      </c>
      <c r="F253" s="10" t="inlineStr">
        <is>
          <t>Done</t>
        </is>
      </c>
      <c r="G253" s="10" t="inlineStr">
        <is>
          <t>P3</t>
        </is>
      </c>
      <c r="H253" s="8" t="inlineStr">
        <is>
          <t>GlobalSearch, pems-global-search.js</t>
        </is>
      </c>
      <c r="I253" s="8" t="inlineStr">
        <is>
          <t>No action required; only review during acceptance QA.</t>
        </is>
      </c>
      <c r="J253" s="8" t="inlineStr">
        <is>
          <t>Status estimated from static code inspection/audit; acceptance tests have not been run.</t>
        </is>
      </c>
      <c r="K253" s="8" t="n"/>
      <c r="L253" s="10" t="inlineStr">
        <is>
          <t>-</t>
        </is>
      </c>
      <c r="M253" s="10" t="inlineStr">
        <is>
          <t>S</t>
        </is>
      </c>
      <c r="N253" s="10" t="inlineStr">
        <is>
          <t>-</t>
        </is>
      </c>
      <c r="O253" s="10" t="inlineStr"/>
      <c r="P253" s="10" t="inlineStr"/>
      <c r="Q253" s="10" t="inlineStr"/>
      <c r="R253" s="8" t="inlineStr">
        <is>
          <t>Existing capabilities</t>
        </is>
      </c>
      <c r="S253" s="10" t="inlineStr">
        <is>
          <t>No</t>
        </is>
      </c>
      <c r="T253" s="10" t="n"/>
      <c r="U253" s="10" t="n"/>
    </row>
    <row r="254">
      <c r="A254" s="10" t="n">
        <v>253</v>
      </c>
      <c r="B254" s="10" t="inlineStr">
        <is>
          <t>Claude</t>
        </is>
      </c>
      <c r="C254" s="8" t="inlineStr">
        <is>
          <t>Existing PEMS Capabilities (estimated from code)</t>
        </is>
      </c>
      <c r="D254" s="8" t="inlineStr">
        <is>
          <t>Engineering dashboard E-05 (static)</t>
        </is>
      </c>
      <c r="E254" s="10" t="inlineStr">
        <is>
          <t>Feature</t>
        </is>
      </c>
      <c r="F254" s="10" t="inlineStr">
        <is>
          <t>Done</t>
        </is>
      </c>
      <c r="G254" s="10" t="inlineStr">
        <is>
          <t>P3</t>
        </is>
      </c>
      <c r="H254" s="8" t="inlineStr">
        <is>
          <t>EngineeringDashboard</t>
        </is>
      </c>
      <c r="I254" s="8" t="inlineStr">
        <is>
          <t>No action required; only review during acceptance QA.</t>
        </is>
      </c>
      <c r="J254" s="8" t="inlineStr">
        <is>
          <t>Status estimated from static code inspection/audit; acceptance tests have not been run.</t>
        </is>
      </c>
      <c r="K254" s="8" t="n"/>
      <c r="L254" s="10" t="inlineStr">
        <is>
          <t>-</t>
        </is>
      </c>
      <c r="M254" s="10" t="inlineStr">
        <is>
          <t>S</t>
        </is>
      </c>
      <c r="N254" s="10" t="inlineStr">
        <is>
          <t>-</t>
        </is>
      </c>
      <c r="O254" s="10" t="inlineStr"/>
      <c r="P254" s="10" t="inlineStr"/>
      <c r="Q254" s="10" t="inlineStr"/>
      <c r="R254" s="8" t="inlineStr">
        <is>
          <t>Existing capabilities</t>
        </is>
      </c>
      <c r="S254" s="10" t="inlineStr">
        <is>
          <t>No</t>
        </is>
      </c>
      <c r="T254" s="10" t="n"/>
      <c r="U254" s="10" t="n"/>
    </row>
    <row r="255">
      <c r="A255" s="10" t="n">
        <v>254</v>
      </c>
      <c r="B255" s="10" t="inlineStr">
        <is>
          <t>Claude</t>
        </is>
      </c>
      <c r="C255" s="8" t="inlineStr">
        <is>
          <t>Existing PEMS Capabilities (estimated from code)</t>
        </is>
      </c>
      <c r="D255" s="8" t="inlineStr">
        <is>
          <t>116 migrations and 38 seed files</t>
        </is>
      </c>
      <c r="E255" s="10" t="inlineStr">
        <is>
          <t>Feature</t>
        </is>
      </c>
      <c r="F255" s="10" t="inlineStr">
        <is>
          <t>Done</t>
        </is>
      </c>
      <c r="G255" s="10" t="inlineStr">
        <is>
          <t>P3</t>
        </is>
      </c>
      <c r="H255" s="8" t="inlineStr">
        <is>
          <t>PEMS.Persistence/Migrations</t>
        </is>
      </c>
      <c r="I255" s="8" t="inlineStr">
        <is>
          <t>No action required; only review during acceptance QA.</t>
        </is>
      </c>
      <c r="J255" s="8" t="inlineStr">
        <is>
          <t>Status estimated from static code inspection/audit; acceptance tests have not been run.</t>
        </is>
      </c>
      <c r="K255" s="8" t="n"/>
      <c r="L255" s="10" t="inlineStr">
        <is>
          <t>-</t>
        </is>
      </c>
      <c r="M255" s="10" t="inlineStr">
        <is>
          <t>S</t>
        </is>
      </c>
      <c r="N255" s="10" t="inlineStr">
        <is>
          <t>-</t>
        </is>
      </c>
      <c r="O255" s="10" t="inlineStr"/>
      <c r="P255" s="10" t="inlineStr"/>
      <c r="Q255" s="10" t="inlineStr"/>
      <c r="R255" s="8" t="inlineStr">
        <is>
          <t>Existing capabilities</t>
        </is>
      </c>
      <c r="S255" s="10" t="inlineStr">
        <is>
          <t>No</t>
        </is>
      </c>
      <c r="T255" s="10" t="n"/>
      <c r="U255" s="10" t="n"/>
    </row>
    <row r="256">
      <c r="A256" s="10" t="n">
        <v>255</v>
      </c>
      <c r="B256" s="10" t="inlineStr">
        <is>
          <t>Claude</t>
        </is>
      </c>
      <c r="C256" s="8" t="inlineStr">
        <is>
          <t>Existing PEMS Capabilities (estimated from code)</t>
        </is>
      </c>
      <c r="D256" s="8" t="inlineStr">
        <is>
          <t>Enterprise barcode system</t>
        </is>
      </c>
      <c r="E256" s="10" t="inlineStr">
        <is>
          <t>Feature</t>
        </is>
      </c>
      <c r="F256" s="10" t="inlineStr">
        <is>
          <t>Done</t>
        </is>
      </c>
      <c r="G256" s="10" t="inlineStr">
        <is>
          <t>P3</t>
        </is>
      </c>
      <c r="H256" s="8" t="inlineStr">
        <is>
          <t>Barcode, ZXing.Net</t>
        </is>
      </c>
      <c r="I256" s="8" t="inlineStr">
        <is>
          <t>No action required; only review during acceptance QA.</t>
        </is>
      </c>
      <c r="J256" s="8" t="inlineStr">
        <is>
          <t>Status estimated from static code inspection/audit; acceptance tests have not been run.</t>
        </is>
      </c>
      <c r="K256" s="8" t="n"/>
      <c r="L256" s="10" t="inlineStr">
        <is>
          <t>-</t>
        </is>
      </c>
      <c r="M256" s="10" t="inlineStr">
        <is>
          <t>S</t>
        </is>
      </c>
      <c r="N256" s="10" t="inlineStr">
        <is>
          <t>-</t>
        </is>
      </c>
      <c r="O256" s="10" t="inlineStr"/>
      <c r="P256" s="10" t="inlineStr"/>
      <c r="Q256" s="10" t="inlineStr"/>
      <c r="R256" s="8" t="inlineStr">
        <is>
          <t>Existing capabilities</t>
        </is>
      </c>
      <c r="S256" s="10" t="inlineStr">
        <is>
          <t>No</t>
        </is>
      </c>
      <c r="T256" s="10" t="n"/>
      <c r="U256" s="10" t="n"/>
    </row>
    <row r="257">
      <c r="A257" s="10" t="n">
        <v>256</v>
      </c>
      <c r="B257" s="10" t="inlineStr">
        <is>
          <t>Claude</t>
        </is>
      </c>
      <c r="C257" s="8" t="inlineStr">
        <is>
          <t>Existing PEMS Capabilities (estimated from code)</t>
        </is>
      </c>
      <c r="D257" s="8" t="inlineStr">
        <is>
          <t>Notifications and SignalR hubs</t>
        </is>
      </c>
      <c r="E257" s="10" t="inlineStr">
        <is>
          <t>Feature</t>
        </is>
      </c>
      <c r="F257" s="10" t="inlineStr">
        <is>
          <t>Done</t>
        </is>
      </c>
      <c r="G257" s="10" t="inlineStr">
        <is>
          <t>P3</t>
        </is>
      </c>
      <c r="H257" s="8" t="inlineStr">
        <is>
          <t>Notification, Hubs</t>
        </is>
      </c>
      <c r="I257" s="8" t="inlineStr">
        <is>
          <t>No action required; only review during acceptance QA.</t>
        </is>
      </c>
      <c r="J257" s="8" t="inlineStr">
        <is>
          <t>Status estimated from static code inspection/audit; acceptance tests have not been run.</t>
        </is>
      </c>
      <c r="K257" s="8" t="n"/>
      <c r="L257" s="10" t="inlineStr">
        <is>
          <t>-</t>
        </is>
      </c>
      <c r="M257" s="10" t="inlineStr">
        <is>
          <t>S</t>
        </is>
      </c>
      <c r="N257" s="10" t="inlineStr">
        <is>
          <t>-</t>
        </is>
      </c>
      <c r="O257" s="10" t="inlineStr"/>
      <c r="P257" s="10" t="inlineStr"/>
      <c r="Q257" s="10" t="inlineStr"/>
      <c r="R257" s="8" t="inlineStr">
        <is>
          <t>Existing capabilities</t>
        </is>
      </c>
      <c r="S257" s="10" t="inlineStr">
        <is>
          <t>No</t>
        </is>
      </c>
      <c r="T257" s="10" t="n"/>
      <c r="U257" s="10" t="n"/>
    </row>
    <row r="258">
      <c r="A258" s="10" t="n">
        <v>257</v>
      </c>
      <c r="B258" s="10" t="inlineStr">
        <is>
          <t>User</t>
        </is>
      </c>
      <c r="C258" s="8" t="inlineStr">
        <is>
          <t>DevOps, Source Control &amp; Release Management</t>
        </is>
      </c>
      <c r="D258" s="8" t="inlineStr">
        <is>
          <t>Move the source code to a private company-owned GitHub organization with access control, branch protection and a backup</t>
        </is>
      </c>
      <c r="E258" s="10" t="inlineStr">
        <is>
          <t>Ops Process</t>
        </is>
      </c>
      <c r="F258" s="10" t="inlineStr">
        <is>
          <t>Not Started</t>
        </is>
      </c>
      <c r="G258" s="10" t="inlineStr">
        <is>
          <t>P0</t>
        </is>
      </c>
      <c r="H258" s="8" t="inlineStr">
        <is>
          <t>Owner decision 2026-10-18: private hosted GitHub for now. The repository is currently public under a personal account (see B_ENTITY).</t>
        </is>
      </c>
      <c r="I258" s="8" t="inlineStr">
        <is>
          <t>1) Decide the organization and owner accounts (links to #126). 2) Make the repository private (it currently also holds the licensing and commercial plan). 3) Protect main and demo (pull request and review required, no force push). 4) Require two-factor authentication for members; list members and roles. 5) Set up a nightly mirror backup. 6) Rotate secrets that were ever shared (#317).</t>
        </is>
      </c>
      <c r="J258" s="8" t="inlineStr">
        <is>
          <t>Done when: the repository is private; branch protection and 2FA are on; a backup job ran once; the member list with roles is recorded.</t>
        </is>
      </c>
      <c r="K258" s="8" t="inlineStr">
        <is>
          <t>Decided 2026-10-18: private hosted GitHub for now. Setup (organization, private repo, protection, backup) still to be done; HST_REPOS creates the landing and demo repositories.</t>
        </is>
      </c>
      <c r="L258" s="10" t="inlineStr">
        <is>
          <t>M0</t>
        </is>
      </c>
      <c r="M258" s="10" t="inlineStr">
        <is>
          <t>M</t>
        </is>
      </c>
      <c r="N258" s="10" t="inlineStr">
        <is>
          <t>High</t>
        </is>
      </c>
      <c r="O258" s="10" t="inlineStr">
        <is>
          <t>#126 #9</t>
        </is>
      </c>
      <c r="P258" s="10" t="inlineStr"/>
      <c r="Q258" s="10" t="inlineStr"/>
      <c r="R258" s="8" t="inlineStr">
        <is>
          <t>DevOps &amp; release</t>
        </is>
      </c>
      <c r="S258" s="10" t="inlineStr">
        <is>
          <t>Yes</t>
        </is>
      </c>
      <c r="T258" s="10" t="inlineStr">
        <is>
          <t>Sprint 1</t>
        </is>
      </c>
      <c r="U258" s="10" t="inlineStr">
        <is>
          <t>Member A</t>
        </is>
      </c>
    </row>
    <row r="259">
      <c r="A259" s="10" t="n">
        <v>258</v>
      </c>
      <c r="B259" s="10" t="inlineStr">
        <is>
          <t>Claude</t>
        </is>
      </c>
      <c r="C259" s="8" t="inlineStr">
        <is>
          <t>DevOps, Source Control &amp; Release Management</t>
        </is>
      </c>
      <c r="D259" s="8" t="inlineStr">
        <is>
          <t>Branching, tagging and versioning strategy: main + release branches, signed tag per release, hotfix and backport rules</t>
        </is>
      </c>
      <c r="E259" s="10" t="inlineStr">
        <is>
          <t>Docs</t>
        </is>
      </c>
      <c r="F259" s="10" t="inlineStr">
        <is>
          <t>Not Started</t>
        </is>
      </c>
      <c r="G259" s="10" t="inlineStr">
        <is>
          <t>P0</t>
        </is>
      </c>
      <c r="H259" s="8" t="inlineStr">
        <is>
          <t>There is no written branching or release-line policy, and no way to tell later which source produced a given installer.</t>
        </is>
      </c>
      <c r="I259" s="8" t="inlineStr">
        <is>
          <t>Define: main for integration, release/YYYY.MM branches for supported lines, signed annotated tags vYYYY.MM.PATCH, hotfix branches with backport to every supported line, commit messages that cite the backlog row number, and no per-customer branches. Also define the one allowed long-lived non-release branch, demo (HST_DEMOBRANCH), which carries only the demo overlay.</t>
        </is>
      </c>
      <c r="J259" s="8" t="inlineStr">
        <is>
          <t>A written policy; every shipped package maps to exactly one signed tag and commit.</t>
        </is>
      </c>
      <c r="K259" s="8" t="n"/>
      <c r="L259" s="10" t="inlineStr">
        <is>
          <t>M0</t>
        </is>
      </c>
      <c r="M259" s="10" t="inlineStr">
        <is>
          <t>S</t>
        </is>
      </c>
      <c r="N259" s="10" t="inlineStr">
        <is>
          <t>High</t>
        </is>
      </c>
      <c r="O259" s="10" t="inlineStr">
        <is>
          <t>#7</t>
        </is>
      </c>
      <c r="P259" s="10" t="inlineStr"/>
      <c r="Q259" s="10" t="inlineStr"/>
      <c r="R259" s="8" t="inlineStr">
        <is>
          <t>DevOps &amp; release</t>
        </is>
      </c>
      <c r="S259" s="10" t="inlineStr">
        <is>
          <t>No</t>
        </is>
      </c>
      <c r="T259" s="10" t="n"/>
      <c r="U259" s="10" t="n"/>
    </row>
    <row r="260">
      <c r="A260" s="10" t="n">
        <v>259</v>
      </c>
      <c r="B260" s="10" t="inlineStr">
        <is>
          <t>Claude</t>
        </is>
      </c>
      <c r="C260" s="8" t="inlineStr">
        <is>
          <t>DevOps, Source Control &amp; Release Management</t>
        </is>
      </c>
      <c r="D260" s="8" t="inlineStr">
        <is>
          <t>Reproducible build environment: containerized build agents, pinned SDK/tool versions, offline NuGet/npm package mirror</t>
        </is>
      </c>
      <c r="E260" s="10" t="inlineStr">
        <is>
          <t>Tech Debt</t>
        </is>
      </c>
      <c r="F260" s="10" t="inlineStr">
        <is>
          <t>Later</t>
        </is>
      </c>
      <c r="G260" s="10" t="inlineStr">
        <is>
          <t>P0</t>
        </is>
      </c>
      <c r="H260" s="8" t="inlineStr">
        <is>
          <t>Owner decision 2026-10-18: product CI/CD is deferred; only the demo and website pipelines are needed now. Needed before the first installer is shipped.</t>
        </is>
      </c>
      <c r="I260" s="8" t="inlineStr">
        <is>
          <t>Build agents as containers with pinned .NET SDK and tools; an internal package mirror/cache; builds that do not depend on the developer's machine.</t>
        </is>
      </c>
      <c r="J260" s="8" t="inlineStr">
        <is>
          <t>The same tag built on two clean agents produces equivalent artifacts; restore works with no internet.</t>
        </is>
      </c>
      <c r="K260" s="8" t="n"/>
      <c r="L260" s="10" t="inlineStr">
        <is>
          <t>M6</t>
        </is>
      </c>
      <c r="M260" s="10" t="inlineStr">
        <is>
          <t>M</t>
        </is>
      </c>
      <c r="N260" s="10" t="inlineStr">
        <is>
          <t>High</t>
        </is>
      </c>
      <c r="O260" s="10" t="inlineStr">
        <is>
          <t>#7</t>
        </is>
      </c>
      <c r="P260" s="10" t="inlineStr"/>
      <c r="Q260" s="10" t="inlineStr"/>
      <c r="R260" s="8" t="inlineStr">
        <is>
          <t>DevOps &amp; release</t>
        </is>
      </c>
      <c r="S260" s="10" t="inlineStr">
        <is>
          <t>No</t>
        </is>
      </c>
      <c r="T260" s="10" t="n"/>
      <c r="U260" s="10" t="n"/>
    </row>
    <row r="261">
      <c r="A261" s="10" t="n">
        <v>260</v>
      </c>
      <c r="B261" s="10" t="inlineStr">
        <is>
          <t>Claude</t>
        </is>
      </c>
      <c r="C261" s="8" t="inlineStr">
        <is>
          <t>DevOps, Source Control &amp; Release Management</t>
        </is>
      </c>
      <c r="D261" s="8" t="inlineStr">
        <is>
          <t>Artifact library: immutable storage of every installer/updater/module package with checksums, signatures, SBOM, symbols and manifest; naming and retention policy</t>
        </is>
      </c>
      <c r="E261" s="10" t="inlineStr">
        <is>
          <t>Feature</t>
        </is>
      </c>
      <c r="F261" s="10" t="inlineStr">
        <is>
          <t>Not Started</t>
        </is>
      </c>
      <c r="G261" s="10" t="inlineStr">
        <is>
          <t>P0</t>
        </is>
      </c>
      <c r="H261" s="8" t="inlineStr">
        <is>
          <t>PM review 2026-10-18: the artifact library is back in scope. There is no archive of shipped installers and updaters; supporting a customer on an old version requires that exact package and its symbols.</t>
        </is>
      </c>
      <c r="I261" s="8" t="inlineStr">
        <is>
          <t>An append-only artifact library for core and module packages with a naming scheme (component-version-edition-platform), checksums, signatures, SBOM, debug symbols and the release manifest; offsite copy; retention for as long as a version is supported. It does not depend on a particular build system.</t>
        </is>
      </c>
      <c r="J261" s="8" t="inlineStr">
        <is>
          <t>Any package ever shipped can be retrieved byte-identical and verified against its checksum and signature.</t>
        </is>
      </c>
      <c r="K261" s="8" t="inlineStr">
        <is>
          <t>PM 2026-10-18: brought back from Later as the artifact library; with V_RELBRANCH and CV_MAP.</t>
        </is>
      </c>
      <c r="L261" s="10" t="inlineStr">
        <is>
          <t>M2</t>
        </is>
      </c>
      <c r="M261" s="10" t="inlineStr">
        <is>
          <t>M</t>
        </is>
      </c>
      <c r="N261" s="10" t="inlineStr">
        <is>
          <t>Sales blocker</t>
        </is>
      </c>
      <c r="O261" s="10" t="inlineStr">
        <is>
          <t>#261 #269</t>
        </is>
      </c>
      <c r="P261" s="10" t="inlineStr"/>
      <c r="Q261" s="10" t="inlineStr"/>
      <c r="R261" s="8" t="inlineStr">
        <is>
          <t>DevOps &amp; release</t>
        </is>
      </c>
      <c r="S261" s="10" t="inlineStr">
        <is>
          <t>Yes</t>
        </is>
      </c>
      <c r="T261" s="10" t="n"/>
      <c r="U261" s="10" t="n"/>
    </row>
    <row r="262">
      <c r="A262" s="10" t="n">
        <v>261</v>
      </c>
      <c r="B262" s="10" t="inlineStr">
        <is>
          <t>User</t>
        </is>
      </c>
      <c r="C262" s="8" t="inlineStr">
        <is>
          <t>DevOps, Source Control &amp; Release Management</t>
        </is>
      </c>
      <c r="D262" s="8" t="inlineStr">
        <is>
          <t>Code and package signing: Authenticode certificate for binaries/installer, separate update-signing key, timestamping, key custody</t>
        </is>
      </c>
      <c r="E262" s="10" t="inlineStr">
        <is>
          <t>Ops Process</t>
        </is>
      </c>
      <c r="F262" s="10" t="inlineStr">
        <is>
          <t>Not Started</t>
        </is>
      </c>
      <c r="G262" s="10" t="inlineStr">
        <is>
          <t>P0</t>
        </is>
      </c>
      <c r="H262" s="8" t="inlineStr">
        <is>
          <t>Unsigned installers trigger OS warnings and cannot be trusted by customers. The update-signing key must be distinct from the licence-signing key.</t>
        </is>
      </c>
      <c r="I262" s="8" t="inlineStr">
        <is>
          <t>Obtain a code-signing certificate, sign binaries and installers with timestamps, create an update-package signing key, and document custody next to L_KEYS.</t>
        </is>
      </c>
      <c r="J262" s="8" t="inlineStr">
        <is>
          <t>Installers and updaters verify on a clean Windows machine; a tampered package is rejected by the updater.</t>
        </is>
      </c>
      <c r="K262" s="8" t="n"/>
      <c r="L262" s="10" t="inlineStr">
        <is>
          <t>M2</t>
        </is>
      </c>
      <c r="M262" s="10" t="inlineStr">
        <is>
          <t>M</t>
        </is>
      </c>
      <c r="N262" s="10" t="inlineStr">
        <is>
          <t>Sales blocker</t>
        </is>
      </c>
      <c r="O262" s="10" t="inlineStr">
        <is>
          <t>#107</t>
        </is>
      </c>
      <c r="P262" s="10" t="inlineStr"/>
      <c r="Q262" s="10" t="inlineStr"/>
      <c r="R262" s="8" t="inlineStr">
        <is>
          <t>DevOps &amp; release</t>
        </is>
      </c>
      <c r="S262" s="10" t="inlineStr">
        <is>
          <t>No</t>
        </is>
      </c>
      <c r="T262" s="10" t="n"/>
      <c r="U262" s="10" t="n"/>
    </row>
    <row r="263">
      <c r="A263" s="10" t="n">
        <v>262</v>
      </c>
      <c r="B263" s="10" t="inlineStr">
        <is>
          <t>Claude</t>
        </is>
      </c>
      <c r="C263" s="8" t="inlineStr">
        <is>
          <t>DevOps, Source Control &amp; Release Management</t>
        </is>
      </c>
      <c r="D263" s="8" t="inlineStr">
        <is>
          <t>Database migration pipeline and schema compatibility: ordered idempotent chain, upgrade tests from every supported version, rollback scripts</t>
        </is>
      </c>
      <c r="E263" s="10" t="inlineStr">
        <is>
          <t>Feature</t>
        </is>
      </c>
      <c r="F263" s="10" t="inlineStr">
        <is>
          <t>Partial</t>
        </is>
      </c>
      <c r="G263" s="10" t="inlineStr">
        <is>
          <t>P0</t>
        </is>
      </c>
      <c r="H263" s="8" t="inlineStr">
        <is>
          <t>PEMS has 141 EF migrations and 38 seeds. The updater must upgrade a customer's database from any supported older version, not only from the previous one. 2026-10-22: the ordered migration chain now installs an empty database and updates an existing one automatically (#309/#310). Open: upgrade tests from every supported older version, schema compatibility rules, rollback.</t>
        </is>
      </c>
      <c r="I263" s="8" t="inlineStr">
        <is>
          <t>Generate the full migration chain per release, test upgrades from each supported release (at least N-2) on production-like data, and ship rollback scripts or a pre-update backup step.</t>
        </is>
      </c>
      <c r="J263" s="8" t="inlineStr">
        <is>
          <t>An automated job upgrades a database from every supported release to the candidate and verifies schema and data.</t>
        </is>
      </c>
      <c r="K263" s="8" t="inlineStr">
        <is>
          <t>2026-10-27 SCRUM-280 (branch feature/SCRUM-280-db-upgrade-pipeline): deploy/db/supported-releases.json lists the releases to upgrade from (2026-10-22 self-installing build, 2026-10-25 demo) as exact migration sets; DatabaseUpgradePathSqlTests rebuilds each, fills 320+ tables with a representative row, upgrades with the real migrator and compares with a fresh install (schema) and row counts; a NOT NULL column without default is caught (fresh install passes, upgrade fails). Runs in the Migration Chain Gate workflow (SCRUM-413). Released migrations frozen by checksum (MigrationCompatibilityRulesTests); expand/contract rules in CODE_FIRST_DATABASE.md. Rollback = automatic COPY_ONLY pre-update backup (Database__BackupBeforeUpdate, on in production/uat) + documented restore, proven by a SQL test. SM-42.</t>
        </is>
      </c>
      <c r="L263" s="10" t="inlineStr">
        <is>
          <t>M2</t>
        </is>
      </c>
      <c r="M263" s="10" t="inlineStr">
        <is>
          <t>L</t>
        </is>
      </c>
      <c r="N263" s="10" t="inlineStr">
        <is>
          <t>High</t>
        </is>
      </c>
      <c r="O263" s="10" t="inlineStr">
        <is>
          <t>#1 #170</t>
        </is>
      </c>
      <c r="P263" s="10" t="inlineStr"/>
      <c r="Q263" s="10" t="inlineStr"/>
      <c r="R263" s="8" t="inlineStr">
        <is>
          <t>DevOps &amp; release</t>
        </is>
      </c>
      <c r="S263" s="10" t="inlineStr">
        <is>
          <t>No</t>
        </is>
      </c>
      <c r="T263" s="10" t="n"/>
      <c r="U263" s="10" t="n"/>
    </row>
    <row r="264">
      <c r="A264" s="10" t="n">
        <v>263</v>
      </c>
      <c r="B264" s="10" t="inlineStr">
        <is>
          <t>Claude</t>
        </is>
      </c>
      <c r="C264" s="8" t="inlineStr">
        <is>
          <t>DevOps, Source Control &amp; Release Management</t>
        </is>
      </c>
      <c r="D264" s="8" t="inlineStr">
        <is>
          <t>Environments and configuration: dev, test, UAT/release candidate, demo; infrastructure as code; per-environment config with secrets outside the repo</t>
        </is>
      </c>
      <c r="E264" s="10" t="inlineStr">
        <is>
          <t>Feature</t>
        </is>
      </c>
      <c r="F264" s="10" t="inlineStr">
        <is>
          <t>Later</t>
        </is>
      </c>
      <c r="G264" s="10" t="inlineStr">
        <is>
          <t>P1</t>
        </is>
      </c>
      <c r="H264" s="8" t="inlineStr">
        <is>
          <t>Owner requirement 2026-10-18: product CI/CD is deferred. Staging copies of the landing site and the demo on the shared host move to HST_ENVS; this row covers the later product environments (UAT/release candidate).</t>
        </is>
      </c>
      <c r="I264" s="8" t="inlineStr">
        <is>
          <t>Define the environments, script their creation, and keep configuration per environment with secrets in a vault or encrypted file.</t>
        </is>
      </c>
      <c r="J264" s="8" t="inlineStr">
        <is>
          <t>A release candidate can be installed on UAT with the real installer and the production-like configuration.</t>
        </is>
      </c>
      <c r="K264" s="8" t="n"/>
      <c r="L264" s="10" t="inlineStr">
        <is>
          <t>M6</t>
        </is>
      </c>
      <c r="M264" s="10" t="inlineStr">
        <is>
          <t>M</t>
        </is>
      </c>
      <c r="N264" s="10" t="inlineStr">
        <is>
          <t>Medium</t>
        </is>
      </c>
      <c r="O264" s="10" t="inlineStr">
        <is>
          <t>#259</t>
        </is>
      </c>
      <c r="P264" s="10" t="inlineStr"/>
      <c r="Q264" s="10" t="inlineStr"/>
      <c r="R264" s="8" t="inlineStr">
        <is>
          <t>DevOps &amp; release</t>
        </is>
      </c>
      <c r="S264" s="10" t="inlineStr">
        <is>
          <t>No</t>
        </is>
      </c>
      <c r="T264" s="10" t="n"/>
      <c r="U264" s="10" t="n"/>
    </row>
    <row r="265">
      <c r="A265" s="10" t="n">
        <v>264</v>
      </c>
      <c r="B265" s="10" t="inlineStr">
        <is>
          <t>Claude</t>
        </is>
      </c>
      <c r="C265" s="8" t="inlineStr">
        <is>
          <t>DevOps, Source Control &amp; Release Management</t>
        </is>
      </c>
      <c r="D265" s="8" t="inlineStr">
        <is>
          <t>Release process: checklist, approvals, release notes/CHANGELOG, release-candidate soak, go/no-go</t>
        </is>
      </c>
      <c r="E265" s="10" t="inlineStr">
        <is>
          <t>Ops Process</t>
        </is>
      </c>
      <c r="F265" s="10" t="inlineStr">
        <is>
          <t>Hold</t>
        </is>
      </c>
      <c r="G265" s="10" t="inlineStr">
        <is>
          <t>P1</t>
        </is>
      </c>
      <c r="H265" s="8" t="inlineStr">
        <is>
          <t>No defined release procedure exists; QA_GATE defines the checks but not who approves and how it is announced.</t>
        </is>
      </c>
      <c r="I265" s="8" t="inlineStr">
        <is>
          <t>Write the checklist and roles, generate release notes from commits and backlog rows, require a soak period on UAT, and record go/no-go.</t>
        </is>
      </c>
      <c r="J265" s="8" t="inlineStr">
        <is>
          <t>Every release has a signed-off checklist and release notes stored with its artifacts.</t>
        </is>
      </c>
      <c r="K265" s="8" t="inlineStr">
        <is>
          <t>ON HOLD per PM 2026-10-18 (option chosen: quality gate moves to M3, hold for now).</t>
        </is>
      </c>
      <c r="L265" s="10" t="inlineStr">
        <is>
          <t>M3</t>
        </is>
      </c>
      <c r="M265" s="10" t="inlineStr">
        <is>
          <t>M</t>
        </is>
      </c>
      <c r="N265" s="10" t="inlineStr">
        <is>
          <t>High</t>
        </is>
      </c>
      <c r="O265" s="10" t="inlineStr">
        <is>
          <t>#201 #258</t>
        </is>
      </c>
      <c r="P265" s="10" t="inlineStr"/>
      <c r="Q265" s="10" t="inlineStr"/>
      <c r="R265" s="8" t="inlineStr">
        <is>
          <t>DevOps &amp; release</t>
        </is>
      </c>
      <c r="S265" s="10" t="inlineStr">
        <is>
          <t>Yes</t>
        </is>
      </c>
      <c r="T265" s="10" t="n"/>
      <c r="U265" s="10" t="n"/>
    </row>
    <row r="266">
      <c r="A266" s="10" t="n">
        <v>265</v>
      </c>
      <c r="B266" s="10" t="inlineStr">
        <is>
          <t>Claude</t>
        </is>
      </c>
      <c r="C266" s="8" t="inlineStr">
        <is>
          <t>DevOps, Source Control &amp; Release Management</t>
        </is>
      </c>
      <c r="D266" s="8" t="inlineStr">
        <is>
          <t>Hotfix and patch release process for urgent customer issues without customer-specific forks</t>
        </is>
      </c>
      <c r="E266" s="10" t="inlineStr">
        <is>
          <t>Ops Process</t>
        </is>
      </c>
      <c r="F266" s="10" t="inlineStr">
        <is>
          <t>Not Started</t>
        </is>
      </c>
      <c r="G266" s="10" t="inlineStr">
        <is>
          <t>P1</t>
        </is>
      </c>
      <c r="H266" s="8" t="inlineStr">
        <is>
          <t>Urgent fixes for one customer tend to create forks. The policy is to fix on the release line, backport and ship a patch release.</t>
        </is>
      </c>
      <c r="I266" s="8" t="inlineStr">
        <is>
          <t>Define the flow: reproduce on the customer's version, fix on the release branch, tag a patch, ship through the normal updater, record in the registry.</t>
        </is>
      </c>
      <c r="J266" s="8" t="inlineStr">
        <is>
          <t>A rehearsed hotfix goes from report to delivered patch and registry entry within the target time.</t>
        </is>
      </c>
      <c r="K266" s="8" t="n"/>
      <c r="L266" s="10" t="inlineStr">
        <is>
          <t>M3</t>
        </is>
      </c>
      <c r="M266" s="10" t="inlineStr">
        <is>
          <t>M</t>
        </is>
      </c>
      <c r="N266" s="10" t="inlineStr">
        <is>
          <t>High</t>
        </is>
      </c>
      <c r="O266" s="10" t="inlineStr">
        <is>
          <t>#258 #260 #270</t>
        </is>
      </c>
      <c r="P266" s="10" t="inlineStr"/>
      <c r="Q266" s="10" t="inlineStr"/>
      <c r="R266" s="8" t="inlineStr">
        <is>
          <t>DevOps &amp; release</t>
        </is>
      </c>
      <c r="S266" s="10" t="inlineStr">
        <is>
          <t>No</t>
        </is>
      </c>
      <c r="T266" s="10" t="n"/>
      <c r="U266" s="10" t="n"/>
    </row>
    <row r="267">
      <c r="A267" s="10" t="n">
        <v>266</v>
      </c>
      <c r="B267" s="10" t="inlineStr">
        <is>
          <t>Claude</t>
        </is>
      </c>
      <c r="C267" s="8" t="inlineStr">
        <is>
          <t>DevOps, Source Control &amp; Release Management</t>
        </is>
      </c>
      <c r="D267" s="8" t="inlineStr">
        <is>
          <t>Traceability: backlog row to commit to build to release to customers</t>
        </is>
      </c>
      <c r="E267" s="10" t="inlineStr">
        <is>
          <t>Feature</t>
        </is>
      </c>
      <c r="F267" s="10" t="inlineStr">
        <is>
          <t>Not Started</t>
        </is>
      </c>
      <c r="G267" s="10" t="inlineStr">
        <is>
          <t>P1</t>
        </is>
      </c>
      <c r="H267" s="8" t="inlineStr">
        <is>
          <t>To answer 'which backlog items are in version X and which customers have X' the links must exist.</t>
        </is>
      </c>
      <c r="I267" s="8" t="inlineStr">
        <is>
          <t>Commit messages cite row numbers; the release manifest lists the rows included; the registry stores which customers received which release.</t>
        </is>
      </c>
      <c r="J267" s="8" t="inlineStr">
        <is>
          <t>From any customer version one can list the backlog rows it contains and the source tag.</t>
        </is>
      </c>
      <c r="K267" s="8" t="n"/>
      <c r="L267" s="10" t="inlineStr">
        <is>
          <t>M3</t>
        </is>
      </c>
      <c r="M267" s="10" t="inlineStr">
        <is>
          <t>S</t>
        </is>
      </c>
      <c r="N267" s="10" t="inlineStr">
        <is>
          <t>Medium</t>
        </is>
      </c>
      <c r="O267" s="10" t="inlineStr">
        <is>
          <t>#258 #269</t>
        </is>
      </c>
      <c r="P267" s="10" t="inlineStr"/>
      <c r="Q267" s="10" t="inlineStr"/>
      <c r="R267" s="8" t="inlineStr">
        <is>
          <t>DevOps &amp; release</t>
        </is>
      </c>
      <c r="S267" s="10" t="inlineStr">
        <is>
          <t>No</t>
        </is>
      </c>
      <c r="T267" s="10" t="n"/>
      <c r="U267" s="10" t="n"/>
    </row>
    <row r="268">
      <c r="A268" s="10" t="n">
        <v>267</v>
      </c>
      <c r="B268" s="10" t="inlineStr">
        <is>
          <t>Claude</t>
        </is>
      </c>
      <c r="C268" s="8" t="inlineStr">
        <is>
          <t>DevOps, Source Control &amp; Release Management</t>
        </is>
      </c>
      <c r="D268" s="8" t="inlineStr">
        <is>
          <t>Developer onboarding and one-command local environment (SQL Server container, seed, sample data) with coding standards</t>
        </is>
      </c>
      <c r="E268" s="10" t="inlineStr">
        <is>
          <t>Docs</t>
        </is>
      </c>
      <c r="F268" s="10" t="inlineStr">
        <is>
          <t>Not Started</t>
        </is>
      </c>
      <c r="G268" s="10" t="inlineStr">
        <is>
          <t>P1</t>
        </is>
      </c>
      <c r="H268" s="8" t="inlineStr">
        <is>
          <t>New team members need a repeatable setup; today it depends on tribal knowledge.</t>
        </is>
      </c>
      <c r="I268" s="8" t="inlineStr">
        <is>
          <t>Scripts and documentation to bring up the full dev stack, run tests and load sample data; coding and review standards.</t>
        </is>
      </c>
      <c r="J268" s="8" t="inlineStr">
        <is>
          <t>A new developer builds, runs and passes the tests on day one using only the documentation.</t>
        </is>
      </c>
      <c r="K268" s="8" t="n"/>
      <c r="L268" s="10" t="inlineStr">
        <is>
          <t>M3</t>
        </is>
      </c>
      <c r="M268" s="10" t="inlineStr">
        <is>
          <t>M</t>
        </is>
      </c>
      <c r="N268" s="10" t="inlineStr">
        <is>
          <t>Medium</t>
        </is>
      </c>
      <c r="O268" s="10" t="inlineStr">
        <is>
          <t>#1</t>
        </is>
      </c>
      <c r="P268" s="10" t="inlineStr"/>
      <c r="Q268" s="10" t="inlineStr"/>
      <c r="R268" s="8" t="inlineStr">
        <is>
          <t>DevOps &amp; release</t>
        </is>
      </c>
      <c r="S268" s="10" t="inlineStr">
        <is>
          <t>No</t>
        </is>
      </c>
      <c r="T268" s="10" t="n"/>
      <c r="U268" s="10" t="n"/>
    </row>
    <row r="269">
      <c r="A269" s="10" t="n">
        <v>268</v>
      </c>
      <c r="B269" s="10" t="inlineStr">
        <is>
          <t>User</t>
        </is>
      </c>
      <c r="C269" s="8" t="inlineStr">
        <is>
          <t>DevOps, Source Control &amp; Release Management</t>
        </is>
      </c>
      <c r="D269" s="8" t="inlineStr">
        <is>
          <t>Backup and disaster recovery for source control, CI and the artifact archive (offsite, restore tested)</t>
        </is>
      </c>
      <c r="E269" s="10" t="inlineStr">
        <is>
          <t>Ops Process</t>
        </is>
      </c>
      <c r="F269" s="10" t="inlineStr">
        <is>
          <t>Not Started</t>
        </is>
      </c>
      <c r="G269" s="10" t="inlineStr">
        <is>
          <t>P1</t>
        </is>
      </c>
      <c r="H269" s="8" t="inlineStr">
        <is>
          <t>Losing the archive or signing material would make shipped versions unsupportable.</t>
        </is>
      </c>
      <c r="I269" s="8" t="inlineStr">
        <is>
          <t>Scheduled offsite backups of repos, CI configuration and the archive; a documented and tested restore.</t>
        </is>
      </c>
      <c r="J269" s="8" t="inlineStr">
        <is>
          <t>A restore drill recovers repo, CI and archive from backup.</t>
        </is>
      </c>
      <c r="K269" s="8" t="n"/>
      <c r="L269" s="10" t="inlineStr">
        <is>
          <t>M3</t>
        </is>
      </c>
      <c r="M269" s="10" t="inlineStr">
        <is>
          <t>S</t>
        </is>
      </c>
      <c r="N269" s="10" t="inlineStr">
        <is>
          <t>High</t>
        </is>
      </c>
      <c r="O269" s="10" t="inlineStr">
        <is>
          <t>#257 #260</t>
        </is>
      </c>
      <c r="P269" s="10" t="inlineStr"/>
      <c r="Q269" s="10" t="inlineStr"/>
      <c r="R269" s="8" t="inlineStr">
        <is>
          <t>DevOps &amp; release</t>
        </is>
      </c>
      <c r="S269" s="10" t="inlineStr">
        <is>
          <t>No</t>
        </is>
      </c>
      <c r="T269" s="10" t="n"/>
      <c r="U269" s="10" t="n"/>
    </row>
    <row r="270">
      <c r="A270" s="10" t="n">
        <v>269</v>
      </c>
      <c r="B270" s="10" t="inlineStr">
        <is>
          <t>Claude</t>
        </is>
      </c>
      <c r="C270" s="8" t="inlineStr">
        <is>
          <t>Customer Version &amp; Deployment Management</t>
        </is>
      </c>
      <c r="D270" s="8" t="inlineStr">
        <is>
          <t>Release manifest: every installer/updater carries a signed manifest (version, git tag and commit, build number, migration range, supported-from versions, checksums, SBOM hash, changelog)</t>
        </is>
      </c>
      <c r="E270" s="10" t="inlineStr">
        <is>
          <t>Feature</t>
        </is>
      </c>
      <c r="F270" s="10" t="inlineStr">
        <is>
          <t>Not Started</t>
        </is>
      </c>
      <c r="G270" s="10" t="inlineStr">
        <is>
          <t>P0</t>
        </is>
      </c>
      <c r="H270" s="8" t="inlineStr">
        <is>
          <t>Without a manifest nobody can tell which source and which archived package a deployed version came from.</t>
        </is>
      </c>
      <c r="I270" s="8" t="inlineStr">
        <is>
          <t>Define the manifest schema for the core package and for each module package, generate it in CI, sign it and embed it in the package; the app and the updater read it.</t>
        </is>
      </c>
      <c r="J270" s="8" t="inlineStr">
        <is>
          <t>From a package or an installed system you can read its tag, commit and build number and find the archived artifacts.</t>
        </is>
      </c>
      <c r="K270" s="8" t="n"/>
      <c r="L270" s="10" t="inlineStr">
        <is>
          <t>M2</t>
        </is>
      </c>
      <c r="M270" s="10" t="inlineStr">
        <is>
          <t>M</t>
        </is>
      </c>
      <c r="N270" s="10" t="inlineStr">
        <is>
          <t>Sales blocker</t>
        </is>
      </c>
      <c r="O270" s="10" t="inlineStr">
        <is>
          <t>#7 #261</t>
        </is>
      </c>
      <c r="P270" s="10" t="inlineStr">
        <is>
          <t>Titan #249</t>
        </is>
      </c>
      <c r="Q270" s="10" t="inlineStr"/>
      <c r="R270" s="8" t="inlineStr">
        <is>
          <t>Customer &amp; module versions</t>
        </is>
      </c>
      <c r="S270" s="10" t="inlineStr">
        <is>
          <t>No</t>
        </is>
      </c>
      <c r="T270" s="10" t="n"/>
      <c r="U270" s="10" t="n"/>
    </row>
    <row r="271">
      <c r="A271" s="10" t="n">
        <v>270</v>
      </c>
      <c r="B271" s="10" t="inlineStr">
        <is>
          <t>Claude</t>
        </is>
      </c>
      <c r="C271" s="8" t="inlineStr">
        <is>
          <t>Customer Version &amp; Deployment Management</t>
        </is>
      </c>
      <c r="D271" s="8" t="inlineStr">
        <is>
          <t>Customer and deployment registry (vendor-side, never shipped): customer, site, server, Install ID, licence, edition/modules, installed version, delivery history, contacts, support tier</t>
        </is>
      </c>
      <c r="E271" s="10" t="inlineStr">
        <is>
          <t>Feature</t>
        </is>
      </c>
      <c r="F271" s="10" t="inlineStr">
        <is>
          <t>Not Started</t>
        </is>
      </c>
      <c r="G271" s="10" t="inlineStr">
        <is>
          <t>P1</t>
        </is>
      </c>
      <c r="H271" s="8" t="inlineStr">
        <is>
          <t>You need one place that answers 'which customer has which version and which update, and where is it in the source and the archive'.</t>
        </is>
      </c>
      <c r="I271" s="8" t="inlineStr">
        <is>
          <t>Build a vendor-only app that grows from the release map (CV_MAP) and the licence ledger (L_VENDOR); consider building it with PEMS's own module builder. Each deployment links to its licence, the installed core version and the version of every installed module (manifest), delivered packages with dates and method, and open issues.</t>
        </is>
      </c>
      <c r="J271" s="8" t="inlineStr">
        <is>
          <t>For any customer you can see the current core version, the version of every module, every package delivered with date and method, licence and maintenance status, and which source tag and archive file correspond.</t>
        </is>
      </c>
      <c r="K271" s="8" t="n"/>
      <c r="L271" s="10" t="inlineStr">
        <is>
          <t>M3</t>
        </is>
      </c>
      <c r="M271" s="10" t="inlineStr">
        <is>
          <t>L</t>
        </is>
      </c>
      <c r="N271" s="10" t="inlineStr">
        <is>
          <t>High</t>
        </is>
      </c>
      <c r="O271" s="10" t="inlineStr">
        <is>
          <t>#106 #269 #303</t>
        </is>
      </c>
      <c r="P271" s="10" t="inlineStr">
        <is>
          <t>Titan #130 #206</t>
        </is>
      </c>
      <c r="Q271" s="10" t="inlineStr"/>
      <c r="R271" s="8" t="inlineStr">
        <is>
          <t>Customer &amp; module versions</t>
        </is>
      </c>
      <c r="S271" s="10" t="inlineStr">
        <is>
          <t>No</t>
        </is>
      </c>
      <c r="T271" s="10" t="n"/>
      <c r="U271" s="10" t="n"/>
    </row>
    <row r="272">
      <c r="A272" s="10" t="n">
        <v>271</v>
      </c>
      <c r="B272" s="10" t="inlineStr">
        <is>
          <t>Claude</t>
        </is>
      </c>
      <c r="C272" s="8" t="inlineStr">
        <is>
          <t>Customer Version &amp; Deployment Management</t>
        </is>
      </c>
      <c r="D272" s="8" t="inlineStr">
        <is>
          <t>Offline version report file: the app generates a file (version, update history, licence status, health summary) the customer sends on request or with renewal; the vendor imports it into the registry</t>
        </is>
      </c>
      <c r="E272" s="10" t="inlineStr">
        <is>
          <t>Feature</t>
        </is>
      </c>
      <c r="F272" s="10" t="inlineStr">
        <is>
          <t>Not Started</t>
        </is>
      </c>
      <c r="G272" s="10" t="inlineStr">
        <is>
          <t>P1</t>
        </is>
      </c>
      <c r="H272" s="8" t="inlineStr">
        <is>
          <t>The product never phones home, so the registry needs a file-based way to learn what is actually installed.</t>
        </is>
      </c>
      <c r="I272" s="8" t="inlineStr">
        <is>
          <t>A 'Generate version report' action in the admin UI producing a signed file; an import function in the vendor registry UI that updates the deployment record and flags drift. Everything in this flow is done in the UI; no terminal or CLI step is required (a CLI may exist only as an optional extra).</t>
        </is>
      </c>
      <c r="J272" s="8" t="inlineStr">
        <is>
          <t>Importing a report updates the customer's installed version and update history; a tampered report is rejected.</t>
        </is>
      </c>
      <c r="K272" s="8" t="n"/>
      <c r="L272" s="10" t="inlineStr">
        <is>
          <t>M3</t>
        </is>
      </c>
      <c r="M272" s="10" t="inlineStr">
        <is>
          <t>M</t>
        </is>
      </c>
      <c r="N272" s="10" t="inlineStr">
        <is>
          <t>High</t>
        </is>
      </c>
      <c r="O272" s="10" t="inlineStr">
        <is>
          <t>#270 #174</t>
        </is>
      </c>
      <c r="P272" s="10" t="inlineStr">
        <is>
          <t>Titan #130</t>
        </is>
      </c>
      <c r="Q272" s="10" t="inlineStr"/>
      <c r="R272" s="8" t="inlineStr">
        <is>
          <t>Customer &amp; module versions</t>
        </is>
      </c>
      <c r="S272" s="10" t="inlineStr">
        <is>
          <t>No</t>
        </is>
      </c>
      <c r="T272" s="10" t="n"/>
      <c r="U272" s="10" t="n"/>
    </row>
    <row r="273">
      <c r="A273" s="10" t="n">
        <v>272</v>
      </c>
      <c r="B273" s="10" t="inlineStr">
        <is>
          <t>Claude</t>
        </is>
      </c>
      <c r="C273" s="8" t="inlineStr">
        <is>
          <t>Customer Version &amp; Deployment Management</t>
        </is>
      </c>
      <c r="D273" s="8" t="inlineStr">
        <is>
          <t>Update receipt: after applying a package the app writes a signed receipt (package id, result, time, previous version) that is returned to the vendor</t>
        </is>
      </c>
      <c r="E273" s="10" t="inlineStr">
        <is>
          <t>Feature</t>
        </is>
      </c>
      <c r="F273" s="10" t="inlineStr">
        <is>
          <t>Not Started</t>
        </is>
      </c>
      <c r="G273" s="10" t="inlineStr">
        <is>
          <t>P1</t>
        </is>
      </c>
      <c r="H273" s="8" t="inlineStr">
        <is>
          <t>Delivery is not the same as applied. A receipt closes the loop.</t>
        </is>
      </c>
      <c r="I273" s="8" t="inlineStr">
        <is>
          <t>The updater writes the receipt and the admin UI offers it for download; the registry import UI marks the package as applied or failed. Everything in this flow is done in the UI; no terminal or CLI step is required (a CLI may exist only as an optional extra).</t>
        </is>
      </c>
      <c r="J273" s="8" t="inlineStr">
        <is>
          <t>Every delivered package ends as applied, failed or pending in the registry.</t>
        </is>
      </c>
      <c r="K273" s="8" t="n"/>
      <c r="L273" s="10" t="inlineStr">
        <is>
          <t>M3</t>
        </is>
      </c>
      <c r="M273" s="10" t="inlineStr">
        <is>
          <t>S</t>
        </is>
      </c>
      <c r="N273" s="10" t="inlineStr">
        <is>
          <t>Medium</t>
        </is>
      </c>
      <c r="O273" s="10" t="inlineStr">
        <is>
          <t>#170 #270</t>
        </is>
      </c>
      <c r="P273" s="10" t="inlineStr"/>
      <c r="Q273" s="10" t="inlineStr"/>
      <c r="R273" s="8" t="inlineStr">
        <is>
          <t>Customer &amp; module versions</t>
        </is>
      </c>
      <c r="S273" s="10" t="inlineStr">
        <is>
          <t>No</t>
        </is>
      </c>
      <c r="T273" s="10" t="n"/>
      <c r="U273" s="10" t="n"/>
    </row>
    <row r="274">
      <c r="A274" s="10" t="n">
        <v>273</v>
      </c>
      <c r="B274" s="10" t="inlineStr">
        <is>
          <t>Claude</t>
        </is>
      </c>
      <c r="C274" s="8" t="inlineStr">
        <is>
          <t>Customer Version &amp; Deployment Management</t>
        </is>
      </c>
      <c r="D274" s="8" t="inlineStr">
        <is>
          <t>In-product installed versions and update history page (packages applied, time, result, rollbacks)</t>
        </is>
      </c>
      <c r="E274" s="10" t="inlineStr">
        <is>
          <t>Feature</t>
        </is>
      </c>
      <c r="F274" s="10" t="inlineStr">
        <is>
          <t>Not Started</t>
        </is>
      </c>
      <c r="G274" s="10" t="inlineStr">
        <is>
          <t>P1</t>
        </is>
      </c>
      <c r="H274" s="8" t="inlineStr">
        <is>
          <t>Customer admins and support need to see the update state locally.</t>
        </is>
      </c>
      <c r="I274" s="8" t="inlineStr">
        <is>
          <t>A page listing the core version, every installed module version and the history of applied core and module packages.</t>
        </is>
      </c>
      <c r="J274" s="8" t="inlineStr">
        <is>
          <t>The page matches the registry for the same customer.</t>
        </is>
      </c>
      <c r="K274" s="8" t="n"/>
      <c r="L274" s="10" t="inlineStr">
        <is>
          <t>M3</t>
        </is>
      </c>
      <c r="M274" s="10" t="inlineStr">
        <is>
          <t>S</t>
        </is>
      </c>
      <c r="N274" s="10" t="inlineStr">
        <is>
          <t>Medium</t>
        </is>
      </c>
      <c r="O274" s="10" t="inlineStr">
        <is>
          <t>#170 #269</t>
        </is>
      </c>
      <c r="P274" s="10" t="inlineStr"/>
      <c r="Q274" s="10" t="inlineStr"/>
      <c r="R274" s="8" t="inlineStr">
        <is>
          <t>Customer &amp; module versions</t>
        </is>
      </c>
      <c r="S274" s="10" t="inlineStr">
        <is>
          <t>No</t>
        </is>
      </c>
      <c r="T274" s="10" t="n"/>
      <c r="U274" s="10" t="n"/>
    </row>
    <row r="275">
      <c r="A275" s="10" t="n">
        <v>274</v>
      </c>
      <c r="B275" s="10" t="inlineStr">
        <is>
          <t>Claude</t>
        </is>
      </c>
      <c r="C275" s="8" t="inlineStr">
        <is>
          <t>Customer Version &amp; Deployment Management</t>
        </is>
      </c>
      <c r="D275" s="8" t="inlineStr">
        <is>
          <t>Upgrade path and compatibility matrix: supported-from versions, mandatory intermediate versions, minimum schema; updater refuses unsupported paths; registry recommends the right package</t>
        </is>
      </c>
      <c r="E275" s="10" t="inlineStr">
        <is>
          <t>Feature</t>
        </is>
      </c>
      <c r="F275" s="10" t="inlineStr">
        <is>
          <t>Not Started</t>
        </is>
      </c>
      <c r="G275" s="10" t="inlineStr">
        <is>
          <t>P1</t>
        </is>
      </c>
      <c r="H275" s="8" t="inlineStr">
        <is>
          <t>Customers on old versions may need an intermediate step; the updater must never attempt an unsupported jump.</t>
        </is>
      </c>
      <c r="I275" s="8" t="inlineStr">
        <is>
          <t>Encode supported-from versions in the manifest, enforce them in the updater and have the registry compute the next package per customer.</t>
        </is>
      </c>
      <c r="J275" s="8" t="inlineStr">
        <is>
          <t>An unsupported upgrade is refused with a clear message; the registry shows the correct next package for each customer.</t>
        </is>
      </c>
      <c r="K275" s="8" t="n"/>
      <c r="L275" s="10" t="inlineStr">
        <is>
          <t>M3</t>
        </is>
      </c>
      <c r="M275" s="10" t="inlineStr">
        <is>
          <t>M</t>
        </is>
      </c>
      <c r="N275" s="10" t="inlineStr">
        <is>
          <t>High</t>
        </is>
      </c>
      <c r="O275" s="10" t="inlineStr">
        <is>
          <t>#269 #262</t>
        </is>
      </c>
      <c r="P275" s="10" t="inlineStr"/>
      <c r="Q275" s="10" t="inlineStr"/>
      <c r="R275" s="8" t="inlineStr">
        <is>
          <t>Customer &amp; module versions</t>
        </is>
      </c>
      <c r="S275" s="10" t="inlineStr">
        <is>
          <t>No</t>
        </is>
      </c>
      <c r="T275" s="10" t="n"/>
      <c r="U275" s="10" t="n"/>
    </row>
    <row r="276">
      <c r="A276" s="10" t="n">
        <v>275</v>
      </c>
      <c r="B276" s="10" t="inlineStr">
        <is>
          <t>Claude</t>
        </is>
      </c>
      <c r="C276" s="8" t="inlineStr">
        <is>
          <t>Customer Version &amp; Deployment Management</t>
        </is>
      </c>
      <c r="D276" s="8" t="inlineStr">
        <is>
          <t>Update entitlement in the licence: an 'updates until' (maintenance) date separate from licence validity; the updater refuses packages built after it</t>
        </is>
      </c>
      <c r="E276" s="10" t="inlineStr">
        <is>
          <t>Feature</t>
        </is>
      </c>
      <c r="F276" s="10" t="inlineStr">
        <is>
          <t>Not Started</t>
        </is>
      </c>
      <c r="G276" s="10" t="inlineStr">
        <is>
          <t>P1</t>
        </is>
      </c>
      <c r="H276" s="8" t="inlineStr">
        <is>
          <t>Lets you sell a lifetime licence with an annual maintenance period that controls which updates a customer may install.</t>
        </is>
      </c>
      <c r="I276" s="8" t="inlineStr">
        <is>
          <t>Add the updates-until field to the licence (L_LICFMT), per module where modules are sold separately, and the build date to the manifest; the updater compares them; renewal extends the date.</t>
        </is>
      </c>
      <c r="J276" s="8" t="inlineStr">
        <is>
          <t>A customer with expired maintenance keeps running but cannot install newer packages until renewed.</t>
        </is>
      </c>
      <c r="K276" s="8" t="n"/>
      <c r="L276" s="10" t="inlineStr">
        <is>
          <t>M3</t>
        </is>
      </c>
      <c r="M276" s="10" t="inlineStr">
        <is>
          <t>M</t>
        </is>
      </c>
      <c r="N276" s="10" t="inlineStr">
        <is>
          <t>Sales blocker</t>
        </is>
      </c>
      <c r="O276" s="10" t="inlineStr">
        <is>
          <t>#101 #170 #269</t>
        </is>
      </c>
      <c r="P276" s="10" t="inlineStr"/>
      <c r="Q276" s="10" t="inlineStr"/>
      <c r="R276" s="8" t="inlineStr">
        <is>
          <t>Customer &amp; module versions</t>
        </is>
      </c>
      <c r="S276" s="10" t="inlineStr">
        <is>
          <t>No</t>
        </is>
      </c>
      <c r="T276" s="10" t="n"/>
      <c r="U276" s="10" t="n"/>
    </row>
    <row r="277">
      <c r="A277" s="10" t="n">
        <v>276</v>
      </c>
      <c r="B277" s="10" t="inlineStr">
        <is>
          <t>Claude</t>
        </is>
      </c>
      <c r="C277" s="8" t="inlineStr">
        <is>
          <t>Customer Version &amp; Deployment Management</t>
        </is>
      </c>
      <c r="D277" s="8" t="inlineStr">
        <is>
          <t>Customer customization tracking: customer metadata packages, extension packs and configuration snapshots recorded per customer; compatibility test against every new release</t>
        </is>
      </c>
      <c r="E277" s="10" t="inlineStr">
        <is>
          <t>Feature</t>
        </is>
      </c>
      <c r="F277" s="10" t="inlineStr">
        <is>
          <t>Hold</t>
        </is>
      </c>
      <c r="G277" s="10" t="inlineStr">
        <is>
          <t>P1</t>
        </is>
      </c>
      <c r="H277" s="8" t="inlineStr">
        <is>
          <t>Customers will build their own forms, modules and workflows. An update must not break them, and you must know what each customer has built.</t>
        </is>
      </c>
      <c r="I277" s="8" t="inlineStr">
        <is>
          <t>Record each customer's metadata packages and extension packs in the registry (exported from the customer or sent with the version report) and run an automated dry-run migration of them against each release candidate.</t>
        </is>
      </c>
      <c r="J277" s="8" t="inlineStr">
        <is>
          <t>Before shipping an update to customer X the dry run of X's customizations passes or lists exact breakages.</t>
        </is>
      </c>
      <c r="K277" s="8" t="inlineStr">
        <is>
          <t>ON HOLD per PM 2026-10-18 (option chosen: move to M4, hold for now).</t>
        </is>
      </c>
      <c r="L277" s="10" t="inlineStr">
        <is>
          <t>M4</t>
        </is>
      </c>
      <c r="M277" s="10" t="inlineStr">
        <is>
          <t>L</t>
        </is>
      </c>
      <c r="N277" s="10" t="inlineStr">
        <is>
          <t>High</t>
        </is>
      </c>
      <c r="O277" s="10" t="inlineStr">
        <is>
          <t>#23 #94 #270</t>
        </is>
      </c>
      <c r="P277" s="10" t="inlineStr"/>
      <c r="Q277" s="10" t="inlineStr"/>
      <c r="R277" s="8" t="inlineStr">
        <is>
          <t>Customer &amp; module versions</t>
        </is>
      </c>
      <c r="S277" s="10" t="inlineStr">
        <is>
          <t>Yes</t>
        </is>
      </c>
      <c r="T277" s="10" t="n"/>
      <c r="U277" s="10" t="n"/>
    </row>
    <row r="278">
      <c r="A278" s="10" t="n">
        <v>277</v>
      </c>
      <c r="B278" s="10" t="inlineStr">
        <is>
          <t>User</t>
        </is>
      </c>
      <c r="C278" s="8" t="inlineStr">
        <is>
          <t>Customer Version &amp; Deployment Management</t>
        </is>
      </c>
      <c r="D278" s="8" t="inlineStr">
        <is>
          <t>Version support lifecycle policy: supported release lines, long-term support, end-of-support dates, security-fix backport rules, customer communication</t>
        </is>
      </c>
      <c r="E278" s="10" t="inlineStr">
        <is>
          <t>Legal/Business</t>
        </is>
      </c>
      <c r="F278" s="10" t="inlineStr">
        <is>
          <t>Not Started</t>
        </is>
      </c>
      <c r="G278" s="10" t="inlineStr">
        <is>
          <t>P1</t>
        </is>
      </c>
      <c r="H278" s="8" t="inlineStr">
        <is>
          <t>Without a lifecycle policy every old version becomes an open-ended support obligation.</t>
        </is>
      </c>
      <c r="I278" s="8" t="inlineStr">
        <is>
          <t>Define how long each release line is supported, what is backported, and how customers are notified; reflect it in the support contract (B_SUPPORT).</t>
        </is>
      </c>
      <c r="J278" s="8" t="inlineStr">
        <is>
          <t>A written policy; each deployment in the registry shows its support status.</t>
        </is>
      </c>
      <c r="K278" s="8" t="n"/>
      <c r="L278" s="10" t="inlineStr">
        <is>
          <t>M3</t>
        </is>
      </c>
      <c r="M278" s="10" t="inlineStr">
        <is>
          <t>S</t>
        </is>
      </c>
      <c r="N278" s="10" t="inlineStr">
        <is>
          <t>High</t>
        </is>
      </c>
      <c r="O278" s="10" t="inlineStr">
        <is>
          <t>#258 #132</t>
        </is>
      </c>
      <c r="P278" s="10" t="inlineStr"/>
      <c r="Q278" s="10" t="inlineStr"/>
      <c r="R278" s="8" t="inlineStr">
        <is>
          <t>Customer &amp; module versions</t>
        </is>
      </c>
      <c r="S278" s="10" t="inlineStr">
        <is>
          <t>No</t>
        </is>
      </c>
      <c r="T278" s="10" t="n"/>
      <c r="U278" s="10" t="n"/>
    </row>
    <row r="279">
      <c r="A279" s="10" t="n">
        <v>278</v>
      </c>
      <c r="B279" s="10" t="inlineStr">
        <is>
          <t>Claude</t>
        </is>
      </c>
      <c r="C279" s="8" t="inlineStr">
        <is>
          <t>Customer Version &amp; Deployment Management</t>
        </is>
      </c>
      <c r="D279" s="8" t="inlineStr">
        <is>
          <t>Package delivery workflow: per-customer download through the portal or a media record, hash verification, delivery log</t>
        </is>
      </c>
      <c r="E279" s="10" t="inlineStr">
        <is>
          <t>Feature</t>
        </is>
      </c>
      <c r="F279" s="10" t="inlineStr">
        <is>
          <t>Not Started</t>
        </is>
      </c>
      <c r="G279" s="10" t="inlineStr">
        <is>
          <t>P2</t>
        </is>
      </c>
      <c r="H279" s="8" t="inlineStr">
        <is>
          <t>Delivery must be tracked, not just done.</t>
        </is>
      </c>
      <c r="I279" s="8" t="inlineStr">
        <is>
          <t>Create a delivery record per package and customer, connect the portal download (WEB_DL) and log hash verification.</t>
        </is>
      </c>
      <c r="J279" s="8" t="inlineStr">
        <is>
          <t>Each delivery has a record with method, date and verified hash.</t>
        </is>
      </c>
      <c r="K279" s="8" t="n"/>
      <c r="L279" s="10" t="inlineStr">
        <is>
          <t>M5</t>
        </is>
      </c>
      <c r="M279" s="10" t="inlineStr">
        <is>
          <t>M</t>
        </is>
      </c>
      <c r="N279" s="10" t="inlineStr">
        <is>
          <t>Medium</t>
        </is>
      </c>
      <c r="O279" s="10" t="inlineStr">
        <is>
          <t>#270 #164</t>
        </is>
      </c>
      <c r="P279" s="10" t="inlineStr"/>
      <c r="Q279" s="10" t="inlineStr"/>
      <c r="R279" s="8" t="inlineStr">
        <is>
          <t>Customer &amp; module versions</t>
        </is>
      </c>
      <c r="S279" s="10" t="inlineStr">
        <is>
          <t>No</t>
        </is>
      </c>
      <c r="T279" s="10" t="n"/>
      <c r="U279" s="10" t="n"/>
    </row>
    <row r="280">
      <c r="A280" s="10" t="n">
        <v>279</v>
      </c>
      <c r="B280" s="10" t="inlineStr">
        <is>
          <t>Claude</t>
        </is>
      </c>
      <c r="C280" s="8" t="inlineStr">
        <is>
          <t>Customer Version &amp; Deployment Management</t>
        </is>
      </c>
      <c r="D280" s="8" t="inlineStr">
        <is>
          <t>Fleet dashboard: customers on outdated or unsupported versions, expiring maintenance and licences, pending security patches, undelivered packages</t>
        </is>
      </c>
      <c r="E280" s="10" t="inlineStr">
        <is>
          <t>Feature</t>
        </is>
      </c>
      <c r="F280" s="10" t="inlineStr">
        <is>
          <t>Not Started</t>
        </is>
      </c>
      <c r="G280" s="10" t="inlineStr">
        <is>
          <t>P2</t>
        </is>
      </c>
      <c r="H280" s="8" t="inlineStr">
        <is>
          <t>Turns the registry into an actionable view for support and sales.</t>
        </is>
      </c>
      <c r="I280" s="8" t="inlineStr">
        <is>
          <t>A vendor-side dashboard with filters by version, edition, support tier and expiry.</t>
        </is>
      </c>
      <c r="J280" s="8" t="inlineStr">
        <is>
          <t>The dashboard lists every customer needing an update or renewal this quarter.</t>
        </is>
      </c>
      <c r="K280" s="8" t="n"/>
      <c r="L280" s="10" t="inlineStr">
        <is>
          <t>M5</t>
        </is>
      </c>
      <c r="M280" s="10" t="inlineStr">
        <is>
          <t>M</t>
        </is>
      </c>
      <c r="N280" s="10" t="inlineStr">
        <is>
          <t>Medium</t>
        </is>
      </c>
      <c r="O280" s="10" t="inlineStr">
        <is>
          <t>#270</t>
        </is>
      </c>
      <c r="P280" s="10" t="inlineStr"/>
      <c r="Q280" s="10" t="inlineStr"/>
      <c r="R280" s="8" t="inlineStr">
        <is>
          <t>Customer &amp; module versions</t>
        </is>
      </c>
      <c r="S280" s="10" t="inlineStr">
        <is>
          <t>No</t>
        </is>
      </c>
      <c r="T280" s="10" t="n"/>
      <c r="U280" s="10" t="n"/>
    </row>
    <row r="281">
      <c r="A281" s="10" t="n">
        <v>280</v>
      </c>
      <c r="B281" s="10" t="inlineStr">
        <is>
          <t>Claude</t>
        </is>
      </c>
      <c r="C281" s="8" t="inlineStr">
        <is>
          <t>Supportability Matrix &amp; Module Versioning</t>
        </is>
      </c>
      <c r="D281" s="8" t="inlineStr">
        <is>
          <t>Create the Supportability Matrix sheet in this workbook and update it in every finished task</t>
        </is>
      </c>
      <c r="E281" s="10" t="inlineStr">
        <is>
          <t>Docs</t>
        </is>
      </c>
      <c r="F281" s="10" t="inlineStr">
        <is>
          <t>Done</t>
        </is>
      </c>
      <c r="G281" s="10" t="inlineStr">
        <is>
          <t>P0</t>
        </is>
      </c>
      <c r="H281" s="8" t="inlineStr">
        <is>
          <t>Owner decision 2026-10-18: builder limits and other supported values come from a supportability matrix that is created now and updated whenever a task is done.</t>
        </is>
      </c>
      <c r="I281" s="8" t="inlineStr">
        <is>
          <t>No further action for creation. From now on every finished task adds or updates the matrix rows for what it makes supported (capability or limit, component, version, verifying row).</t>
        </is>
      </c>
      <c r="J281" s="8" t="inlineStr">
        <is>
          <t>The sheet exists with seed rows; Instructions rule 'Supportability Matrix' is in force; each Done row has its matrix update recorded in the Report.</t>
        </is>
      </c>
      <c r="K281" s="8" t="inlineStr">
        <is>
          <t>Created 2026-10-18: Supportability Matrix sheet added to this workbook; rule: update it in every finished task.</t>
        </is>
      </c>
      <c r="L281" s="10" t="inlineStr">
        <is>
          <t>-</t>
        </is>
      </c>
      <c r="M281" s="10" t="inlineStr">
        <is>
          <t>S</t>
        </is>
      </c>
      <c r="N281" s="10" t="inlineStr">
        <is>
          <t>High</t>
        </is>
      </c>
      <c r="O281" s="10" t="inlineStr"/>
      <c r="P281" s="10" t="inlineStr"/>
      <c r="Q281" s="10" t="inlineStr"/>
      <c r="R281" s="8" t="inlineStr">
        <is>
          <t>Customer &amp; module versions</t>
        </is>
      </c>
      <c r="S281" s="10" t="inlineStr">
        <is>
          <t>Yes</t>
        </is>
      </c>
      <c r="T281" s="10" t="n"/>
      <c r="U281" s="10" t="n"/>
    </row>
    <row r="282">
      <c r="A282" s="10" t="n">
        <v>281</v>
      </c>
      <c r="B282" s="10" t="inlineStr">
        <is>
          <t>Claude</t>
        </is>
      </c>
      <c r="C282" s="8" t="inlineStr">
        <is>
          <t>Supportability Matrix &amp; Module Versioning</t>
        </is>
      </c>
      <c r="D282" s="8" t="inlineStr">
        <is>
          <t>Define, test and publish the supported limits: custom modules, forms per module, fields per entity, workflows, child-table rows, records per entity, tested concurrent users</t>
        </is>
      </c>
      <c r="E282" s="10" t="inlineStr">
        <is>
          <t>Feature</t>
        </is>
      </c>
      <c r="F282" s="10" t="inlineStr">
        <is>
          <t>Not Started</t>
        </is>
      </c>
      <c r="G282" s="10" t="inlineStr">
        <is>
          <t>P1</t>
        </is>
      </c>
      <c r="H282" s="8" t="inlineStr">
        <is>
          <t>The matrix rows for builder limits and data volume are TBD; they must come from measured results, not guesses.</t>
        </is>
      </c>
      <c r="I282" s="8" t="inlineStr">
        <is>
          <t>Use the performance and builder tests (QA_PERF, QA_DYN) to measure what the platform handles comfortably, set the supported values and write them into the Supportability Matrix.</t>
        </is>
      </c>
      <c r="J282" s="8" t="inlineStr">
        <is>
          <t>Every TBD limit row in the matrix has a measured supported value and a verifying row; MOD_LIM enforces the same numbers.</t>
        </is>
      </c>
      <c r="K282" s="8" t="n"/>
      <c r="L282" s="10" t="inlineStr">
        <is>
          <t>M4</t>
        </is>
      </c>
      <c r="M282" s="10" t="inlineStr">
        <is>
          <t>M</t>
        </is>
      </c>
      <c r="N282" s="10" t="inlineStr">
        <is>
          <t>High</t>
        </is>
      </c>
      <c r="O282" s="10" t="inlineStr">
        <is>
          <t>#12 #202 #56</t>
        </is>
      </c>
      <c r="P282" s="10" t="inlineStr"/>
      <c r="Q282" s="10" t="inlineStr"/>
      <c r="R282" s="8" t="inlineStr">
        <is>
          <t>Customer &amp; module versions</t>
        </is>
      </c>
      <c r="S282" s="10" t="inlineStr">
        <is>
          <t>No</t>
        </is>
      </c>
      <c r="T282" s="10" t="n"/>
      <c r="U282" s="10" t="n"/>
    </row>
    <row r="283">
      <c r="A283" s="10" t="n">
        <v>282</v>
      </c>
      <c r="B283" s="10" t="inlineStr">
        <is>
          <t>Claude</t>
        </is>
      </c>
      <c r="C283" s="8" t="inlineStr">
        <is>
          <t>Supportability Matrix &amp; Module Versioning</t>
        </is>
      </c>
      <c r="D283" s="8" t="inlineStr">
        <is>
          <t>Independent versioning for every module: SemVer per module package, declared compatible core range, own changelog; installed product version = core version</t>
        </is>
      </c>
      <c r="E283" s="10" t="inlineStr">
        <is>
          <t>Feature</t>
        </is>
      </c>
      <c r="F283" s="10" t="inlineStr">
        <is>
          <t>Not Started</t>
        </is>
      </c>
      <c r="G283" s="10" t="inlineStr">
        <is>
          <t>P0</t>
        </is>
      </c>
      <c r="H283" s="8" t="inlineStr">
        <is>
          <t>Owner decision 2026-10-18: the core is independent of its modules; the product version on the customer side is the core version and each module (a dynamic module of the BPMS-based product) has its own version that must also be managed.</t>
        </is>
      </c>
      <c r="I283" s="8" t="inlineStr">
        <is>
          <t>Add module version, core-compatibility range and changelog to module metadata and module packages (D_PKG, MOD_PKG); expose the core version as the product version and the module versions on a page and in the manifest.</t>
        </is>
      </c>
      <c r="J283" s="8" t="inlineStr">
        <is>
          <t>Each module package carries its own version and compatible core range; the running system shows the core version and every module's version.</t>
        </is>
      </c>
      <c r="K283" s="8" t="inlineStr">
        <is>
          <t>PM 2026-10-18: no longer depends on the module package row; depends on the metadata package.</t>
        </is>
      </c>
      <c r="L283" s="10" t="inlineStr">
        <is>
          <t>M2</t>
        </is>
      </c>
      <c r="M283" s="10" t="inlineStr">
        <is>
          <t>L</t>
        </is>
      </c>
      <c r="N283" s="10" t="inlineStr">
        <is>
          <t>Sales blocker</t>
        </is>
      </c>
      <c r="O283" s="10" t="inlineStr">
        <is>
          <t>#23 #269</t>
        </is>
      </c>
      <c r="P283" s="10" t="inlineStr"/>
      <c r="Q283" s="10" t="inlineStr"/>
      <c r="R283" s="8" t="inlineStr">
        <is>
          <t>Customer &amp; module versions</t>
        </is>
      </c>
      <c r="S283" s="10" t="inlineStr">
        <is>
          <t>Yes</t>
        </is>
      </c>
      <c r="T283" s="10" t="n"/>
      <c r="U283" s="10" t="n"/>
    </row>
    <row r="284">
      <c r="A284" s="10" t="n">
        <v>283</v>
      </c>
      <c r="B284" s="10" t="inlineStr">
        <is>
          <t>Claude</t>
        </is>
      </c>
      <c r="C284" s="8" t="inlineStr">
        <is>
          <t>Supportability Matrix &amp; Module Versioning</t>
        </is>
      </c>
      <c r="D284" s="8" t="inlineStr">
        <is>
          <t>Core-to-module compatibility rules and enforcement: installer, updater and registry refuse incompatible core/module combinations</t>
        </is>
      </c>
      <c r="E284" s="10" t="inlineStr">
        <is>
          <t>Feature</t>
        </is>
      </c>
      <c r="F284" s="10" t="inlineStr">
        <is>
          <t>Not Started</t>
        </is>
      </c>
      <c r="G284" s="10" t="inlineStr">
        <is>
          <t>P1</t>
        </is>
      </c>
      <c r="H284" s="8" t="inlineStr">
        <is>
          <t>With independently versioned modules a customer could end up with a module that does not run on their core, or the reverse.</t>
        </is>
      </c>
      <c r="I284" s="8" t="inlineStr">
        <is>
          <t>Evaluate declared compatibility ranges at install and update time and compute, per customer, the valid next core and module versions.</t>
        </is>
      </c>
      <c r="J284" s="8" t="inlineStr">
        <is>
          <t>An incompatible combination is refused with a clear message; the registry shows the valid combinations for each customer.</t>
        </is>
      </c>
      <c r="K284" s="8" t="n"/>
      <c r="L284" s="10" t="inlineStr">
        <is>
          <t>M4</t>
        </is>
      </c>
      <c r="M284" s="10" t="inlineStr">
        <is>
          <t>M</t>
        </is>
      </c>
      <c r="N284" s="10" t="inlineStr">
        <is>
          <t>High</t>
        </is>
      </c>
      <c r="O284" s="10" t="inlineStr">
        <is>
          <t>#282 #274</t>
        </is>
      </c>
      <c r="P284" s="10" t="inlineStr"/>
      <c r="Q284" s="10" t="inlineStr"/>
      <c r="R284" s="8" t="inlineStr">
        <is>
          <t>Customer &amp; module versions</t>
        </is>
      </c>
      <c r="S284" s="10" t="inlineStr">
        <is>
          <t>No</t>
        </is>
      </c>
      <c r="T284" s="10" t="n"/>
      <c r="U284" s="10" t="n"/>
    </row>
    <row r="285">
      <c r="A285" s="10" t="n">
        <v>284</v>
      </c>
      <c r="B285" s="10" t="inlineStr">
        <is>
          <t>Claude</t>
        </is>
      </c>
      <c r="C285" s="8" t="inlineStr">
        <is>
          <t>Supportability Matrix &amp; Module Versioning</t>
        </is>
      </c>
      <c r="D285" s="8" t="inlineStr">
        <is>
          <t>Independent module update packages: update one module without updating the core (signed, metadata and data migration, rollback)</t>
        </is>
      </c>
      <c r="E285" s="10" t="inlineStr">
        <is>
          <t>Feature</t>
        </is>
      </c>
      <c r="F285" s="10" t="inlineStr">
        <is>
          <t>Not Started</t>
        </is>
      </c>
      <c r="G285" s="10" t="inlineStr">
        <is>
          <t>P1</t>
        </is>
      </c>
      <c r="H285" s="8" t="inlineStr">
        <is>
          <t>Customers should receive a module fix or a new module version without a full core upgrade.</t>
        </is>
      </c>
      <c r="I285" s="8" t="inlineStr">
        <is>
          <t>Build module-level update packages on the signed update mechanism (I_UPDATE) and module packages (D_PKG): version check, metadata migration, data migration, rollback and receipt.</t>
        </is>
      </c>
      <c r="J285" s="8" t="inlineStr">
        <is>
          <t>A module is updated on a sample instance without changing the core; rollback restores the previous module version.</t>
        </is>
      </c>
      <c r="K285" s="8" t="n"/>
      <c r="L285" s="10" t="inlineStr">
        <is>
          <t>M4</t>
        </is>
      </c>
      <c r="M285" s="10" t="inlineStr">
        <is>
          <t>L</t>
        </is>
      </c>
      <c r="N285" s="10" t="inlineStr">
        <is>
          <t>High</t>
        </is>
      </c>
      <c r="O285" s="10" t="inlineStr">
        <is>
          <t>#170 #23 #282</t>
        </is>
      </c>
      <c r="P285" s="10" t="inlineStr"/>
      <c r="Q285" s="10" t="inlineStr"/>
      <c r="R285" s="8" t="inlineStr">
        <is>
          <t>Customer &amp; module versions</t>
        </is>
      </c>
      <c r="S285" s="10" t="inlineStr">
        <is>
          <t>No</t>
        </is>
      </c>
      <c r="T285" s="10" t="n"/>
      <c r="U285" s="10" t="n"/>
    </row>
    <row r="286">
      <c r="A286" s="10" t="n">
        <v>285</v>
      </c>
      <c r="B286" s="10" t="inlineStr">
        <is>
          <t>Claude</t>
        </is>
      </c>
      <c r="C286" s="8" t="inlineStr">
        <is>
          <t>DevOps, Source Control &amp; Release Management</t>
        </is>
      </c>
      <c r="D286" s="8" t="inlineStr">
        <is>
          <t>Product release pipeline: signed builds, artifact archive, offline package mirror, UAT environment (when the first installer is due)</t>
        </is>
      </c>
      <c r="E286" s="10" t="inlineStr">
        <is>
          <t>Feature</t>
        </is>
      </c>
      <c r="F286" s="10" t="inlineStr">
        <is>
          <t>Later</t>
        </is>
      </c>
      <c r="G286" s="10" t="inlineStr">
        <is>
          <t>P1</t>
        </is>
      </c>
      <c r="H286" s="8" t="inlineStr">
        <is>
          <t>Owner decision 2026-10-18: CI/CD is needed only for the demo and the website for now; this row holds the product release pipeline for later.</t>
        </is>
      </c>
      <c r="I286" s="8" t="inlineStr">
        <is>
          <t>When the first installer approaches, implement the product pipeline from V_BUILDENV, V_ARTIFACT, V_ENVS, V_SIGN and CV_RELMAP.</t>
        </is>
      </c>
      <c r="J286" s="8" t="inlineStr">
        <is>
          <t>A tagged product release produces a signed installer and updater, archived with its manifest.</t>
        </is>
      </c>
      <c r="K286" s="8" t="n"/>
      <c r="L286" s="10" t="inlineStr">
        <is>
          <t>M6</t>
        </is>
      </c>
      <c r="M286" s="10" t="inlineStr">
        <is>
          <t>XL</t>
        </is>
      </c>
      <c r="N286" s="10" t="inlineStr">
        <is>
          <t>High</t>
        </is>
      </c>
      <c r="O286" s="10" t="inlineStr">
        <is>
          <t>#7 #259 #260 #261</t>
        </is>
      </c>
      <c r="P286" s="10" t="inlineStr"/>
      <c r="Q286" s="10" t="inlineStr"/>
      <c r="R286" s="8" t="inlineStr">
        <is>
          <t>DevOps &amp; release</t>
        </is>
      </c>
      <c r="S286" s="10" t="inlineStr">
        <is>
          <t>No</t>
        </is>
      </c>
      <c r="T286" s="10" t="n"/>
      <c r="U286" s="10" t="n"/>
    </row>
    <row r="287">
      <c r="A287" s="10" t="n">
        <v>286</v>
      </c>
      <c r="B287" s="10" t="inlineStr">
        <is>
          <t>Claude</t>
        </is>
      </c>
      <c r="C287" s="8" t="inlineStr">
        <is>
          <t>DevOps, Source Control &amp; Release Management</t>
        </is>
      </c>
      <c r="D287" s="8" t="inlineStr">
        <is>
          <t>Evaluate moving source control to a self-hosted system (GitLab CE or Gitea) if offline needs or access restrictions require it</t>
        </is>
      </c>
      <c r="E287" s="10" t="inlineStr">
        <is>
          <t>Research</t>
        </is>
      </c>
      <c r="F287" s="10" t="inlineStr">
        <is>
          <t>Later</t>
        </is>
      </c>
      <c r="G287" s="10" t="inlineStr">
        <is>
          <t>P3</t>
        </is>
      </c>
      <c r="H287" s="8" t="inlineStr">
        <is>
          <t>Owner decision 2026-10-18: hosted GitHub for now; self-hosting stays an option.</t>
        </is>
      </c>
      <c r="I287" s="8" t="inlineStr">
        <is>
          <t>Revisit if GitHub becomes unreachable, a customer requires source escrow on their own infrastructure, or cost/security needs change.</t>
        </is>
      </c>
      <c r="J287" s="8" t="inlineStr">
        <is>
          <t>A short evaluation with migration steps exists if the trigger occurs.</t>
        </is>
      </c>
      <c r="K287" s="8" t="n"/>
      <c r="L287" s="10" t="inlineStr">
        <is>
          <t>M6</t>
        </is>
      </c>
      <c r="M287" s="10" t="inlineStr">
        <is>
          <t>M</t>
        </is>
      </c>
      <c r="N287" s="10" t="inlineStr">
        <is>
          <t>Low</t>
        </is>
      </c>
      <c r="O287" s="10" t="inlineStr">
        <is>
          <t>#257</t>
        </is>
      </c>
      <c r="P287" s="10" t="inlineStr"/>
      <c r="Q287" s="10" t="inlineStr"/>
      <c r="R287" s="8" t="inlineStr">
        <is>
          <t>DevOps &amp; release</t>
        </is>
      </c>
      <c r="S287" s="10" t="inlineStr">
        <is>
          <t>No</t>
        </is>
      </c>
      <c r="T287" s="10" t="n"/>
      <c r="U287" s="10" t="n"/>
    </row>
    <row r="288">
      <c r="A288" s="10" t="n">
        <v>287</v>
      </c>
      <c r="B288" s="10" t="inlineStr">
        <is>
          <t>User</t>
        </is>
      </c>
      <c r="C288" s="8" t="inlineStr">
        <is>
          <t>Main Host: Landing &amp; Demo Deployment</t>
        </is>
      </c>
      <c r="D288" s="8" t="inlineStr">
        <is>
          <t>Platform of the shared main host (OS, web server, run model of each site, SQL Server placement); deploy channel decided: automatic when reachable, manual upload fallback</t>
        </is>
      </c>
      <c r="E288" s="10" t="inlineStr">
        <is>
          <t>Decision Needed</t>
        </is>
      </c>
      <c r="F288" s="10" t="inlineStr">
        <is>
          <t>Partial</t>
        </is>
      </c>
      <c r="G288" s="10" t="inlineStr">
        <is>
          <t>P0</t>
        </is>
      </c>
      <c r="H288" s="8" t="inlineStr">
        <is>
          <t>Owner requirement 2026-10-18: GitHub Actions checks whether the host is reachable and deploys; if it is not reachable the created artifact is uploaded for manual deployment (HST_FALLBACK). The demo is a branch of the main repository and the landing is a separate repository. Still open: host OS and web server, whether each site runs as a service or a container, and where SQL Server runs for the demo.</t>
        </is>
      </c>
      <c r="I288" s="8" t="inlineStr">
        <is>
          <t>Choose the host OS and serving stack (Windows with IIS plus Node for Next.js, or Linux with nginx and containers), whether each site runs as a service or a container, and where SQL Server runs for the demo.</t>
        </is>
      </c>
      <c r="J288" s="8" t="inlineStr">
        <is>
          <t>A decision note stating the OS, web server, run model per site and SQL Server placement; the other HST rows are finalized from it.</t>
        </is>
      </c>
      <c r="K288" s="8" t="inlineStr">
        <is>
          <t>Partly decided 2026-10-18: deploy channel = GitHub Actions deploys automatically when the host is reachable, otherwise the built artifact is uploaded for manual deployment (HST_FALLBACK). Host OS/web server, run model and SQL Server placement are still open.</t>
        </is>
      </c>
      <c r="L288" s="10" t="inlineStr">
        <is>
          <t>M0</t>
        </is>
      </c>
      <c r="M288" s="10" t="inlineStr">
        <is>
          <t>M</t>
        </is>
      </c>
      <c r="N288" s="10" t="inlineStr">
        <is>
          <t>High</t>
        </is>
      </c>
      <c r="O288" s="10" t="inlineStr"/>
      <c r="P288" s="10" t="inlineStr"/>
      <c r="Q288" s="10" t="inlineStr"/>
      <c r="R288" s="8" t="inlineStr">
        <is>
          <t>Main host: landing &amp; demo deployment</t>
        </is>
      </c>
      <c r="S288" s="10" t="inlineStr">
        <is>
          <t>Yes</t>
        </is>
      </c>
      <c r="T288" s="10" t="n"/>
      <c r="U288" s="10" t="n"/>
    </row>
    <row r="289">
      <c r="A289" s="10" t="n">
        <v>288</v>
      </c>
      <c r="B289" s="10" t="inlineStr">
        <is>
          <t>Claude</t>
        </is>
      </c>
      <c r="C289" s="8" t="inlineStr">
        <is>
          <t>Main Host: Landing &amp; Demo Deployment</t>
        </is>
      </c>
      <c r="D289" s="8" t="inlineStr">
        <is>
          <t>Repositories: pems (product, with a long-lived demo branch for the demo environment) and pems-landing (landing website, separate repository)</t>
        </is>
      </c>
      <c r="E289" s="10" t="inlineStr">
        <is>
          <t>Ops Process</t>
        </is>
      </c>
      <c r="F289" s="10" t="inlineStr">
        <is>
          <t>Not Started</t>
        </is>
      </c>
      <c r="G289" s="10" t="inlineStr">
        <is>
          <t>P0</t>
        </is>
      </c>
      <c r="H289" s="8" t="inlineStr">
        <is>
          <t>Owner requirement 2026-10-18: the demo is a branch of the main repository, but the landing website is a separate repository with its own pipelines. Today the landing has no repository and the product repository is public.</t>
        </is>
      </c>
      <c r="I289" s="8" t="inlineStr">
        <is>
          <t>Create the private pems-landing repository (Next.js site, content in files). Keep the product in pems and add the demo branch under HST_DEMOBRANCH. Set protected branches, CODEOWNERS, per-repository secrets and environments, and issue templates.</t>
        </is>
      </c>
      <c r="J289" s="8" t="inlineStr">
        <is>
          <t>pems-landing exists as a separate private repository; the pems repository has protected main and demo branches; the landing and the demo can be built, released and rolled back without touching each other.</t>
        </is>
      </c>
      <c r="K289" s="8" t="inlineStr">
        <is>
          <t>Revised 2026-10-18: the demo is a branch of the pems repository; only the landing website is a separate repository (pems-landing).</t>
        </is>
      </c>
      <c r="L289" s="10" t="inlineStr">
        <is>
          <t>M0</t>
        </is>
      </c>
      <c r="M289" s="10" t="inlineStr">
        <is>
          <t>S</t>
        </is>
      </c>
      <c r="N289" s="10" t="inlineStr">
        <is>
          <t>High</t>
        </is>
      </c>
      <c r="O289" s="10" t="inlineStr">
        <is>
          <t>#257</t>
        </is>
      </c>
      <c r="P289" s="10" t="inlineStr"/>
      <c r="Q289" s="10" t="inlineStr"/>
      <c r="R289" s="8" t="inlineStr">
        <is>
          <t>Main host: landing &amp; demo deployment</t>
        </is>
      </c>
      <c r="S289" s="10" t="inlineStr">
        <is>
          <t>No</t>
        </is>
      </c>
      <c r="T289" s="10" t="n"/>
      <c r="U289" s="10" t="n"/>
    </row>
    <row r="290">
      <c r="A290" s="10" t="n">
        <v>289</v>
      </c>
      <c r="B290" s="10" t="inlineStr">
        <is>
          <t>Claude</t>
        </is>
      </c>
      <c r="C290" s="8" t="inlineStr">
        <is>
          <t>Main Host: Landing &amp; Demo Deployment</t>
        </is>
      </c>
      <c r="D290" s="8" t="inlineStr">
        <is>
          <t>GitHub Actions foundation: reusable workflow templates, environments with approvals, organization secret policy, runner and deploy channel to the host</t>
        </is>
      </c>
      <c r="E290" s="10" t="inlineStr">
        <is>
          <t>Feature</t>
        </is>
      </c>
      <c r="F290" s="10" t="inlineStr">
        <is>
          <t>Not Started</t>
        </is>
      </c>
      <c r="G290" s="10" t="inlineStr">
        <is>
          <t>P0</t>
        </is>
      </c>
      <c r="H290" s="8" t="inlineStr">
        <is>
          <t>Owner requirement 2026-10-18: deployment of the demo and the landing website on the host is automated by GitHub Actions, with a reachability check and a manual fallback. Shared conventions avoid duplicating the pipelines across the pems and pems-landing repositories.</t>
        </is>
      </c>
      <c r="I290" s="8" t="inlineStr">
        <is>
          <t>Create reusable workflows (build, test, pre-flight reachability check, deploy over the chosen channel, health check, rollback, notify), GitHub environments (staging, production) with required reviewers and branch restrictions, pinned action versions and least-privilege token permissions; document the runner strategy chosen in HST_PLATFORM. Add the manual fallback from HST_FALLBACK.</t>
        </is>
      </c>
      <c r="J290" s="8" t="inlineStr">
        <is>
          <t>A repository or branch adopts the deploy workflow by configuration only; production deployment needs an approval; actions are pinned and token permissions are least-privilege; an unreachable host triggers the fallback instead of a failed run.</t>
        </is>
      </c>
      <c r="K290" s="8" t="n"/>
      <c r="L290" s="10" t="inlineStr">
        <is>
          <t>M1</t>
        </is>
      </c>
      <c r="M290" s="10" t="inlineStr">
        <is>
          <t>M</t>
        </is>
      </c>
      <c r="N290" s="10" t="inlineStr">
        <is>
          <t>High</t>
        </is>
      </c>
      <c r="O290" s="10" t="inlineStr">
        <is>
          <t>#287 #288</t>
        </is>
      </c>
      <c r="P290" s="10" t="inlineStr"/>
      <c r="Q290" s="10" t="inlineStr"/>
      <c r="R290" s="8" t="inlineStr">
        <is>
          <t>Main host: landing &amp; demo deployment</t>
        </is>
      </c>
      <c r="S290" s="10" t="inlineStr">
        <is>
          <t>No</t>
        </is>
      </c>
      <c r="T290" s="10" t="n"/>
      <c r="U290" s="10" t="n"/>
    </row>
    <row r="291">
      <c r="A291" s="10" t="n">
        <v>290</v>
      </c>
      <c r="B291" s="10" t="inlineStr">
        <is>
          <t>User</t>
        </is>
      </c>
      <c r="C291" s="8" t="inlineStr">
        <is>
          <t>Main Host: Landing &amp; Demo Deployment</t>
        </is>
      </c>
      <c r="D291" s="8" t="inlineStr">
        <is>
          <t>DNS and TLS for the main domain and the demo subdomain: records, certificates with automatic renewal, www redirect, HSTS</t>
        </is>
      </c>
      <c r="E291" s="10" t="inlineStr">
        <is>
          <t>Ops Process</t>
        </is>
      </c>
      <c r="F291" s="10" t="inlineStr">
        <is>
          <t>Not Started</t>
        </is>
      </c>
      <c r="G291" s="10" t="inlineStr">
        <is>
          <t>P0</t>
        </is>
      </c>
      <c r="H291" s="8" t="inlineStr">
        <is>
          <t>Owner requirement 2026-10-18: the demo is the subdomain of the main host and the landing website is the main domain.</t>
        </is>
      </c>
      <c r="I291" s="8" t="inlineStr">
        <is>
          <t>Create DNS records for the main domain, www and the demo subdomain (and later portal/docs subdomains), issue certificates with automatic renewal, redirect www, enable HSTS.</t>
        </is>
      </c>
      <c r="J291" s="8" t="inlineStr">
        <is>
          <t>Both addresses serve valid HTTPS; renewal is automatic and monitored; the demo certificate can be replaced without touching the landing.</t>
        </is>
      </c>
      <c r="K291" s="8" t="n"/>
      <c r="L291" s="10" t="inlineStr">
        <is>
          <t>M1</t>
        </is>
      </c>
      <c r="M291" s="10" t="inlineStr">
        <is>
          <t>S</t>
        </is>
      </c>
      <c r="N291" s="10" t="inlineStr">
        <is>
          <t>High</t>
        </is>
      </c>
      <c r="O291" s="10" t="inlineStr">
        <is>
          <t>#287 #125</t>
        </is>
      </c>
      <c r="P291" s="10" t="inlineStr"/>
      <c r="Q291" s="10" t="inlineStr"/>
      <c r="R291" s="8" t="inlineStr">
        <is>
          <t>Main host: landing &amp; demo deployment</t>
        </is>
      </c>
      <c r="S291" s="10" t="inlineStr">
        <is>
          <t>No</t>
        </is>
      </c>
      <c r="T291" s="10" t="n"/>
      <c r="U291" s="10" t="n"/>
    </row>
    <row r="292">
      <c r="A292" s="10" t="n">
        <v>291</v>
      </c>
      <c r="B292" s="10" t="inlineStr">
        <is>
          <t>Claude</t>
        </is>
      </c>
      <c r="C292" s="8" t="inlineStr">
        <is>
          <t>Main Host: Landing &amp; Demo Deployment</t>
        </is>
      </c>
      <c r="D292" s="8" t="inlineStr">
        <is>
          <t>Reverse proxy and isolation on the shared host: separate virtual hosts, service accounts, directories, ports, resource limits and database logins for landing and demo</t>
        </is>
      </c>
      <c r="E292" s="10" t="inlineStr">
        <is>
          <t>Feature</t>
        </is>
      </c>
      <c r="F292" s="10" t="inlineStr">
        <is>
          <t>Hold</t>
        </is>
      </c>
      <c r="G292" s="10" t="inlineStr">
        <is>
          <t>P0</t>
        </is>
      </c>
      <c r="H292" s="8" t="inlineStr">
        <is>
          <t>Owner requirement 2026-10-18: the demo and the landing website must be totally different in deployment and failure. The demo runs a full PEMS instance with SQL Server and is a public abuse target; the landing website must keep working if the demo is overloaded, reset or broken.</t>
        </is>
      </c>
      <c r="I292" s="8" t="inlineStr">
        <is>
          <t>Set up the reverse proxy with one virtual host per site; run each site under its own service account with its own file root, logs, ports, process limits and database login; cap the demo's memory and SQL Server memory.</t>
        </is>
      </c>
      <c r="J292" s="8" t="inlineStr">
        <is>
          <t>Stopping, resetting or overloading the demo does not affect the landing; each site has its own account, file root, logs and database login with no access to the other.</t>
        </is>
      </c>
      <c r="K292" s="8" t="inlineStr">
        <is>
          <t>ON HOLD per PM 2026-10-18.</t>
        </is>
      </c>
      <c r="L292" s="10" t="inlineStr">
        <is>
          <t>M1</t>
        </is>
      </c>
      <c r="M292" s="10" t="inlineStr">
        <is>
          <t>L</t>
        </is>
      </c>
      <c r="N292" s="10" t="inlineStr">
        <is>
          <t>Sales blocker</t>
        </is>
      </c>
      <c r="O292" s="10" t="inlineStr">
        <is>
          <t>#287 #139</t>
        </is>
      </c>
      <c r="P292" s="10" t="inlineStr"/>
      <c r="Q292" s="10" t="inlineStr"/>
      <c r="R292" s="8" t="inlineStr">
        <is>
          <t>Main host: landing &amp; demo deployment</t>
        </is>
      </c>
      <c r="S292" s="10" t="inlineStr">
        <is>
          <t>Yes</t>
        </is>
      </c>
      <c r="T292" s="10" t="n"/>
      <c r="U292" s="10" t="n"/>
    </row>
    <row r="293">
      <c r="A293" s="10" t="n">
        <v>292</v>
      </c>
      <c r="B293" s="10" t="inlineStr">
        <is>
          <t>Claude</t>
        </is>
      </c>
      <c r="C293" s="8" t="inlineStr">
        <is>
          <t>Main Host: Landing &amp; Demo Deployment</t>
        </is>
      </c>
      <c r="D293" s="8" t="inlineStr">
        <is>
          <t>Deployment access model: one limited deploy account per site and per environment, no shared credentials, keys only as GitHub environment secrets</t>
        </is>
      </c>
      <c r="E293" s="10" t="inlineStr">
        <is>
          <t>Ops Process</t>
        </is>
      </c>
      <c r="F293" s="10" t="inlineStr">
        <is>
          <t>Not Started</t>
        </is>
      </c>
      <c r="G293" s="10" t="inlineStr">
        <is>
          <t>P0</t>
        </is>
      </c>
      <c r="H293" s="8" t="inlineStr">
        <is>
          <t>Owner requirement 2026-10-18: automated deployment needs access to the host; that access must not let one pipeline touch the other site.</t>
        </is>
      </c>
      <c r="I293" s="8" t="inlineStr">
        <is>
          <t>Create a deploy account for landing and another for demo (and per environment), each allowed to write only its own release directory and restart only its own service; keys stored as environment secrets and rotated.</t>
        </is>
      </c>
      <c r="J293" s="8" t="inlineStr">
        <is>
          <t>The landing deploy account cannot read or write the demo and vice versa; a leaked key reaches only one site and one environment.</t>
        </is>
      </c>
      <c r="K293" s="8" t="n"/>
      <c r="L293" s="10" t="inlineStr">
        <is>
          <t>M1</t>
        </is>
      </c>
      <c r="M293" s="10" t="inlineStr">
        <is>
          <t>M</t>
        </is>
      </c>
      <c r="N293" s="10" t="inlineStr">
        <is>
          <t>High</t>
        </is>
      </c>
      <c r="O293" s="10" t="inlineStr">
        <is>
          <t>#291 #289</t>
        </is>
      </c>
      <c r="P293" s="10" t="inlineStr"/>
      <c r="Q293" s="10" t="inlineStr"/>
      <c r="R293" s="8" t="inlineStr">
        <is>
          <t>Main host: landing &amp; demo deployment</t>
        </is>
      </c>
      <c r="S293" s="10" t="inlineStr">
        <is>
          <t>No</t>
        </is>
      </c>
      <c r="T293" s="10" t="n"/>
      <c r="U293" s="10" t="n"/>
    </row>
    <row r="294">
      <c r="A294" s="10" t="n">
        <v>293</v>
      </c>
      <c r="B294" s="10" t="inlineStr">
        <is>
          <t>Claude</t>
        </is>
      </c>
      <c r="C294" s="8" t="inlineStr">
        <is>
          <t>Main Host: Landing &amp; Demo Deployment</t>
        </is>
      </c>
      <c r="D294" s="8" t="inlineStr">
        <is>
          <t>Secrets and configuration for deployments: per-site configuration on the host, GitHub environment secrets, rotation, nothing in the repositories</t>
        </is>
      </c>
      <c r="E294" s="10" t="inlineStr">
        <is>
          <t>Ops Process</t>
        </is>
      </c>
      <c r="F294" s="10" t="inlineStr">
        <is>
          <t>Not Started</t>
        </is>
      </c>
      <c r="G294" s="10" t="inlineStr">
        <is>
          <t>P0</t>
        </is>
      </c>
      <c r="H294" s="8" t="inlineStr">
        <is>
          <t>Connection strings, demo licence and deploy keys must never be committed (see F_SECRET).</t>
        </is>
      </c>
      <c r="I294" s="8" t="inlineStr">
        <is>
          <t>Keep per-site configuration files on the host outside the release directories, store deploy secrets only as GitHub environment secrets, restrict each environment to its own branch (the demo production environment only from the demo branch of pems, the landing production environment only from the main branch of pems-landing) so one pipeline cannot read the other's secrets, and define a rotation schedule.</t>
        </is>
      </c>
      <c r="J294" s="8" t="inlineStr">
        <is>
          <t>A secret scan of both repositories finds nothing; the demo secrets are unreadable from main-branch workflows and the landing secrets from the demo branch; rotating a secret needs no code change.</t>
        </is>
      </c>
      <c r="K294" s="8" t="n"/>
      <c r="L294" s="10" t="inlineStr">
        <is>
          <t>M1</t>
        </is>
      </c>
      <c r="M294" s="10" t="inlineStr">
        <is>
          <t>S</t>
        </is>
      </c>
      <c r="N294" s="10" t="inlineStr">
        <is>
          <t>High</t>
        </is>
      </c>
      <c r="O294" s="10" t="inlineStr">
        <is>
          <t>#9 #289</t>
        </is>
      </c>
      <c r="P294" s="10" t="inlineStr"/>
      <c r="Q294" s="10" t="inlineStr"/>
      <c r="R294" s="8" t="inlineStr">
        <is>
          <t>Main host: landing &amp; demo deployment</t>
        </is>
      </c>
      <c r="S294" s="10" t="inlineStr">
        <is>
          <t>No</t>
        </is>
      </c>
      <c r="T294" s="10" t="n"/>
      <c r="U294" s="10" t="n"/>
    </row>
    <row r="295">
      <c r="A295" s="10" t="n">
        <v>294</v>
      </c>
      <c r="B295" s="10" t="inlineStr">
        <is>
          <t>Claude</t>
        </is>
      </c>
      <c r="C295" s="8" t="inlineStr">
        <is>
          <t>Commercial Website</t>
        </is>
      </c>
      <c r="D295" s="8" t="inlineStr">
        <is>
          <t>Landing website pipeline (pems-landing): lint, build, link/accessibility/Lighthouse checks, staging deploy, approved production deploy to the main domain, rollback</t>
        </is>
      </c>
      <c r="E295" s="10" t="inlineStr">
        <is>
          <t>Feature</t>
        </is>
      </c>
      <c r="F295" s="10" t="inlineStr">
        <is>
          <t>Not Started</t>
        </is>
      </c>
      <c r="G295" s="10" t="inlineStr">
        <is>
          <t>P0</t>
        </is>
      </c>
      <c r="H295" s="8" t="inlineStr">
        <is>
          <t>Owner requirement 2026-10-18: the landing website needs proper pipelines and its own repository, deployed automatically to the main host without touching the demo.</t>
        </is>
      </c>
      <c r="I295" s="8" t="inlineStr">
        <is>
          <t>Pull request: lint, build and checks. Merge to main: deploy to staging, require approval, then publish to the main domain by an atomic release-directory switch that keeps the previous releases; run a health check and roll back automatically on failure. Deploy only the landing virtual host. If the host is unreachable follow HST_FALLBACK.</t>
        </is>
      </c>
      <c r="J295" s="8" t="inlineStr">
        <is>
          <t>A merged change reaches the main domain automatically after approval with no manual copying; rollback to the previous release takes under 5 minutes; the pipeline never touches the demo.</t>
        </is>
      </c>
      <c r="K295" s="8" t="n"/>
      <c r="L295" s="10" t="inlineStr">
        <is>
          <t>M2</t>
        </is>
      </c>
      <c r="M295" s="10" t="inlineStr">
        <is>
          <t>M</t>
        </is>
      </c>
      <c r="N295" s="10" t="inlineStr">
        <is>
          <t>High</t>
        </is>
      </c>
      <c r="O295" s="10" t="inlineStr">
        <is>
          <t>#153 #288 #289 #291 #292 #301</t>
        </is>
      </c>
      <c r="P295" s="10" t="inlineStr"/>
      <c r="Q295" s="10" t="inlineStr"/>
      <c r="R295" s="8" t="inlineStr">
        <is>
          <t>Commercial website</t>
        </is>
      </c>
      <c r="S295" s="10" t="inlineStr">
        <is>
          <t>No</t>
        </is>
      </c>
      <c r="T295" s="10" t="n"/>
      <c r="U295" s="10" t="n"/>
    </row>
    <row r="296">
      <c r="A296" s="10" t="n">
        <v>295</v>
      </c>
      <c r="B296" s="10" t="inlineStr">
        <is>
          <t>Claude</t>
        </is>
      </c>
      <c r="C296" s="8" t="inlineStr">
        <is>
          <t>Online Demo</t>
        </is>
      </c>
      <c r="D296" s="8" t="inlineStr">
        <is>
          <t>Demo pipeline (demo branch of pems): build the demo branch, deploy it to the demo subdomain, migrate, load the sample data pack, install the demo licence, smoke test, roll back</t>
        </is>
      </c>
      <c r="E296" s="10" t="inlineStr">
        <is>
          <t>Feature</t>
        </is>
      </c>
      <c r="F296" s="10" t="inlineStr">
        <is>
          <t>Partial</t>
        </is>
      </c>
      <c r="G296" s="10" t="inlineStr">
        <is>
          <t>P0</t>
        </is>
      </c>
      <c r="H296" s="8" t="inlineStr">
        <is>
          <t>Owner requirement 2026-10-18: the demo is a branch of the main repository, deployed to the main host by GitHub Actions and completely separate from the landing website's deployment. 2026-10-22: .github/workflows/deploy-demo.yml now builds, runs the model-drift gate and tests, publishes self-contained win-x64, injects the demo connection string and Database settings, uploads by FTP and waits for /health/database = UpToDate (install on the first deploy, update afterwards) - see #312. Not yet run on GitHub; sample-data pack, demo licence, rollback and backup steps are still open. 2026-10-24 first runs on the demo branch: build, drift gate, database-free tests, publish and the FTP upload from the GitHub runner PASS; the post-deploy health check failed - the demo site has no valid TLS certificate and the application does not answer on first start (details and steps: docs/deployment/DEMO_DEPLOYMENT.md, row #340). 2026-10-24 update: the pipeline now deploys and installs the database (see #312); sample data, licence install, backup and rollback steps remain.</t>
        </is>
      </c>
      <c r="I296" s="8" t="inlineStr">
        <is>
          <t>Trigger on a push to the demo branch or manually: build and test with the shared build workflow, run the pre-flight reachability check, back up the demo database, deploy to a new release directory or container, apply migrations, load the sample pack, install the demo licence from a GitHub environment secret restricted to the demo branch, run smoke tests and switch traffic; roll back on failure. If the host is unreachable follow HST_FALLBACK. The nightly reset is a separate workflow (DM_RESET).</t>
        </is>
      </c>
      <c r="J296" s="8" t="inlineStr">
        <is>
          <t>A push to the demo branch deploys to the demo subdomain (or, if the host is unreachable, produces the artifact for manual deployment) and is verified by smoke tests; rollback restores the previous build and database; the pipeline never touches the landing.</t>
        </is>
      </c>
      <c r="K296" s="8" t="n"/>
      <c r="L296" s="10" t="inlineStr">
        <is>
          <t>M2</t>
        </is>
      </c>
      <c r="M296" s="10" t="inlineStr">
        <is>
          <t>L</t>
        </is>
      </c>
      <c r="N296" s="10" t="inlineStr">
        <is>
          <t>Sales blocker</t>
        </is>
      </c>
      <c r="O296" s="10" t="inlineStr">
        <is>
          <t>#7 #288 #300 #289 #291 #292 #301 #140 #145</t>
        </is>
      </c>
      <c r="P296" s="10" t="inlineStr"/>
      <c r="Q296" s="10" t="inlineStr"/>
      <c r="R296" s="8" t="inlineStr">
        <is>
          <t>Online demo</t>
        </is>
      </c>
      <c r="S296" s="10" t="inlineStr">
        <is>
          <t>No</t>
        </is>
      </c>
      <c r="T296" s="10" t="n"/>
      <c r="U296" s="10" t="n"/>
    </row>
    <row r="297">
      <c r="A297" s="10" t="n">
        <v>296</v>
      </c>
      <c r="B297" s="10" t="inlineStr">
        <is>
          <t>Claude</t>
        </is>
      </c>
      <c r="C297" s="8" t="inlineStr">
        <is>
          <t>Main Host: Landing &amp; Demo Deployment</t>
        </is>
      </c>
      <c r="D297" s="8" t="inlineStr">
        <is>
          <t>Staging copies of the landing website and of the demo on the same host, using the same pipelines</t>
        </is>
      </c>
      <c r="E297" s="10" t="inlineStr">
        <is>
          <t>Feature</t>
        </is>
      </c>
      <c r="F297" s="10" t="inlineStr">
        <is>
          <t>Not Started</t>
        </is>
      </c>
      <c r="G297" s="10" t="inlineStr">
        <is>
          <t>P1</t>
        </is>
      </c>
      <c r="H297" s="8" t="inlineStr">
        <is>
          <t>Changes should be seen on a staging address before they reach the main domain or the public demo.</t>
        </is>
      </c>
      <c r="I297" s="8" t="inlineStr">
        <is>
          <t>Add staging virtual hosts (for example staging and demo-staging subdomains), separate directories, database and secrets, and wire them into WEB_PIPE and DEM_PIPE.</t>
        </is>
      </c>
      <c r="J297" s="8" t="inlineStr">
        <is>
          <t>Every production deploy of either site is preceded by a staging deploy of the same artifact.</t>
        </is>
      </c>
      <c r="K297" s="8" t="n"/>
      <c r="L297" s="10" t="inlineStr">
        <is>
          <t>M3</t>
        </is>
      </c>
      <c r="M297" s="10" t="inlineStr">
        <is>
          <t>M</t>
        </is>
      </c>
      <c r="N297" s="10" t="inlineStr">
        <is>
          <t>Medium</t>
        </is>
      </c>
      <c r="O297" s="10" t="inlineStr">
        <is>
          <t>#291 #294 #295</t>
        </is>
      </c>
      <c r="P297" s="10" t="inlineStr"/>
      <c r="Q297" s="10" t="inlineStr"/>
      <c r="R297" s="8" t="inlineStr">
        <is>
          <t>Main host: landing &amp; demo deployment</t>
        </is>
      </c>
      <c r="S297" s="10" t="inlineStr">
        <is>
          <t>No</t>
        </is>
      </c>
      <c r="T297" s="10" t="n"/>
      <c r="U297" s="10" t="n"/>
    </row>
    <row r="298">
      <c r="A298" s="10" t="n">
        <v>297</v>
      </c>
      <c r="B298" s="10" t="inlineStr">
        <is>
          <t>Claude</t>
        </is>
      </c>
      <c r="C298" s="8" t="inlineStr">
        <is>
          <t>Main Host: Landing &amp; Demo Deployment</t>
        </is>
      </c>
      <c r="D298" s="8" t="inlineStr">
        <is>
          <t>Per-site monitoring and logs on the shared host: uptime, logs, disk/CPU/memory and SQL Server alerts, separately for landing and demo</t>
        </is>
      </c>
      <c r="E298" s="10" t="inlineStr">
        <is>
          <t>Ops Process</t>
        </is>
      </c>
      <c r="F298" s="10" t="inlineStr">
        <is>
          <t>Not Started</t>
        </is>
      </c>
      <c r="G298" s="10" t="inlineStr">
        <is>
          <t>P1</t>
        </is>
      </c>
      <c r="H298" s="8" t="inlineStr">
        <is>
          <t>A problem on one site must be visible and attributable without mixing it with the other.</t>
        </is>
      </c>
      <c r="I298" s="8" t="inlineStr">
        <is>
          <t>Separate uptime checks, log files and alerts per site; host-level alerts for disk, CPU, memory and SQL Server.</t>
        </is>
      </c>
      <c r="J298" s="8" t="inlineStr">
        <is>
          <t>An alert names the affected site; the landing and the demo can be diagnosed independently.</t>
        </is>
      </c>
      <c r="K298" s="8" t="n"/>
      <c r="L298" s="10" t="inlineStr">
        <is>
          <t>M3</t>
        </is>
      </c>
      <c r="M298" s="10" t="inlineStr">
        <is>
          <t>M</t>
        </is>
      </c>
      <c r="N298" s="10" t="inlineStr">
        <is>
          <t>Medium</t>
        </is>
      </c>
      <c r="O298" s="10" t="inlineStr">
        <is>
          <t>#291</t>
        </is>
      </c>
      <c r="P298" s="10" t="inlineStr"/>
      <c r="Q298" s="10" t="inlineStr"/>
      <c r="R298" s="8" t="inlineStr">
        <is>
          <t>Main host: landing &amp; demo deployment</t>
        </is>
      </c>
      <c r="S298" s="10" t="inlineStr">
        <is>
          <t>No</t>
        </is>
      </c>
      <c r="T298" s="10" t="n"/>
      <c r="U298" s="10" t="n"/>
    </row>
    <row r="299">
      <c r="A299" s="10" t="n">
        <v>298</v>
      </c>
      <c r="B299" s="10" t="inlineStr">
        <is>
          <t>User</t>
        </is>
      </c>
      <c r="C299" s="8" t="inlineStr">
        <is>
          <t>Main Host: Landing &amp; Demo Deployment</t>
        </is>
      </c>
      <c r="D299" s="8" t="inlineStr">
        <is>
          <t>Backup of the shared host: landing releases and content, demo database snapshots (used by the reset), configuration; tested restore</t>
        </is>
      </c>
      <c r="E299" s="10" t="inlineStr">
        <is>
          <t>Ops Process</t>
        </is>
      </c>
      <c r="F299" s="10" t="inlineStr">
        <is>
          <t>Not Started</t>
        </is>
      </c>
      <c r="G299" s="10" t="inlineStr">
        <is>
          <t>P1</t>
        </is>
      </c>
      <c r="H299" s="8" t="inlineStr">
        <is>
          <t>Losing the host would lose the website, the demo and the deploy setup.</t>
        </is>
      </c>
      <c r="I299" s="8" t="inlineStr">
        <is>
          <t>Scheduled off-site backups of releases, configuration and demo snapshots; documented restore tested on a clean host.</t>
        </is>
      </c>
      <c r="J299" s="8" t="inlineStr">
        <is>
          <t>A restore drill brings back both sites from backup.</t>
        </is>
      </c>
      <c r="K299" s="8" t="n"/>
      <c r="L299" s="10" t="inlineStr">
        <is>
          <t>M3</t>
        </is>
      </c>
      <c r="M299" s="10" t="inlineStr">
        <is>
          <t>S</t>
        </is>
      </c>
      <c r="N299" s="10" t="inlineStr">
        <is>
          <t>Medium</t>
        </is>
      </c>
      <c r="O299" s="10" t="inlineStr">
        <is>
          <t>#291</t>
        </is>
      </c>
      <c r="P299" s="10" t="inlineStr"/>
      <c r="Q299" s="10" t="inlineStr"/>
      <c r="R299" s="8" t="inlineStr">
        <is>
          <t>Main host: landing &amp; demo deployment</t>
        </is>
      </c>
      <c r="S299" s="10" t="inlineStr">
        <is>
          <t>No</t>
        </is>
      </c>
      <c r="T299" s="10" t="n"/>
      <c r="U299" s="10" t="n"/>
    </row>
    <row r="300">
      <c r="A300" s="10" t="n">
        <v>299</v>
      </c>
      <c r="B300" s="10" t="inlineStr">
        <is>
          <t>Claude</t>
        </is>
      </c>
      <c r="C300" s="8" t="inlineStr">
        <is>
          <t>Main Host: Landing &amp; Demo Deployment</t>
        </is>
      </c>
      <c r="D300" s="8" t="inlineStr">
        <is>
          <t>Runbook: deploy, roll back, reset and restore the landing website and the demo separately; who holds which access</t>
        </is>
      </c>
      <c r="E300" s="10" t="inlineStr">
        <is>
          <t>Docs</t>
        </is>
      </c>
      <c r="F300" s="10" t="inlineStr">
        <is>
          <t>Not Started</t>
        </is>
      </c>
      <c r="G300" s="10" t="inlineStr">
        <is>
          <t>P1</t>
        </is>
      </c>
      <c r="H300" s="8" t="inlineStr">
        <is>
          <t>Two separate deployables need clear, separate procedures.</t>
        </is>
      </c>
      <c r="I300" s="8" t="inlineStr">
        <is>
          <t>Write one short procedure per site and operation and a table of accounts, keys and owners.</t>
        </is>
      </c>
      <c r="J300" s="8" t="inlineStr">
        <is>
          <t>Someone new can deploy and roll back each site using only the runbook.</t>
        </is>
      </c>
      <c r="K300" s="8" t="n"/>
      <c r="L300" s="10" t="inlineStr">
        <is>
          <t>M3</t>
        </is>
      </c>
      <c r="M300" s="10" t="inlineStr">
        <is>
          <t>S</t>
        </is>
      </c>
      <c r="N300" s="10" t="inlineStr">
        <is>
          <t>Medium</t>
        </is>
      </c>
      <c r="O300" s="10" t="inlineStr">
        <is>
          <t>#294 #295</t>
        </is>
      </c>
      <c r="P300" s="10" t="inlineStr"/>
      <c r="Q300" s="10" t="inlineStr"/>
      <c r="R300" s="8" t="inlineStr">
        <is>
          <t>Main host: landing &amp; demo deployment</t>
        </is>
      </c>
      <c r="S300" s="10" t="inlineStr">
        <is>
          <t>No</t>
        </is>
      </c>
      <c r="T300" s="10" t="n"/>
      <c r="U300" s="10" t="n"/>
    </row>
    <row r="301">
      <c r="A301" s="10" t="n">
        <v>300</v>
      </c>
      <c r="B301" s="10" t="inlineStr">
        <is>
          <t>Claude</t>
        </is>
      </c>
      <c r="C301" s="8" t="inlineStr">
        <is>
          <t>Main Host: Landing &amp; Demo Deployment</t>
        </is>
      </c>
      <c r="D301" s="8" t="inlineStr">
        <is>
          <t>Demo branch policy: a long-lived demo branch of the pems repository holding only the demo overlay, synced from main by automation; product changes only on main</t>
        </is>
      </c>
      <c r="E301" s="10" t="inlineStr">
        <is>
          <t>Docs</t>
        </is>
      </c>
      <c r="F301" s="10" t="inlineStr">
        <is>
          <t>Not Started</t>
        </is>
      </c>
      <c r="G301" s="10" t="inlineStr">
        <is>
          <t>P0</t>
        </is>
      </c>
      <c r="H301" s="8" t="inlineStr">
        <is>
          <t>Owner requirement 2026-10-18: the demo is a branch of the main repository, while the landing website is a separate repository. Without rules the demo branch drifts from main and becomes a fork.</t>
        </is>
      </c>
      <c r="I301" s="8" t="inlineStr">
        <is>
          <t>Create the demo branch from main with a clearly separated overlay directory (demo data pack, reset scripts, deploy workflow, demo configuration). Sync main into demo automatically (a scheduled workflow that merges or opens a pull request, never demo into main). Commit product changes only on main; implement demo-only behaviors as demo-mode configuration flags in the product (see DM_PERSONA, DM_SAFE), not as code edits on the demo branch. Protect the branch and limit who can push.</t>
        </is>
      </c>
      <c r="J301" s="8" t="inlineStr">
        <is>
          <t>The demo branch differs from main only by the overlay directory; a sync from main runs automatically and reports conflicts; a check fails any change on demo outside the overlay; no commit from demo is ever merged into main.</t>
        </is>
      </c>
      <c r="K301" s="8" t="inlineStr">
        <is>
          <t>ADR: plan/adr/0006-demo-and-staging-branch-policy.md (overlay and automatic sync still planned)</t>
        </is>
      </c>
      <c r="L301" s="10" t="inlineStr">
        <is>
          <t>M0</t>
        </is>
      </c>
      <c r="M301" s="10" t="inlineStr">
        <is>
          <t>S</t>
        </is>
      </c>
      <c r="N301" s="10" t="inlineStr">
        <is>
          <t>High</t>
        </is>
      </c>
      <c r="O301" s="10" t="inlineStr">
        <is>
          <t>#288 #258</t>
        </is>
      </c>
      <c r="P301" s="10" t="inlineStr"/>
      <c r="Q301" s="10" t="inlineStr"/>
      <c r="R301" s="8" t="inlineStr">
        <is>
          <t>Main host: landing &amp; demo deployment</t>
        </is>
      </c>
      <c r="S301" s="10" t="inlineStr">
        <is>
          <t>No</t>
        </is>
      </c>
      <c r="T301" s="10" t="n"/>
      <c r="U301" s="10" t="n"/>
    </row>
    <row r="302">
      <c r="A302" s="10" t="n">
        <v>301</v>
      </c>
      <c r="B302" s="10" t="inlineStr">
        <is>
          <t>Claude</t>
        </is>
      </c>
      <c r="C302" s="8" t="inlineStr">
        <is>
          <t>Main Host: Landing &amp; Demo Deployment</t>
        </is>
      </c>
      <c r="D302" s="8" t="inlineStr">
        <is>
          <t>Deploy pre-flight and manual fallback: the pipeline checks the host is reachable and deploys; if not, it uploads the artifact, notifies, and the artifact is deployed manually</t>
        </is>
      </c>
      <c r="E302" s="10" t="inlineStr">
        <is>
          <t>Feature</t>
        </is>
      </c>
      <c r="F302" s="10" t="inlineStr">
        <is>
          <t>Not Started</t>
        </is>
      </c>
      <c r="G302" s="10" t="inlineStr">
        <is>
          <t>P0</t>
        </is>
      </c>
      <c r="H302" s="8" t="inlineStr">
        <is>
          <t>Owner requirement 2026-10-18: GitHub Actions checks whether the host is reachable and deploys; otherwise it reports that it is not reachable and the created artifact is uploaded so it can be deployed manually. A host may be unreachable from GitHub, for example because of its location.</t>
        </is>
      </c>
      <c r="I302" s="8" t="inlineStr">
        <is>
          <t>Add to the shared deploy workflow (HST_ACTIONS) a pre-flight reachability check of the deploy channel. If reachable, deploy automatically. If not, publish the built artifact (workflow artifact or release) with its checksum and a manual-deploy guide, notify the owners (email or GitHub issue) and mark the run 'manual deployment needed'. Provide a self-contained manual deploy script that performs the same steps as the pipeline (verify checksum, back up, switch release, migrate, health check, roll back on failure) so manual and automatic deploys are identical. Applies to both the landing and the demo pipelines.</t>
        </is>
      </c>
      <c r="J302" s="8" t="inlineStr">
        <is>
          <t>With the host unreachable, a run ends with a downloadable, checksum-verified artifact and a notification, and running the manual script on the host gives the same result as an automatic deploy; with the host reachable no manual step is needed.</t>
        </is>
      </c>
      <c r="K302" s="8" t="n"/>
      <c r="L302" s="10" t="inlineStr">
        <is>
          <t>M1</t>
        </is>
      </c>
      <c r="M302" s="10" t="inlineStr">
        <is>
          <t>M</t>
        </is>
      </c>
      <c r="N302" s="10" t="inlineStr">
        <is>
          <t>High</t>
        </is>
      </c>
      <c r="O302" s="10" t="inlineStr">
        <is>
          <t>#289 #291</t>
        </is>
      </c>
      <c r="P302" s="10" t="inlineStr"/>
      <c r="Q302" s="10" t="inlineStr"/>
      <c r="R302" s="8" t="inlineStr">
        <is>
          <t>Main host: landing &amp; demo deployment</t>
        </is>
      </c>
      <c r="S302" s="10" t="inlineStr">
        <is>
          <t>No</t>
        </is>
      </c>
      <c r="T302" s="10" t="n"/>
      <c r="U302" s="10" t="n"/>
    </row>
    <row r="303">
      <c r="A303" s="10" t="n">
        <v>302</v>
      </c>
      <c r="B303" s="10" t="inlineStr">
        <is>
          <t>Claude</t>
        </is>
      </c>
      <c r="C303" s="8" t="inlineStr">
        <is>
          <t>DevOps, Source Control &amp; Release Management</t>
        </is>
      </c>
      <c r="D303" s="8" t="inlineStr">
        <is>
          <t>Per-release branch policy: every release gets its own release branch with rules for creation, allowed changes, backports, protection and retirement</t>
        </is>
      </c>
      <c r="E303" s="10" t="inlineStr">
        <is>
          <t>Docs</t>
        </is>
      </c>
      <c r="F303" s="10" t="inlineStr">
        <is>
          <t>Not Started</t>
        </is>
      </c>
      <c r="G303" s="10" t="inlineStr">
        <is>
          <t>P0</t>
        </is>
      </c>
      <c r="H303" s="8" t="inlineStr">
        <is>
          <t>PM review 2026-10-18: make a branch policy for each release. V_BRANCH sets the overall strategy; each release line needs its own explicit rules so a customer's version can always be reproduced and patched.</t>
        </is>
      </c>
      <c r="I303" s="8" t="inlineStr">
        <is>
          <t>For each release create release/&lt;version&gt; from main at the release candidate; allow only fixes and documentation on it; require review and the CI workflow to pass; backport every fix to every supported release branch; protect the branch from force-push; record creation, supported period and retirement date in the release map (CV_MAP); no per-customer branches.</t>
        </is>
      </c>
      <c r="J303" s="8" t="inlineStr">
        <is>
          <t>Every shipped version maps to one protected release branch and one tag; the release map lists each branch with its support period; a hotfix reaches all supported branches by backport.</t>
        </is>
      </c>
      <c r="K303" s="8" t="n"/>
      <c r="L303" s="10" t="inlineStr">
        <is>
          <t>M2</t>
        </is>
      </c>
      <c r="M303" s="10" t="inlineStr">
        <is>
          <t>S</t>
        </is>
      </c>
      <c r="N303" s="10" t="inlineStr">
        <is>
          <t>High</t>
        </is>
      </c>
      <c r="O303" s="10" t="inlineStr">
        <is>
          <t>#258</t>
        </is>
      </c>
      <c r="P303" s="10" t="inlineStr"/>
      <c r="Q303" s="10" t="inlineStr"/>
      <c r="R303" s="8" t="inlineStr">
        <is>
          <t>DevOps &amp; release</t>
        </is>
      </c>
      <c r="S303" s="10" t="inlineStr">
        <is>
          <t>Yes</t>
        </is>
      </c>
      <c r="T303" s="10" t="n"/>
      <c r="U303" s="10" t="n"/>
    </row>
    <row r="304">
      <c r="A304" s="10" t="n">
        <v>303</v>
      </c>
      <c r="B304" s="10" t="inlineStr">
        <is>
          <t>Claude</t>
        </is>
      </c>
      <c r="C304" s="8" t="inlineStr">
        <is>
          <t>Customer Version &amp; Deployment Management</t>
        </is>
      </c>
      <c r="D304" s="8" t="inlineStr">
        <is>
          <t>Release map file: a structured mapping with tables for customer, release branch, artifact, version number and changelog (first version of the customer registry)</t>
        </is>
      </c>
      <c r="E304" s="10" t="inlineStr">
        <is>
          <t>Feature</t>
        </is>
      </c>
      <c r="F304" s="10" t="inlineStr">
        <is>
          <t>Not Started</t>
        </is>
      </c>
      <c r="G304" s="10" t="inlineStr">
        <is>
          <t>P0</t>
        </is>
      </c>
      <c r="H304" s="8" t="inlineStr">
        <is>
          <t>PM review 2026-10-18: a mapping file with proper tables is needed so you can tell for every customer which release branch, artifact, version number and changelog applies. It is the starting point of the customer registry (CV_REG).</t>
        </is>
      </c>
      <c r="I304" s="8" t="inlineStr">
        <is>
          <t>Create a single structured file kept vendor-side (a SQLite database is recommended, exportable to Excel/CSV) with tables: customers; deployments (customer, site, Install ID, core version, module versions); releases (version number, release branch, git tag, commit, date, support period); artifacts (file name, type installer/updater/module package, checksum, signature, library path, release); changelog entries per release; deliveries (customer, artifact, date, method, status applied/failed/pending). Add small UI or import/export helpers so it can be edited and queried without a terminal; keep it consistent with the release manifest (CV_RELMAP) and the artifact library (V_ARTIFACT).</t>
        </is>
      </c>
      <c r="J304" s="8" t="inlineStr">
        <is>
          <t>For any customer you can list its core and module versions, the release branch, artifact files and changelog; for any artifact you can list the customers that received it; the file can be exported to Excel and CV_REG can import it.</t>
        </is>
      </c>
      <c r="K304" s="8" t="n"/>
      <c r="L304" s="10" t="inlineStr">
        <is>
          <t>M2</t>
        </is>
      </c>
      <c r="M304" s="10" t="inlineStr">
        <is>
          <t>M</t>
        </is>
      </c>
      <c r="N304" s="10" t="inlineStr">
        <is>
          <t>Sales blocker</t>
        </is>
      </c>
      <c r="O304" s="10" t="inlineStr">
        <is>
          <t>#269 #260 #302</t>
        </is>
      </c>
      <c r="P304" s="10" t="inlineStr"/>
      <c r="Q304" s="10" t="inlineStr"/>
      <c r="R304" s="8" t="inlineStr">
        <is>
          <t>Customer &amp; module versions</t>
        </is>
      </c>
      <c r="S304" s="10" t="inlineStr">
        <is>
          <t>Yes</t>
        </is>
      </c>
      <c r="T304" s="10" t="n"/>
      <c r="U304" s="10" t="n"/>
    </row>
    <row r="305">
      <c r="A305" s="10" t="n">
        <v>304</v>
      </c>
      <c r="B305" s="10" t="inlineStr">
        <is>
          <t>User</t>
        </is>
      </c>
      <c r="C305" s="8" t="inlineStr">
        <is>
          <t>Online Demo</t>
        </is>
      </c>
      <c r="D305" s="8" t="inlineStr">
        <is>
          <t>Create and maintain the demo content (team task): scenarios, documents, work orders, permits, inventory, projects; refresh after each migration wave</t>
        </is>
      </c>
      <c r="E305" s="10" t="inlineStr">
        <is>
          <t>Ops Process</t>
        </is>
      </c>
      <c r="F305" s="10" t="inlineStr">
        <is>
          <t>Not Started</t>
        </is>
      </c>
      <c r="G305" s="10" t="inlineStr">
        <is>
          <t>P0</t>
        </is>
      </c>
      <c r="H305" s="8" t="inlineStr">
        <is>
          <t>PM review 2026-10-18: the team will create the demo data. The demo must look like a real petrochemical EPC project and contain no real customer data.</t>
        </is>
      </c>
      <c r="I305" s="8" t="inlineStr">
        <is>
          <t>Build the demo content in a demo instance with the team (fictional equipment, documents, work orders, permits, inventory, projects, personas), then store the snapshot in the demo overlay (DM_DATA). Refresh the content when each migration wave adds modules.</t>
        </is>
      </c>
      <c r="J305" s="8" t="inlineStr">
        <is>
          <t>The first demo snapshot covers the modules available at launch; it is refreshed after each migration wave; a reviewer confirms there is no real customer data.</t>
        </is>
      </c>
      <c r="K305" s="8" t="n"/>
      <c r="L305" s="10" t="inlineStr">
        <is>
          <t>M2</t>
        </is>
      </c>
      <c r="M305" s="10" t="inlineStr">
        <is>
          <t>M</t>
        </is>
      </c>
      <c r="N305" s="10" t="inlineStr">
        <is>
          <t>High</t>
        </is>
      </c>
      <c r="O305" s="10" t="inlineStr">
        <is>
          <t>#140 #87</t>
        </is>
      </c>
      <c r="P305" s="10" t="inlineStr"/>
      <c r="Q305" s="10" t="inlineStr"/>
      <c r="R305" s="8" t="inlineStr">
        <is>
          <t>Online demo</t>
        </is>
      </c>
      <c r="S305" s="10" t="inlineStr">
        <is>
          <t>Yes</t>
        </is>
      </c>
      <c r="T305" s="10" t="n"/>
      <c r="U305" s="10" t="n"/>
    </row>
    <row r="306">
      <c r="A306" s="10" t="n">
        <v>305</v>
      </c>
      <c r="B306" s="10" t="inlineStr">
        <is>
          <t>Claude</t>
        </is>
      </c>
      <c r="C306" s="8" t="inlineStr">
        <is>
          <t>Licensing &amp; Protection</t>
        </is>
      </c>
      <c r="D306" s="8" t="inlineStr">
        <is>
          <t>Automated licence attack-scenario test suite (clone, image restore, clock change, tamper, replay) in CI</t>
        </is>
      </c>
      <c r="E306" s="10" t="inlineStr">
        <is>
          <t>Tech Debt</t>
        </is>
      </c>
      <c r="F306" s="10" t="inlineStr">
        <is>
          <t>Hold</t>
        </is>
      </c>
      <c r="G306" s="10" t="inlineStr">
        <is>
          <t>P1</t>
        </is>
      </c>
      <c r="H306" s="8" t="inlineStr">
        <is>
          <t>PM review 2026-10-18 (licensing chain): split out of the licence acceptance checklist (L_TEST) to keep the first version simple; kept in the backlog on Hold.</t>
        </is>
      </c>
      <c r="I306" s="8" t="inlineStr">
        <is>
          <t>Automate the attack scenarios from the licensing threat model (disk image on other hardware, restored snapshot, clock rollback, tampered file, replayed request) so they run on every release.</t>
        </is>
      </c>
      <c r="J306" s="8" t="inlineStr">
        <is>
          <t>The attack scenarios run automatically in CI and fail the release if any defense regresses.</t>
        </is>
      </c>
      <c r="K306" s="8" t="n"/>
      <c r="L306" s="10" t="inlineStr">
        <is>
          <t>M3</t>
        </is>
      </c>
      <c r="M306" s="10" t="inlineStr">
        <is>
          <t>L</t>
        </is>
      </c>
      <c r="N306" s="10" t="inlineStr">
        <is>
          <t>Medium</t>
        </is>
      </c>
      <c r="O306" s="10" t="inlineStr">
        <is>
          <t>#122 #104 #105</t>
        </is>
      </c>
      <c r="P306" s="10" t="inlineStr"/>
      <c r="Q306" s="10" t="inlineStr"/>
      <c r="R306" s="8" t="inlineStr">
        <is>
          <t>Licensing chain</t>
        </is>
      </c>
      <c r="S306" s="10" t="inlineStr">
        <is>
          <t>Yes</t>
        </is>
      </c>
      <c r="T306" s="10" t="n"/>
      <c r="U306" s="10" t="n"/>
    </row>
    <row r="307">
      <c r="A307" s="10" t="n">
        <v>306</v>
      </c>
      <c r="B307" s="10" t="inlineStr">
        <is>
          <t>Claude</t>
        </is>
      </c>
      <c r="C307" s="8" t="inlineStr">
        <is>
          <t>Licensing &amp; Protection</t>
        </is>
      </c>
      <c r="D307" s="8" t="inlineStr">
        <is>
          <t>Automatic SBOM generation and licence scanning of dependencies in CI</t>
        </is>
      </c>
      <c r="E307" s="10" t="inlineStr">
        <is>
          <t>Library Modernization</t>
        </is>
      </c>
      <c r="F307" s="10" t="inlineStr">
        <is>
          <t>Hold</t>
        </is>
      </c>
      <c r="G307" s="10" t="inlineStr">
        <is>
          <t>P2</t>
        </is>
      </c>
      <c r="H307" s="8" t="inlineStr">
        <is>
          <t>PM review 2026-10-18 (licensing chain): split out of the third-party licence inventory (L_OSS) to keep the first version a simple manual list; kept in the backlog on Hold.</t>
        </is>
      </c>
      <c r="I307" s="8" t="inlineStr">
        <is>
          <t>Generate the SBOM automatically on every build, flag new or changed dependency licences, and fail the release on a licence that needs review.</t>
        </is>
      </c>
      <c r="J307" s="8" t="inlineStr">
        <is>
          <t>A machine-readable SBOM is produced per release and new dependencies with a restricted licence are flagged automatically.</t>
        </is>
      </c>
      <c r="K307" s="8" t="n"/>
      <c r="L307" s="10" t="inlineStr">
        <is>
          <t>M5</t>
        </is>
      </c>
      <c r="M307" s="10" t="inlineStr">
        <is>
          <t>M</t>
        </is>
      </c>
      <c r="N307" s="10" t="inlineStr">
        <is>
          <t>Medium</t>
        </is>
      </c>
      <c r="O307" s="10" t="inlineStr">
        <is>
          <t>#121 #7</t>
        </is>
      </c>
      <c r="P307" s="10" t="inlineStr"/>
      <c r="Q307" s="10" t="inlineStr"/>
      <c r="R307" s="8" t="inlineStr">
        <is>
          <t>Licensing chain</t>
        </is>
      </c>
      <c r="S307" s="10" t="inlineStr">
        <is>
          <t>Yes</t>
        </is>
      </c>
      <c r="T307" s="10" t="n"/>
      <c r="U307" s="10" t="n"/>
    </row>
    <row r="308">
      <c r="A308" s="10" t="n">
        <v>307</v>
      </c>
      <c r="B308" s="10" t="inlineStr">
        <is>
          <t>Claude</t>
        </is>
      </c>
      <c r="C308" s="8" t="inlineStr">
        <is>
          <t>Licensing &amp; Protection</t>
        </is>
      </c>
      <c r="D308" s="8" t="inlineStr">
        <is>
          <t>Advanced entitlements: per-feature flags, edition rules and limits enforced in the API and builders</t>
        </is>
      </c>
      <c r="E308" s="10" t="inlineStr">
        <is>
          <t>Feature</t>
        </is>
      </c>
      <c r="F308" s="10" t="inlineStr">
        <is>
          <t>Hold</t>
        </is>
      </c>
      <c r="G308" s="10" t="inlineStr">
        <is>
          <t>P2</t>
        </is>
      </c>
      <c r="H308" s="8" t="inlineStr">
        <is>
          <t>PM review 2026-10-18 (licensing chain, cluster C): split out of the entitlement engine (L_FEATURES) to keep the first version simple; kept in the backlog on Hold. Builder limits come from the Supportability Matrix.</t>
        </is>
      </c>
      <c r="I308" s="8" t="inlineStr">
        <is>
          <t>Add per-feature switches and edition rules to the licence and enforce them in the API and the builders, reading limits from the Supportability Matrix.</t>
        </is>
      </c>
      <c r="J308" s="8" t="inlineStr">
        <is>
          <t>A single feature or limit can be enabled or changed by licence without touching the module as a whole.</t>
        </is>
      </c>
      <c r="K308" s="8" t="n"/>
      <c r="L308" s="10" t="inlineStr">
        <is>
          <t>M5</t>
        </is>
      </c>
      <c r="M308" s="10" t="inlineStr">
        <is>
          <t>M</t>
        </is>
      </c>
      <c r="N308" s="10" t="inlineStr">
        <is>
          <t>Medium</t>
        </is>
      </c>
      <c r="O308" s="10" t="inlineStr">
        <is>
          <t>#113 #281</t>
        </is>
      </c>
      <c r="P308" s="10" t="inlineStr"/>
      <c r="Q308" s="10" t="inlineStr"/>
      <c r="R308" s="8" t="inlineStr">
        <is>
          <t>Licensing chain</t>
        </is>
      </c>
      <c r="S308" s="10" t="inlineStr">
        <is>
          <t>Yes</t>
        </is>
      </c>
      <c r="T308" s="10" t="n"/>
      <c r="U308" s="10" t="n"/>
    </row>
    <row r="309">
      <c r="A309" s="10" t="n">
        <v>308</v>
      </c>
      <c r="B309" s="10" t="inlineStr">
        <is>
          <t>Claude</t>
        </is>
      </c>
      <c r="C309" s="8" t="inlineStr">
        <is>
          <t>Licensing &amp; Protection</t>
        </is>
      </c>
      <c r="D309" s="8" t="inlineStr">
        <is>
          <t>Emergency temporary licence and configurable grace period without production downtime</t>
        </is>
      </c>
      <c r="E309" s="10" t="inlineStr">
        <is>
          <t>Feature</t>
        </is>
      </c>
      <c r="F309" s="10" t="inlineStr">
        <is>
          <t>Hold</t>
        </is>
      </c>
      <c r="G309" s="10" t="inlineStr">
        <is>
          <t>P2</t>
        </is>
      </c>
      <c r="H309" s="8" t="inlineStr">
        <is>
          <t>PM review 2026-10-18 (licensing chain, cluster C): split out of the renewal row (L_RENEW) to keep the first version simple; kept in the backlog on Hold.</t>
        </is>
      </c>
      <c r="I309" s="8" t="inlineStr">
        <is>
          <t>A button on the licence page that activates a 7-day emergency licence with logging, and a configurable grace period after expiry, all in the UI.</t>
        </is>
      </c>
      <c r="J309" s="8" t="inlineStr">
        <is>
          <t>A customer whose licence has just expired keeps running for the grace period and can activate one emergency licence with an audit entry.</t>
        </is>
      </c>
      <c r="K309" s="8" t="n"/>
      <c r="L309" s="10" t="inlineStr">
        <is>
          <t>M5</t>
        </is>
      </c>
      <c r="M309" s="10" t="inlineStr">
        <is>
          <t>M</t>
        </is>
      </c>
      <c r="N309" s="10" t="inlineStr">
        <is>
          <t>Medium</t>
        </is>
      </c>
      <c r="O309" s="10" t="inlineStr">
        <is>
          <t>#115</t>
        </is>
      </c>
      <c r="P309" s="10" t="inlineStr"/>
      <c r="Q309" s="10" t="inlineStr"/>
      <c r="R309" s="8" t="inlineStr">
        <is>
          <t>Licensing chain</t>
        </is>
      </c>
      <c r="S309" s="10" t="inlineStr">
        <is>
          <t>Yes</t>
        </is>
      </c>
      <c r="T309" s="10" t="n"/>
      <c r="U309" s="10" t="n"/>
    </row>
    <row r="310">
      <c r="A310" s="10" t="n">
        <v>309</v>
      </c>
      <c r="B310" s="10" t="inlineStr">
        <is>
          <t>Claude</t>
        </is>
      </c>
      <c r="C310" s="8" t="inlineStr">
        <is>
          <t>Installation, Deployment &amp; Updates</t>
        </is>
      </c>
      <c r="D310" s="8" t="inlineStr">
        <is>
          <t>Fully code-first database: automatic install on first run and automatic update on later runs (EF Core migrations, full-text search as a migration); no InitialCreate.sql, no SSMS script, no manual 'ef database update'</t>
        </is>
      </c>
      <c r="E310" s="10" t="inlineStr">
        <is>
          <t>Tech Debt</t>
        </is>
      </c>
      <c r="F310" s="10" t="inlineStr">
        <is>
          <t>Partial</t>
        </is>
      </c>
      <c r="G310" s="10" t="inlineStr">
        <is>
          <t>P0</t>
        </is>
      </c>
      <c r="H310" s="8" t="inlineStr">
        <is>
          <t>Was: EF Core code-first model + migration history, but nothing applied them at startup (Program.cs only ran seeders) and the full-text script was a manual SSMS step with a hardcoded 'USE PEMSDB'. Now: DatabaseInitializer (create database if missing before Hangfire connects) + IDatabaseUpdateService (see #310) run before the seeders; settings Database:CreateIfMissing / MigrateOnStartup; full-text search is the migration FullTextSearch; the manual schema SQL is moved to legacy-trash/ (#311); CI 'Model drift gate'; docs/deployment/CODE_FIRST_DATABASE.md. VERIFIED 2026-10-22 on SQL Server LocalDB: the real app started against a database that did not exist, created it, installed 116 migrations (Startup/FirstRun recorded), seeders ran with 0 errors, /health/database = 200; integration tests prove install -&gt; up to date -&gt; update and that an unmanaged schema is untouched. NOT yet verified: the CI drift gate on GitHub, a restart no-op in the full app, hosting on the real demo server (Plesk/IIS, SQL Server Full-Text feature, startup time limit). TESTS 2026-10-23 on LocalDB: Authorization 73/73, Search 16/16, Setup 12/12, MyWork 42/42, Web 232/235 (2 were missing localization keys for the new page - fixed; 1 needs SQLEXPRESS by design), Deployment 19/21 (2 failures in deploy/ artifact tests that this work does not touch: LF-only assertion on a Windows autocrlf checkout and the bash mock harness), new code-first tests 57/57 after fixes, Admin page driven in a browser (install shown, update available, backup confirmation enforced, update applied and recorded). The full 1,400-test suite was not completed on this machine (hours; LocalDB wedged by killed runs).</t>
        </is>
      </c>
      <c r="I310" s="8" t="inlineStr">
        <is>
          <t>Push the branch, let build.yml run (drift gate), merge to demo and watch #312 install the demo database. Install SQL Server Full-Text on the demo host BEFORE the first run (an applied migration is not re-run). Then close this row.</t>
        </is>
      </c>
      <c r="J310" s="8" t="inlineStr">
        <is>
          <t>A new environment starts from an empty database with no manual SQL; later releases update it automatically; a model change without a migration fails CI; an applied migration is never edited (Instructions rule 6). Environments that need reviewed scripts set Database__MigrateOnStartup=false and use the Admin update page or deploy.ps1.</t>
        </is>
      </c>
      <c r="K310" s="8" t="inlineStr">
        <is>
          <t>Local commits on branch temp/code-first-database: 'feat(database): fully code-first startup ...' and the follow-up 'feat(database): install-vs-update migrator, Admin Database Update page, legacy SQL retired, demo pipeline wired'. Not versioned (no system version yet - F_CI). Not pushed (no write grant).
ADR: plan/adr/0003-code-first-database.md</t>
        </is>
      </c>
      <c r="L310" s="10" t="inlineStr">
        <is>
          <t>M2</t>
        </is>
      </c>
      <c r="M310" s="10" t="inlineStr">
        <is>
          <t>M</t>
        </is>
      </c>
      <c r="N310" s="10" t="inlineStr">
        <is>
          <t>Sales blocker</t>
        </is>
      </c>
      <c r="O310" s="10" t="inlineStr">
        <is>
          <t>#295 #167 #262 #310 #311 #312</t>
        </is>
      </c>
      <c r="P310" s="10" t="n"/>
      <c r="Q310" s="10" t="n"/>
      <c r="R310" s="8" t="inlineStr">
        <is>
          <t>Install &amp; update</t>
        </is>
      </c>
      <c r="S310" s="10" t="inlineStr">
        <is>
          <t>No</t>
        </is>
      </c>
      <c r="T310" s="10" t="n"/>
      <c r="U310" s="10" t="n"/>
    </row>
    <row r="311">
      <c r="A311" s="10" t="n">
        <v>310</v>
      </c>
      <c r="B311" s="10" t="inlineStr">
        <is>
          <t>Claude</t>
        </is>
      </c>
      <c r="C311" s="8" t="inlineStr">
        <is>
          <t>Installation, Deployment &amp; Updates</t>
        </is>
      </c>
      <c r="D311" s="8" t="inlineStr">
        <is>
          <t>Database install/update service and Admin 'Database Update' page: tells a first run (empty database) from an update (pending migrations), never touches an unmanaged schema, records every run, anonymous /health/database</t>
        </is>
      </c>
      <c r="E311" s="10" t="inlineStr">
        <is>
          <t>Feature</t>
        </is>
      </c>
      <c r="F311" s="10" t="inlineStr">
        <is>
          <t>Done</t>
        </is>
      </c>
      <c r="G311" s="10" t="inlineStr">
        <is>
          <t>P0</t>
        </is>
      </c>
      <c r="H311" s="8" t="inlineStr">
        <is>
          <t>IDatabaseUpdateService (PEMS.Application) + DatabaseUpdateService (PEMS.Persistence) with the pure DatabaseSetupClassifier: FirstRun, UpdateAvailable, UpToDate, UnmanagedSchema, DatabaseNewerThanApplication, Unreachable. Entity DatabaseUpdateRun + migration DatabaseUpdateRuns (audit of every attempt). Admin &gt; System Monitoring &gt; Database Update (/Admin/DatabaseUpdate, SystemAdmin, backup confirmation, antiforgery). GET /health/database (anonymous, state only). Verified 2026-10-22: 9 tests (classifier + real SQL Server install/update/unmanaged on throw-away LocalDB databases); page compiled and anonymous access redirects to login. Driven in a browser as the seeded dev admin on 2026-10-23: state card, pending list, backup confirmation refused/accepted, update applied, run recorded as Admin/Update. 2026-10-28 plan audit: dependency/milestone corrected (see docs/audits/2026-10-28-dynamic-restful-audit.md).</t>
        </is>
      </c>
      <c r="I311" s="8" t="inlineStr">
        <is>
          <t>Open the page as SystemAdmin on a database that is behind by one migration, apply it, and confirm the run appears in the history; confirm /health/database flips 503 -&gt; 200.</t>
        </is>
      </c>
      <c r="J311" s="8" t="inlineStr">
        <is>
          <t>First run installs everything, an update applies only what is missing, an unmanaged schema is reported and never changed, every attempt is recorded, a non-admin cannot reach the page.</t>
        </is>
      </c>
      <c r="K311" s="8" t="inlineStr">
        <is>
          <t>See #309 report.</t>
        </is>
      </c>
      <c r="L311" s="10" t="inlineStr">
        <is>
          <t>M2</t>
        </is>
      </c>
      <c r="M311" s="10" t="inlineStr">
        <is>
          <t>M</t>
        </is>
      </c>
      <c r="N311" s="10" t="inlineStr">
        <is>
          <t>Sales blocker</t>
        </is>
      </c>
      <c r="O311" s="10" t="n"/>
      <c r="P311" s="10" t="n"/>
      <c r="Q311" s="10" t="n"/>
      <c r="R311" s="8" t="inlineStr">
        <is>
          <t>Install &amp; update</t>
        </is>
      </c>
      <c r="S311" s="10" t="inlineStr">
        <is>
          <t>No</t>
        </is>
      </c>
      <c r="T311" s="10" t="n"/>
      <c r="U311" s="10" t="n"/>
    </row>
    <row r="312">
      <c r="A312" s="10" t="n">
        <v>311</v>
      </c>
      <c r="B312" s="10" t="inlineStr">
        <is>
          <t>Claude</t>
        </is>
      </c>
      <c r="C312" s="8" t="inlineStr">
        <is>
          <t>Installation, Deployment &amp; Updates</t>
        </is>
      </c>
      <c r="D312" s="8" t="inlineStr">
        <is>
          <t>Retire the manual schema SQL scripts to legacy-trash/ (kept, not deleted) and replace what they did with migrations</t>
        </is>
      </c>
      <c r="E312" s="10" t="inlineStr">
        <is>
          <t>Tech Debt</t>
        </is>
      </c>
      <c r="F312" s="10" t="inlineStr">
        <is>
          <t>Done</t>
        </is>
      </c>
      <c r="G312" s="10" t="inlineStr">
        <is>
          <t>P1</t>
        </is>
      </c>
      <c r="H312" s="8" t="inlineStr">
        <is>
          <t>Moved with git mv to legacy-trash/manual-sql/ (same relative paths, README maps each to its replacement): PEMS.Persistence/Scripts/EnableFullTextSearch.sql (now migration FullTextSearch), docs/procurement/*.migration.sql and P4_P5_delta/PREFLIGHT, docs/task manager/TaskManagerCore_migration.sql, plus the root InitialCreate.sql (full-schema script). References in docs and code comments updated. Operator tools that are not schema setup (scripts/cmms, scripts/rcm data repairs and read-only reports, docs/sql checks, deploy/ reviewed-script flow) were deliberately left in place; see #313. 2026-10-28 plan audit: dependency/milestone corrected (see docs/audits/2026-10-28-dynamic-restful-audit.md).</t>
        </is>
      </c>
      <c r="I312" s="8" t="inlineStr">
        <is>
          <t>Delete legacy-trash/ once the team agrees it is no longer needed.</t>
        </is>
      </c>
      <c r="J312" s="8" t="inlineStr">
        <is>
          <t>No SQL file used to create or change the schema remains outside legacy-trash/ and migrations.</t>
        </is>
      </c>
      <c r="K312" s="8" t="inlineStr">
        <is>
          <t>See #309 report.</t>
        </is>
      </c>
      <c r="L312" s="10" t="inlineStr">
        <is>
          <t>M2</t>
        </is>
      </c>
      <c r="M312" s="10" t="inlineStr">
        <is>
          <t>S</t>
        </is>
      </c>
      <c r="N312" s="10" t="inlineStr">
        <is>
          <t>Medium</t>
        </is>
      </c>
      <c r="O312" s="10" t="n"/>
      <c r="P312" s="10" t="n"/>
      <c r="Q312" s="10" t="n"/>
      <c r="R312" s="8" t="inlineStr">
        <is>
          <t>Install &amp; update</t>
        </is>
      </c>
      <c r="S312" s="10" t="inlineStr">
        <is>
          <t>No</t>
        </is>
      </c>
      <c r="T312" s="10" t="n"/>
      <c r="U312" s="10" t="n"/>
    </row>
    <row r="313">
      <c r="A313" s="10" t="n">
        <v>312</v>
      </c>
      <c r="B313" s="10" t="inlineStr">
        <is>
          <t>Claude</t>
        </is>
      </c>
      <c r="C313" s="8" t="inlineStr">
        <is>
          <t>Online Demo</t>
        </is>
      </c>
      <c r="D313" s="8" t="inlineStr">
        <is>
          <t>Wire the code-first database into the GitHub demo pipeline: drift gate, runtime configuration, first-run install and update, post-deploy database check</t>
        </is>
      </c>
      <c r="E313" s="10" t="inlineStr">
        <is>
          <t>Feature</t>
        </is>
      </c>
      <c r="F313" s="10" t="inlineStr">
        <is>
          <t>Done</t>
        </is>
      </c>
      <c r="G313" s="10" t="inlineStr">
        <is>
          <t>P0</t>
        </is>
      </c>
      <c r="H313" s="8" t="inlineStr">
        <is>
          <t>deploy-demo.yml: model-drift gate (dotnet ef migrations has-pending-model-changes), jq injects the demo connection string and Database={CreateIfMissing:false,MigrateOnStartup:true}, sed raises the IIS startupTimeLimit to 900 s (the first run installs the whole schema before serving), FTP upload, then polls DEMO_SITE_URL/health/database until UpToDate (fails the run after 30 minutes). YAML validated; web.config patch checked on a real publish. Not yet executed on GitHub. 2026-10-24 first runs on the demo branch: build, drift gate, database-free tests, publish and the FTP upload from the GitHub runner PASS; the post-deploy health check failed - the demo site has no valid TLS certificate and the application does not answer on first start (details and steps: docs/deployment/DEMO_DEPLOYMENT.md, row #340). 2026-10-28 plan audit: dependency/milestone corrected (see docs/audits/2026-10-28-dynamic-restful-audit.md).</t>
        </is>
      </c>
      <c r="I313" s="8" t="inlineStr">
        <is>
          <t>Add the secrets (DEMO_SITE_URL is new), push to demo, watch the run: first deploy = FirstRun, a later deploy with a new migration = Update.</t>
        </is>
      </c>
      <c r="J313" s="8" t="inlineStr">
        <is>
          <t>A push to demo yields a working demo database with no manual step, and the run fails when the schema does not reach UpToDate.</t>
        </is>
      </c>
      <c r="K313" s="8" t="inlineStr">
        <is>
          <t>2026-10-24 run 5 on the demo branch is green end to end: drift gate, database-free tests, publish, app_offline, FTP upload, health check 'attempt 1: HTTP 200 UpToDate' (the demo database was installed by the first start). Fixes needed on the way: dummy connection string for the drift gate, app_offline.htm (IIS file locks, FTP 550), 180 s FTP timeout plus one retry. Open: valid TLS certificate (#340).</t>
        </is>
      </c>
      <c r="L313" s="10" t="inlineStr">
        <is>
          <t>M2</t>
        </is>
      </c>
      <c r="M313" s="10" t="inlineStr">
        <is>
          <t>S</t>
        </is>
      </c>
      <c r="N313" s="10" t="inlineStr">
        <is>
          <t>Sales blocker</t>
        </is>
      </c>
      <c r="O313" s="10" t="inlineStr">
        <is>
          <t>#295 #310</t>
        </is>
      </c>
      <c r="P313" s="10" t="n"/>
      <c r="Q313" s="10" t="n"/>
      <c r="R313" s="8" t="inlineStr">
        <is>
          <t>Online demo</t>
        </is>
      </c>
      <c r="S313" s="10" t="inlineStr">
        <is>
          <t>No</t>
        </is>
      </c>
      <c r="T313" s="10" t="n"/>
      <c r="U313" s="10" t="n"/>
    </row>
    <row r="314">
      <c r="A314" s="10" t="n">
        <v>313</v>
      </c>
      <c r="B314" s="10" t="inlineStr">
        <is>
          <t>Claude</t>
        </is>
      </c>
      <c r="C314" s="8" t="inlineStr">
        <is>
          <t>Installation, Deployment &amp; Updates</t>
        </is>
      </c>
      <c r="D314" s="8" t="inlineStr">
        <is>
          <t>Follow-ups: baseline tool for an existing schema without migration history; reconcile the old reviewed-script flow (deploy.ps1 Migrate, pems-docker.sh db-apply) and the 'deployment never migrates' wording with the code-first default; decide whether data-repair scripts under scripts/ become data migrations</t>
        </is>
      </c>
      <c r="E314" s="10" t="inlineStr">
        <is>
          <t>Tech Debt</t>
        </is>
      </c>
      <c r="F314" s="10" t="inlineStr">
        <is>
          <t>Not Started</t>
        </is>
      </c>
      <c r="G314" s="10" t="inlineStr">
        <is>
          <t>P2</t>
        </is>
      </c>
      <c r="H314" s="8" t="inlineStr">
        <is>
          <t>UnmanagedSchema is only reported today. deploy/deploy.ps1 and deploy/remote/pems-docker.sh still describe 'deployment never migrates' and generate reviewed scripts (valid when Database__MigrateOnStartup=false). scripts/cmms and scripts/rcm hold data-repair SQL used by tests.</t>
        </is>
      </c>
      <c r="I314" s="8" t="inlineStr">
        <is>
          <t>Design a 'baseline' action (write history rows for a schema known to match a migration) behind an explicit confirmation, update deploy docs, and propose which scripts should become migrations.</t>
        </is>
      </c>
      <c r="J314" s="8" t="inlineStr">
        <is>
          <t>A database restored without history can be adopted safely; deployment documents match the code-first behaviour.</t>
        </is>
      </c>
      <c r="K314" s="8" t="n"/>
      <c r="L314" s="10" t="inlineStr">
        <is>
          <t>M3</t>
        </is>
      </c>
      <c r="M314" s="10" t="inlineStr">
        <is>
          <t>M</t>
        </is>
      </c>
      <c r="N314" s="10" t="inlineStr">
        <is>
          <t>Medium</t>
        </is>
      </c>
      <c r="O314" s="10" t="inlineStr">
        <is>
          <t>#309 #310</t>
        </is>
      </c>
      <c r="P314" s="10" t="n"/>
      <c r="Q314" s="10" t="n"/>
      <c r="R314" s="8" t="inlineStr">
        <is>
          <t>Install &amp; update</t>
        </is>
      </c>
      <c r="S314" s="10" t="inlineStr">
        <is>
          <t>No</t>
        </is>
      </c>
      <c r="T314" s="10" t="n"/>
      <c r="U314" s="10" t="n"/>
    </row>
    <row r="315">
      <c r="A315" s="10" t="n">
        <v>314</v>
      </c>
      <c r="B315" s="10" t="inlineStr">
        <is>
          <t>Claude</t>
        </is>
      </c>
      <c r="C315" s="8" t="inlineStr">
        <is>
          <t>Company, Brand &amp; Commercial Packaging</t>
        </is>
      </c>
      <c r="D315" s="8" t="inlineStr">
        <is>
          <t>"What's new" panel on the login page: the latest release notes shown to visitors before sign-in, in Persian and English, fully offline</t>
        </is>
      </c>
      <c r="E315" s="10" t="inlineStr">
        <is>
          <t>Feature</t>
        </is>
      </c>
      <c r="F315" s="10" t="inlineStr">
        <is>
          <t>Not Started</t>
        </is>
      </c>
      <c r="G315" s="10" t="inlineStr">
        <is>
          <t>P2</t>
        </is>
      </c>
      <c r="H315" s="8" t="inlineStr">
        <is>
          <t>Owner request 2026-10-23. Today the login page has no release information and the repository only has a developer CHANGELOG.md. Customers installing or updating (#309/#310, #167) cannot see what changed. The login page is the one surface every user sees; the brand profile already comes from the database for the same page (see Lessons: live brand profile).</t>
        </is>
      </c>
      <c r="I315" s="8" t="inlineStr">
        <is>
          <t>Design first: one source of truth for release notes (a curated, bilingual 'release notes' data file or table maintained per release - NOT the raw developer CHANGELOG), shipped inside the package and loaded from the database/disk with no external call. Then add a compact panel to the login page: latest release title and date, 3-5 highlights, 'older releases' expander, anonymous-safe (no internal ids, user names or unreleased work). Entries are written in the release task; the pipeline fails the release if the notes for the tagged version are missing.</t>
        </is>
      </c>
      <c r="J315" s="8" t="inlineStr">
        <is>
          <t>The login page shows the notes of the installed release in the active language without any internet access; only features that are Done with evidence are listed (Instructions rule 13); the panel works for an anonymous visitor, is accessible (keyboard, contrast, RTL) and collapses on small screens.</t>
        </is>
      </c>
      <c r="K315" s="8" t="n"/>
      <c r="L315" s="10" t="inlineStr">
        <is>
          <t>M3</t>
        </is>
      </c>
      <c r="M315" s="10" t="inlineStr">
        <is>
          <t>S</t>
        </is>
      </c>
      <c r="N315" s="10" t="inlineStr">
        <is>
          <t>Medium</t>
        </is>
      </c>
      <c r="O315" s="10" t="inlineStr">
        <is>
          <t>#129 #170 #269</t>
        </is>
      </c>
      <c r="P315" s="10" t="n"/>
      <c r="Q315" s="10" t="n"/>
      <c r="R315" s="8" t="inlineStr">
        <is>
          <t>Company, brand &amp; legal</t>
        </is>
      </c>
      <c r="S315" s="10" t="inlineStr">
        <is>
          <t>No</t>
        </is>
      </c>
      <c r="T315" s="10" t="n"/>
      <c r="U315" s="10" t="n"/>
    </row>
    <row r="316">
      <c r="A316" s="10" t="n">
        <v>315</v>
      </c>
      <c r="B316" s="10" t="inlineStr">
        <is>
          <t>Claude</t>
        </is>
      </c>
      <c r="C316" s="8" t="inlineStr">
        <is>
          <t>Installation, Deployment &amp; Updates</t>
        </is>
      </c>
      <c r="D316" s="8" t="inlineStr">
        <is>
          <t>Environment settings and secrets files for local, docker, demo, uat and production-kangan; no hard-coded settings in code</t>
        </is>
      </c>
      <c r="E316" s="10" t="inlineStr">
        <is>
          <t>Tech Debt</t>
        </is>
      </c>
      <c r="F316" s="10" t="inlineStr">
        <is>
          <t>Done</t>
        </is>
      </c>
      <c r="G316" s="10" t="inlineStr">
        <is>
          <t>P0</t>
        </is>
      </c>
      <c r="H316" s="8" t="inlineStr">
        <is>
          <t>Owner request 2026-10-23. Before: settings in appsettings.json/.Development/.UAT plus literals in code (Fido2, Ollama URL, password policy, cookie, log retention, culture, built-in admin account and password, design-time connection string, docker-compose defaults). Now: env/&lt;name&gt;.env (settings, committed) and env/&lt;name&gt;.secrets.env (secrets, git-ignored, templates *.secrets.env.example); PEMS_ENV selects the file; loader PEMS.Shared EnvFiles + AddPemsEnvFiles (precedence: env file &lt; secrets file &lt; environment variables &lt; command line); required settings fail fast; appsettings.json is empty; the first administrator comes from Seed:Admin:*; the dotnet ef factory reads the env files; docker-compose, Dockerfile, Build-Package and the demo pipeline use them. VERIFIED 2026-10-23: the real app booted on LocalDB from env/local.env + env/local.secrets.env alone (no environment variables), created and installed the database and seeded the admin, whose secret password signs in (a wrong one is refused); a missing env file and a missing required setting stop startup with a clear message; the web.config transformation yields well-formed XML. TESTS 2026-10-23: new env tests 10/10; Help 110/110, Letters 261/261, HTTP security host 9/9 (boots Program from the env files), Deployment 29/30 and Web 240/241 and Authorization 19/20 - the three remaining failures are pre-existing and unrelated (LF-only assertion on a Windows autocrlf checkout; a test that refuses non-SQLEXPRESS; ImportCenterNavigationTests flags LetterCompose and fails identically on a clean origin/main).</t>
        </is>
      </c>
      <c r="I316" s="8" t="inlineStr">
        <is>
          <t>Run the demo pipeline once with the new secrets (#317); install on the Linux VM with PEMS_ENV set (#316).</t>
        </is>
      </c>
      <c r="J316" s="8" t="inlineStr">
        <is>
          <t>Every setting is in an env file, every secret only in a secrets file or an environment variable, the committed files contain no secrets (test), all environments define the same keys (test), and the app starts from the files alone.</t>
        </is>
      </c>
      <c r="K316" s="8" t="inlineStr">
        <is>
          <t>Local commits on branch temp/code-first-database ('feat(config): environment settings and secrets files ...'). Not pushed.
ADR: plan/adr/0004-environment-and-secrets-files.md</t>
        </is>
      </c>
      <c r="L316" s="10" t="inlineStr">
        <is>
          <t>M2</t>
        </is>
      </c>
      <c r="M316" s="10" t="inlineStr">
        <is>
          <t>M</t>
        </is>
      </c>
      <c r="N316" s="10" t="inlineStr">
        <is>
          <t>Sales blocker</t>
        </is>
      </c>
      <c r="O316" s="10" t="inlineStr">
        <is>
          <t>#309 #295 #167</t>
        </is>
      </c>
      <c r="P316" s="10" t="n"/>
      <c r="Q316" s="10" t="n"/>
      <c r="R316" s="8" t="inlineStr">
        <is>
          <t>Install &amp; update</t>
        </is>
      </c>
      <c r="S316" s="10" t="inlineStr">
        <is>
          <t>No</t>
        </is>
      </c>
      <c r="T316" s="10" t="n"/>
      <c r="U316" s="10" t="n"/>
    </row>
    <row r="317">
      <c r="A317" s="10" t="n">
        <v>316</v>
      </c>
      <c r="B317" s="10" t="inlineStr">
        <is>
          <t>Claude</t>
        </is>
      </c>
      <c r="C317" s="8" t="inlineStr">
        <is>
          <t>Installation, Deployment &amp; Updates</t>
        </is>
      </c>
      <c r="D317" s="8" t="inlineStr">
        <is>
          <t>Linux VM kit: set PEMS_ENV and ship the matching env file; adapt pems-docker.sh adopt-env and the VM env file to the new settings</t>
        </is>
      </c>
      <c r="E317" s="10" t="inlineStr">
        <is>
          <t>Tech Debt</t>
        </is>
      </c>
      <c r="F317" s="10" t="inlineStr">
        <is>
          <t>Not Started</t>
        </is>
      </c>
      <c r="G317" s="10" t="inlineStr">
        <is>
          <t>P1</t>
        </is>
      </c>
      <c r="H317" s="8" t="inlineStr">
        <is>
          <t>The VM kit's pems-web container env file (generated by adopt-env, VM-only) relied on appsettings.json defaults that no longer exist. Build-Package now ships env/*.env but the VM environment must add PEMS_ENV (for example production-kangan) and the secret keys, otherwise startup stops on the first missing required setting.</t>
        </is>
      </c>
      <c r="I317" s="8" t="inlineStr">
        <is>
          <t>Update deploy/remote/pems-docker.sh (adopt-env) and the runbook so the VM env file contains PEMS_ENV and the secret keys, extend the mock harness test; do not touch the live VM without the owner.</t>
        </is>
      </c>
      <c r="J317" s="8" t="inlineStr">
        <is>
          <t>A release package starts on the VM with PEMS_ENV set; adopt-env writes the new keys; the kit tests pass.</t>
        </is>
      </c>
      <c r="K317" s="8" t="n"/>
      <c r="L317" s="10" t="inlineStr">
        <is>
          <t>M2</t>
        </is>
      </c>
      <c r="M317" s="10" t="inlineStr">
        <is>
          <t>S</t>
        </is>
      </c>
      <c r="N317" s="10" t="inlineStr">
        <is>
          <t>High</t>
        </is>
      </c>
      <c r="O317" s="10" t="inlineStr">
        <is>
          <t>#315</t>
        </is>
      </c>
      <c r="P317" s="10" t="n"/>
      <c r="Q317" s="10" t="n"/>
      <c r="R317" s="8" t="inlineStr">
        <is>
          <t>Install &amp; update</t>
        </is>
      </c>
      <c r="S317" s="10" t="inlineStr">
        <is>
          <t>No</t>
        </is>
      </c>
      <c r="T317" s="10" t="n"/>
      <c r="U317" s="10" t="n"/>
    </row>
    <row r="318">
      <c r="A318" s="10" t="n">
        <v>317</v>
      </c>
      <c r="B318" s="10" t="inlineStr">
        <is>
          <t>User</t>
        </is>
      </c>
      <c r="C318" s="8" t="inlineStr">
        <is>
          <t>Installation, Deployment &amp; Updates</t>
        </is>
      </c>
      <c r="D318" s="8" t="inlineStr">
        <is>
          <t>Provide and protect the real secrets: GitHub secrets for the demo, fill the REPLACE values in env/production-kangan.env, create the production secrets file on the server, rotate every secret pasted into chat</t>
        </is>
      </c>
      <c r="E318" s="10" t="inlineStr">
        <is>
          <t>Ops Process</t>
        </is>
      </c>
      <c r="F318" s="10" t="inlineStr">
        <is>
          <t>Not Started</t>
        </is>
      </c>
      <c r="G318" s="10" t="inlineStr">
        <is>
          <t>P0</t>
        </is>
      </c>
      <c r="H318" s="8" t="inlineStr">
        <is>
          <t>The demo FTP password and the demo database password were pasted into a chat session, and the public repository exposed a default admin password in code (now removed). Secrets must exist only in GitHub secrets, env/*.secrets.env on servers, or a vault.</t>
        </is>
      </c>
      <c r="I318" s="8" t="inlineStr">
        <is>
          <t>Rotate the demo FTP and demo database passwords; add DEMO_FTP_*, DEMO_SQL_CONNECTION_STRING, DEMO_ADMIN_PASSWORD and DEMO_SITE_URL as GitHub secrets; set the Kangan domain and name in env/production-kangan.env; create env/production-kangan.secrets.env (mode 600) on the server; change the default admin password on every existing database. 6) Rotate the exposed built-in credentials found by the SCRUM-17 audit with docs/deployment/CREDENTIAL_ROTATION_RUNBOOK.md and scripts/security/Report-DefaultCredentialExposure.sql on every environment (administrator account, employee-created users, SQL sa of containers from the old compose file, loadtest accounts, developer secrets files). 7) Set AllowedHosts in every non-local env file (production-kangan, demo, staging, uat) to the real host names instead of * (audit finding S-5).</t>
        </is>
      </c>
      <c r="J318" s="8" t="inlineStr">
        <is>
          <t>No still-valid secret remains in the repository, its history or chat; the demo pipeline runs with GitHub secrets only. The exposure report shows only recognised accounts with changed passwords; AllowedHosts is not * in any non-local env file.</t>
        </is>
      </c>
      <c r="K318" s="8" t="n"/>
      <c r="L318" s="10" t="inlineStr">
        <is>
          <t>M2</t>
        </is>
      </c>
      <c r="M318" s="10" t="inlineStr">
        <is>
          <t>S</t>
        </is>
      </c>
      <c r="N318" s="10" t="inlineStr">
        <is>
          <t>Sales blocker</t>
        </is>
      </c>
      <c r="O318" s="10" t="inlineStr">
        <is>
          <t>#315 #295 #9</t>
        </is>
      </c>
      <c r="P318" s="10" t="n"/>
      <c r="Q318" s="10" t="n"/>
      <c r="R318" s="8" t="inlineStr">
        <is>
          <t>Install &amp; update</t>
        </is>
      </c>
      <c r="S318" s="10" t="inlineStr">
        <is>
          <t>No</t>
        </is>
      </c>
      <c r="T318" s="10" t="n"/>
      <c r="U318" s="10" t="n"/>
    </row>
    <row r="319">
      <c r="A319" s="10" t="n">
        <v>318</v>
      </c>
      <c r="B319" s="10" t="inlineStr">
        <is>
          <t>Claude</t>
        </is>
      </c>
      <c r="C319" s="8" t="inlineStr">
        <is>
          <t>Installation, Deployment &amp; Updates</t>
        </is>
      </c>
      <c r="D319" s="8" t="inlineStr">
        <is>
          <t>Second pass over remaining in-code constants: classify each as a setting (move to env files), a policy constant (document) or a domain rule</t>
        </is>
      </c>
      <c r="E319" s="10" t="inlineStr">
        <is>
          <t>Tech Debt</t>
        </is>
      </c>
      <c r="F319" s="10" t="inlineStr">
        <is>
          <t>Not Started</t>
        </is>
      </c>
      <c r="G319" s="10" t="inlineStr">
        <is>
          <t>P2</t>
        </is>
      </c>
      <c r="H319" s="8" t="inlineStr">
        <is>
          <t>The first pass moved environment-dependent values (URLs, credentials, ports, lifetimes, culture, password policy, log retention). Other literals remain, for example HSTS/redirect behaviour, cookie SameSite, upload size limits, page sizes, SignalR and Hangfire options, default pagination, timeouts in services.</t>
        </is>
      </c>
      <c r="I319" s="8" t="inlineStr">
        <is>
          <t>Search Program.cs and the services for numeric/string literals, decide per item, move the settings into every env file with Required* and a test, and record the policy constants in a short document. Include the production default password policy (audit finding S-5: every env file has length 8 and no upper-case or symbol requirement today): decide the product default and the per-customer override, set it in env/production-kangan.env and record it in the document. The file-store and upload folder paths are handled by #379 and are excluded here.</t>
        </is>
      </c>
      <c r="J319" s="8" t="inlineStr">
        <is>
          <t>A list of each remaining literal with its classification; settings moved; tests keep the key sets identical. The production password-policy default is decided, recorded and set in the production env file.</t>
        </is>
      </c>
      <c r="K319" s="8" t="inlineStr">
        <is>
          <t>Second pass done 2026-10-26: every option literal in Program.cs, controllers and services classified in docs/design/CONFIGURATION_CONSTANTS.md (setting / policy constant / domain rule / tuning with trigger). Moved to all six env files: Hosting__HstsMaxAgeDays, Authentication__Cookie__SlidingExpiration, Database__MigrationCommandTimeoutMinutes (values equal to today's behaviour). Production password policy decided: length 12, no composition rules (env/production-kangan.env). Tests: EnvironmentFilesTests (key parity + new policy test) NOT run - no .NET SDK; run before Done.</t>
        </is>
      </c>
      <c r="L319" s="10" t="inlineStr">
        <is>
          <t>M3</t>
        </is>
      </c>
      <c r="M319" s="10" t="inlineStr">
        <is>
          <t>M</t>
        </is>
      </c>
      <c r="N319" s="10" t="inlineStr">
        <is>
          <t>Medium</t>
        </is>
      </c>
      <c r="O319" s="10" t="inlineStr">
        <is>
          <t>#315</t>
        </is>
      </c>
      <c r="P319" s="10" t="n"/>
      <c r="Q319" s="10" t="n"/>
      <c r="R319" s="8" t="inlineStr">
        <is>
          <t>Install &amp; update</t>
        </is>
      </c>
      <c r="S319" s="10" t="inlineStr">
        <is>
          <t>No</t>
        </is>
      </c>
      <c r="T319" s="10" t="n"/>
      <c r="U319" s="10" t="n"/>
    </row>
    <row r="320">
      <c r="A320" s="10" t="n">
        <v>319</v>
      </c>
      <c r="B320" s="10" t="inlineStr">
        <is>
          <t>Claude</t>
        </is>
      </c>
      <c r="C320" s="8" t="inlineStr">
        <is>
          <t>Component Library &amp; Design System</t>
        </is>
      </c>
      <c r="D320" s="8" t="inlineStr">
        <is>
          <t>Run the one-week component technology spike and write the ADR (static Razor components with an MVC Tag Helper facade vs View Components)</t>
        </is>
      </c>
      <c r="E320" s="10" t="inlineStr">
        <is>
          <t>Research</t>
        </is>
      </c>
      <c r="F320" s="10" t="inlineStr">
        <is>
          <t>Not Started</t>
        </is>
      </c>
      <c r="G320" s="10" t="inlineStr">
        <is>
          <t>P0</t>
        </is>
      </c>
      <c r="H320" s="8" t="inlineStr">
        <is>
          <t>docs/design/COMPONENT_LIBRARY_PLAN.md section 4.1. Dynamic BPMS forms are metadata rendered at runtime (also for designer previews, e-mail/PDF and extension packs): that favours Razor components (DynamicComponent/HtmlRenderer); MVC interop (Tag Helpers, antiforgery inside components) is the known risk. Row #5 asked for this vertical slice but it was never run.</t>
        </is>
      </c>
      <c r="I320" s="8" t="inlineStr">
        <is>
          <t>1) Build one slice in a branch: a field set with validation, a table with 1,000 rows, and a form with antiforgery and file upload. 2) Render it twice: from an MVC view and from a descriptor (FieldDescriptor/ColumnDescriptor sketch from COMPONENT_LIBRARY_PLAN.md). 3) Compare the two options on binding and validation parity, render time (record numbers), RTL, offline use, testability and loading from an extension assembly. 4) Write the ADR with the measured results and the decision; update row #5.</t>
        </is>
      </c>
      <c r="J320" s="8" t="inlineStr">
        <is>
          <t>Done when: the ADR exists with the measured table and a clear decision; the contract classes compile; the decision is recorded in #5 and #320 can start. If static Razor components fail a criterion, the ADR names the fallback per component class.</t>
        </is>
      </c>
      <c r="K320" s="8" t="inlineStr">
        <is>
          <t>Spike run 2026-10-27 (SCRUM-23, PR atapems-tech/PEMS#26): standalone PEMS.UI.Abstractions / PEMS.UI / PEMS.UI.Tests, 14 tests; ADR-0007 proposed: static Razor components + Tag Helper facade, measured vs View Components (rows in one component equal speed, per-cell 5-8x slower). ADR-0007 accepted by Member A 2026-10-27; #320 started.</t>
        </is>
      </c>
      <c r="L320" s="10" t="inlineStr">
        <is>
          <t>M0</t>
        </is>
      </c>
      <c r="M320" s="10" t="inlineStr">
        <is>
          <t>M</t>
        </is>
      </c>
      <c r="N320" s="10" t="inlineStr">
        <is>
          <t>Sales blocker</t>
        </is>
      </c>
      <c r="O320" s="10" t="inlineStr">
        <is>
          <t>#5 #29</t>
        </is>
      </c>
      <c r="P320" s="10" t="n"/>
      <c r="Q320" s="10" t="n"/>
      <c r="R320" s="8" t="inlineStr">
        <is>
          <t>UI component library</t>
        </is>
      </c>
      <c r="S320" s="10" t="inlineStr">
        <is>
          <t>No</t>
        </is>
      </c>
      <c r="T320" s="10" t="inlineStr">
        <is>
          <t>Sprint 1</t>
        </is>
      </c>
      <c r="U320" s="10" t="inlineStr">
        <is>
          <t>Member B</t>
        </is>
      </c>
    </row>
    <row r="321">
      <c r="A321" s="10" t="n">
        <v>320</v>
      </c>
      <c r="B321" s="10" t="inlineStr">
        <is>
          <t>Claude</t>
        </is>
      </c>
      <c r="C321" s="8" t="inlineStr">
        <is>
          <t>Component Library &amp; Design System</t>
        </is>
      </c>
      <c r="D321" s="8" t="inlineStr">
        <is>
          <t>Create the PEMS.UI Razor Class Library: structure, namespaces, bundled offline assets (tokens, CSS, JS), localization resources, packaging rules; PEMS.Web consumes it</t>
        </is>
      </c>
      <c r="E321" s="10" t="inlineStr">
        <is>
          <t>Feature</t>
        </is>
      </c>
      <c r="F321" s="10" t="inlineStr">
        <is>
          <t>Not Started</t>
        </is>
      </c>
      <c r="G321" s="10" t="inlineStr">
        <is>
          <t>P0</t>
        </is>
      </c>
      <c r="H321" s="8" t="inlineStr">
        <is>
          <t>Decided 2026-10-23: components live in a separate library so they can be versioned, tested in isolation and reused by the dynamic builders, the demo and partners.</t>
        </is>
      </c>
      <c r="I321" s="8" t="inlineStr">
        <is>
          <t>1) After the spike ADR (#319) is approved, add the projects PEMS.UI, PEMS.UI.Abstractions and PEMS.UI.Tests to PEMS.slnx. 2) Move the shared partials (_PageHeader, _Pagination, _KpiCard, the loading overlay) and the token file from #30 into PEMS.UI as static web assets. 3) Reference PEMS.UI from PEMS.Web so the pages render unchanged. 4) No CDN and no inline styles in the moved assets.</t>
        </is>
      </c>
      <c r="J321" s="8" t="inlineStr">
        <is>
          <t>Done when: the solution builds and the tests pass; the HTTP smoke tests still pass; PEMS.Web renders the same pages with its assets served from PEMS.UI.</t>
        </is>
      </c>
      <c r="K321" s="8" t="inlineStr">
        <is>
          <t>Step 1 (SCRUM-29, PR atapems-tech/PEMS#30): PEMS.Web references PEMS.UI; component registry/renderer registered; pems-ui.css published (not linked); _KpiCard (+KpiCardViewModel) and _PemsLoadingOverlay moved with byte-identical output (golden tests PEMS.Tests/Ui). Open: PEMS.UI localisation, then _PageHeader and _Pagination (need PEMS.Web SharedResource), token file after #30. HTTP smoke tests need SQL Server and were not run in the cloud session.</t>
        </is>
      </c>
      <c r="L321" s="10" t="inlineStr">
        <is>
          <t>M1</t>
        </is>
      </c>
      <c r="M321" s="10" t="inlineStr">
        <is>
          <t>M</t>
        </is>
      </c>
      <c r="N321" s="10" t="inlineStr">
        <is>
          <t>Sales blocker</t>
        </is>
      </c>
      <c r="O321" s="10" t="inlineStr">
        <is>
          <t>#319</t>
        </is>
      </c>
      <c r="P321" s="10" t="n"/>
      <c r="Q321" s="10" t="n"/>
      <c r="R321" s="8" t="inlineStr">
        <is>
          <t>UI component library</t>
        </is>
      </c>
      <c r="S321" s="10" t="inlineStr">
        <is>
          <t>No</t>
        </is>
      </c>
      <c r="T321" s="10" t="inlineStr">
        <is>
          <t>Sprint 1 stretch</t>
        </is>
      </c>
      <c r="U321" s="10" t="inlineStr">
        <is>
          <t>Member B</t>
        </is>
      </c>
    </row>
    <row r="322">
      <c r="A322" s="10" t="n">
        <v>321</v>
      </c>
      <c r="B322" s="10" t="inlineStr">
        <is>
          <t>Claude</t>
        </is>
      </c>
      <c r="C322" s="8" t="inlineStr">
        <is>
          <t>Component Library &amp; Design System</t>
        </is>
      </c>
      <c r="D322" s="8" t="inlineStr">
        <is>
          <t>Component contract: FieldDescriptor, ColumnDescriptor, ViewDescriptor, FormDefinition shared by static pages and the BPMS renderer</t>
        </is>
      </c>
      <c r="E322" s="10" t="inlineStr">
        <is>
          <t>Feature</t>
        </is>
      </c>
      <c r="F322" s="10" t="inlineStr">
        <is>
          <t>Not Started</t>
        </is>
      </c>
      <c r="G322" s="10" t="inlineStr">
        <is>
          <t>P0</t>
        </is>
      </c>
      <c r="H322" s="8" t="inlineStr">
        <is>
          <t>Pages and the dynamic engine must produce the same descriptors so there is one rendering path (COMPONENT_LIBRARY_PLAN section 4.1).</t>
        </is>
      </c>
      <c r="I322" s="8" t="inlineStr">
        <is>
          <t>Define the descriptors and a renderer that maps a descriptor to a component by type; keep them free of Razor/MVC types. Scope note 2026-10-27 (ADR-0008): label, help, placeholder, option and error texts in the descriptors are TranslatableText, not strings (see #386).</t>
        </is>
      </c>
      <c r="J322" s="8" t="inlineStr">
        <is>
          <t>A field/column/view can be described in code or loaded from metadata and rendered identically.</t>
        </is>
      </c>
      <c r="K322" s="8" t="n"/>
      <c r="L322" s="10" t="inlineStr">
        <is>
          <t>M1</t>
        </is>
      </c>
      <c r="M322" s="10" t="inlineStr">
        <is>
          <t>L</t>
        </is>
      </c>
      <c r="N322" s="10" t="inlineStr">
        <is>
          <t>Sales blocker</t>
        </is>
      </c>
      <c r="O322" s="10" t="inlineStr">
        <is>
          <t>#319 #10</t>
        </is>
      </c>
      <c r="P322" s="10" t="n"/>
      <c r="Q322" s="10" t="n"/>
      <c r="R322" s="8" t="inlineStr">
        <is>
          <t>UI component library</t>
        </is>
      </c>
      <c r="S322" s="10" t="inlineStr">
        <is>
          <t>No</t>
        </is>
      </c>
      <c r="T322" s="10" t="n"/>
      <c r="U322" s="10" t="n"/>
    </row>
    <row r="323">
      <c r="A323" s="10" t="n">
        <v>322</v>
      </c>
      <c r="B323" s="10" t="inlineStr">
        <is>
          <t>Claude</t>
        </is>
      </c>
      <c r="C323" s="8" t="inlineStr">
        <is>
          <t>Component Library &amp; Design System</t>
        </is>
      </c>
      <c r="D323" s="8" t="inlineStr">
        <is>
          <t>Fields and form shell: Field (label, help, error, required, read-only) with Text, TextArea, Number, Money, Password, Select, Lookup, TreeSelect, Date/Time (Jalali + Gregorian), Checkbox, Radio, Switch, File, Rich text, Tags; FormSection, ActionBar, dirty-state guard</t>
        </is>
      </c>
      <c r="E323" s="10" t="inlineStr">
        <is>
          <t>Feature</t>
        </is>
      </c>
      <c r="F323" s="10" t="inlineStr">
        <is>
          <t>Not Started</t>
        </is>
      </c>
      <c r="G323" s="10" t="inlineStr">
        <is>
          <t>P0</t>
        </is>
      </c>
      <c r="H323" s="8" t="inlineStr">
        <is>
          <t>Today 2,587 hand-written inputs (form-control/form-select) vs 202 model-bound fields; every form repeats label, validation and layout markup.</t>
        </is>
      </c>
      <c r="I323" s="8" t="inlineStr">
        <is>
          <t>Implement each field as a component with MVC model binding and unobtrusive validation parity, localization keys and accessibility per the Definition of Done. Scope note 2026-10-27 (ADR-0008): no literal text in the field components; all texts are TranslatableText inputs and values are formatted by culture (see #386); replaces 'localization keys'.</t>
        </is>
      </c>
      <c r="J323" s="8" t="inlineStr">
        <is>
          <t>A form page can be built from fields only; binding, validation messages and antiforgery work as before; RTL and LTR verified.</t>
        </is>
      </c>
      <c r="K323" s="8" t="n"/>
      <c r="L323" s="10" t="inlineStr">
        <is>
          <t>M1</t>
        </is>
      </c>
      <c r="M323" s="10" t="inlineStr">
        <is>
          <t>XL</t>
        </is>
      </c>
      <c r="N323" s="10" t="inlineStr">
        <is>
          <t>Sales blocker</t>
        </is>
      </c>
      <c r="O323" s="10" t="inlineStr">
        <is>
          <t>#320 #321 #30</t>
        </is>
      </c>
      <c r="P323" s="10" t="n"/>
      <c r="Q323" s="10" t="n"/>
      <c r="R323" s="8" t="inlineStr">
        <is>
          <t>UI component library</t>
        </is>
      </c>
      <c r="S323" s="10" t="inlineStr">
        <is>
          <t>No</t>
        </is>
      </c>
      <c r="T323" s="10" t="n"/>
      <c r="U323" s="10" t="n"/>
    </row>
    <row r="324">
      <c r="A324" s="10" t="n">
        <v>323</v>
      </c>
      <c r="B324" s="10" t="inlineStr">
        <is>
          <t>Claude</t>
        </is>
      </c>
      <c r="C324" s="8" t="inlineStr">
        <is>
          <t>Component Library &amp; Design System</t>
        </is>
      </c>
      <c r="D324" s="8" t="inlineStr">
        <is>
          <t>Data display and loading states: DataTable (paging, sort, filter, column picker, bulk bar), InfoGrid, StatusBadge, KpiTile, Chart wrapper, EmptyState, ErrorState, Skeleton family (text, card, table-row, form, page)</t>
        </is>
      </c>
      <c r="E324" s="10" t="inlineStr">
        <is>
          <t>Feature</t>
        </is>
      </c>
      <c r="F324" s="10" t="inlineStr">
        <is>
          <t>Not Started</t>
        </is>
      </c>
      <c r="G324" s="10" t="inlineStr">
        <is>
          <t>P0</t>
        </is>
      </c>
      <c r="H324" s="8" t="inlineStr">
        <is>
          <t>Today 342 hand-written tables, 846 badges; only 8 of 303 pages have an empty state and 3 a loading state.</t>
        </is>
      </c>
      <c r="I324" s="8" t="inlineStr">
        <is>
          <t>Implement the components, render rows inside one component (no component per cell), add skeletons for first load and AJAX refresh, document every state.</t>
        </is>
      </c>
      <c r="J324" s="8" t="inlineStr">
        <is>
          <t>A list page is built from DataTable + FilterBar + StatusBadge + EmptyState + Skeleton only; 1,000 rows render within the budget set in #319.</t>
        </is>
      </c>
      <c r="K324" s="8" t="inlineStr">
        <is>
          <t>2026-10-27 SCRUM-337 wave 0: list-page component in PEMS.UI (pems-list-* tag helpers, texts as inputs, pems-list.css/js moved from PEMS.Web); Engineering Documents and VDR built from it with no visible change. Waves W1-W4 move the other list pages (docs/design/LIST_PAGE_COMPONENT.md). InfoGrid, KpiTile, Chart and the skeleton family remain open. SM-44.</t>
        </is>
      </c>
      <c r="L324" s="10" t="inlineStr">
        <is>
          <t>M1</t>
        </is>
      </c>
      <c r="M324" s="10" t="inlineStr">
        <is>
          <t>XL</t>
        </is>
      </c>
      <c r="N324" s="10" t="inlineStr">
        <is>
          <t>Sales blocker</t>
        </is>
      </c>
      <c r="O324" s="10" t="inlineStr">
        <is>
          <t>#320 #321 #30</t>
        </is>
      </c>
      <c r="P324" s="10" t="n"/>
      <c r="Q324" s="10" t="n"/>
      <c r="R324" s="8" t="inlineStr">
        <is>
          <t>UI component library</t>
        </is>
      </c>
      <c r="S324" s="10" t="inlineStr">
        <is>
          <t>No</t>
        </is>
      </c>
      <c r="T324" s="10" t="n"/>
      <c r="U324" s="10" t="n"/>
    </row>
    <row r="325">
      <c r="A325" s="10" t="n">
        <v>324</v>
      </c>
      <c r="B325" s="10" t="inlineStr">
        <is>
          <t>Claude</t>
        </is>
      </c>
      <c r="C325" s="8" t="inlineStr">
        <is>
          <t>Component Library &amp; Design System</t>
        </is>
      </c>
      <c r="D325" s="8" t="inlineStr">
        <is>
          <t>Overlays and navigation: Modal, Drawer/Offcanvas, ConfirmDialog, Toast/Alert, Tabs, Pagination, Dropdown/Menu, Breadcrumb, Stepper</t>
        </is>
      </c>
      <c r="E325" s="10" t="inlineStr">
        <is>
          <t>Feature</t>
        </is>
      </c>
      <c r="F325" s="10" t="inlineStr">
        <is>
          <t>Not Started</t>
        </is>
      </c>
      <c r="G325" s="10" t="inlineStr">
        <is>
          <t>P0</t>
        </is>
      </c>
      <c r="H325" s="8" t="inlineStr">
        <is>
          <t>108 hand-written modals and 12 offcanvases; the UI engineering standard (focus, Escape, stacking) is enforced only by audits.</t>
        </is>
      </c>
      <c r="I325" s="8" t="inlineStr">
        <is>
          <t>Implement components that satisfy PEMS_UI_ENGINEERING_STANDARD sections 1, 2, 5 and 6 by construction.</t>
        </is>
      </c>
      <c r="J325" s="8" t="inlineStr">
        <is>
          <t>tools/UiAudit reports no modal/offcanvas/dropdown findings for pages built from the components.</t>
        </is>
      </c>
      <c r="K325" s="8" t="n"/>
      <c r="L325" s="10" t="inlineStr">
        <is>
          <t>M1</t>
        </is>
      </c>
      <c r="M325" s="10" t="inlineStr">
        <is>
          <t>L</t>
        </is>
      </c>
      <c r="N325" s="10" t="inlineStr">
        <is>
          <t>High</t>
        </is>
      </c>
      <c r="O325" s="10" t="inlineStr">
        <is>
          <t>#320 #30</t>
        </is>
      </c>
      <c r="P325" s="10" t="n"/>
      <c r="Q325" s="10" t="n"/>
      <c r="R325" s="8" t="inlineStr">
        <is>
          <t>UI component library</t>
        </is>
      </c>
      <c r="S325" s="10" t="inlineStr">
        <is>
          <t>No</t>
        </is>
      </c>
      <c r="T325" s="10" t="n"/>
      <c r="U325" s="10" t="n"/>
    </row>
    <row r="326">
      <c r="A326" s="10" t="n">
        <v>325</v>
      </c>
      <c r="B326" s="10" t="inlineStr">
        <is>
          <t>Claude</t>
        </is>
      </c>
      <c r="C326" s="8" t="inlineStr">
        <is>
          <t>Component Library &amp; Design System</t>
        </is>
      </c>
      <c r="D326" s="8" t="inlineStr">
        <is>
          <t>Page templates: PageShell (+ header), ListPage, FormPage, DetailPage, DashboardPage, WorkflowActionBar, AuditTrail, CommentsThread</t>
        </is>
      </c>
      <c r="E326" s="10" t="inlineStr">
        <is>
          <t>Feature</t>
        </is>
      </c>
      <c r="F326" s="10" t="inlineStr">
        <is>
          <t>Not Started</t>
        </is>
      </c>
      <c r="G326" s="10" t="inlineStr">
        <is>
          <t>P0</t>
        </is>
      </c>
      <c r="H326" s="8" t="inlineStr">
        <is>
          <t>Patterns today: list 141, form 81, dashboard 26, table-only 32, detail 10; only 33 of 303 pages use the shared page header.</t>
        </is>
      </c>
      <c r="I326" s="8" t="inlineStr">
        <is>
          <t>Compose the templates from L1-L4 components; one h1 per page; breadcrumb and actions slots.</t>
        </is>
      </c>
      <c r="J326" s="8" t="inlineStr">
        <is>
          <t>The Admin pilot pages (#328) use only templates and components.</t>
        </is>
      </c>
      <c r="K326" s="8" t="n"/>
      <c r="L326" s="10" t="inlineStr">
        <is>
          <t>M1</t>
        </is>
      </c>
      <c r="M326" s="10" t="inlineStr">
        <is>
          <t>L</t>
        </is>
      </c>
      <c r="N326" s="10" t="inlineStr">
        <is>
          <t>Sales blocker</t>
        </is>
      </c>
      <c r="O326" s="10" t="inlineStr">
        <is>
          <t>#322 #323 #324</t>
        </is>
      </c>
      <c r="P326" s="10" t="n"/>
      <c r="Q326" s="10" t="n"/>
      <c r="R326" s="8" t="inlineStr">
        <is>
          <t>UI component library</t>
        </is>
      </c>
      <c r="S326" s="10" t="inlineStr">
        <is>
          <t>No</t>
        </is>
      </c>
      <c r="T326" s="10" t="n"/>
      <c r="U326" s="10" t="n"/>
    </row>
    <row r="327">
      <c r="A327" s="10" t="n">
        <v>326</v>
      </c>
      <c r="B327" s="10" t="inlineStr">
        <is>
          <t>Claude</t>
        </is>
      </c>
      <c r="C327" s="8" t="inlineStr">
        <is>
          <t>Component Library &amp; Design System</t>
        </is>
      </c>
      <c r="D327" s="8" t="inlineStr">
        <is>
          <t>Component catalog host in PEMS.UI: every component with all states, RTL/LTR and theme toggles, sample code and accessibility notes (implements #40)</t>
        </is>
      </c>
      <c r="E327" s="10" t="inlineStr">
        <is>
          <t>Docs</t>
        </is>
      </c>
      <c r="F327" s="10" t="inlineStr">
        <is>
          <t>Not Started</t>
        </is>
      </c>
      <c r="G327" s="10" t="inlineStr">
        <is>
          <t>P1</t>
        </is>
      </c>
      <c r="H327" s="8" t="inlineStr">
        <is>
          <t>A catalog is the contract for developers and the base of visual regression (#41).</t>
        </is>
      </c>
      <c r="I327" s="8" t="inlineStr">
        <is>
          <t>A /ui-catalog area (development and demo only) generated from component metadata.</t>
        </is>
      </c>
      <c r="J327" s="8" t="inlineStr">
        <is>
          <t>Every component has a catalog page; the Definition of Done checks the page exists.</t>
        </is>
      </c>
      <c r="K327" s="8" t="n"/>
      <c r="L327" s="10" t="inlineStr">
        <is>
          <t>M1</t>
        </is>
      </c>
      <c r="M327" s="10" t="inlineStr">
        <is>
          <t>M</t>
        </is>
      </c>
      <c r="N327" s="10" t="inlineStr">
        <is>
          <t>Medium</t>
        </is>
      </c>
      <c r="O327" s="10" t="inlineStr">
        <is>
          <t>#320 #322</t>
        </is>
      </c>
      <c r="P327" s="10" t="n"/>
      <c r="Q327" s="10" t="n"/>
      <c r="R327" s="8" t="inlineStr">
        <is>
          <t>UI component library</t>
        </is>
      </c>
      <c r="S327" s="10" t="inlineStr">
        <is>
          <t>No</t>
        </is>
      </c>
      <c r="T327" s="10" t="n"/>
      <c r="U327" s="10" t="n"/>
    </row>
    <row r="328">
      <c r="A328" s="10" t="n">
        <v>327</v>
      </c>
      <c r="B328" s="10" t="inlineStr">
        <is>
          <t>Claude</t>
        </is>
      </c>
      <c r="C328" s="8" t="inlineStr">
        <is>
          <t>Component Library &amp; Design System</t>
        </is>
      </c>
      <c r="D328" s="8" t="inlineStr">
        <is>
          <t>Component quality gates: render/snapshot tests, accessibility checks, RTL checks, and a CI ratchet that fails when raw markup counts (inputs, tables, modals, badges, inline styles) increase</t>
        </is>
      </c>
      <c r="E328" s="10" t="inlineStr">
        <is>
          <t>Tech Debt</t>
        </is>
      </c>
      <c r="F328" s="10" t="inlineStr">
        <is>
          <t>Not Started</t>
        </is>
      </c>
      <c r="G328" s="10" t="inlineStr">
        <is>
          <t>P0</t>
        </is>
      </c>
      <c r="H328" s="8" t="inlineStr">
        <is>
          <t>Baseline numbers come from tools/UiAudit/pattern-audit.py; without a ratchet the 2,587 hand-written inputs will keep growing.</t>
        </is>
      </c>
      <c r="I328" s="8" t="inlineStr">
        <is>
          <t>Add the tests and a baseline file; fail CI when a count rises or a CDN reference appears; lower the baseline after each wave. Scope note 2026-10-27 (ADR-0008): the gates include 'no literal user-visible text in a PEMS.UI component' (first version in #386). Reuse OfflineAssetsTests and the failing exit of tools/UiAudit/pattern-audit.py from #42 for the CDN gate.</t>
        </is>
      </c>
      <c r="J328" s="8" t="inlineStr">
        <is>
          <t>A pull request that adds raw form-control, table or inline style markup fails CI.</t>
        </is>
      </c>
      <c r="K328" s="8" t="n"/>
      <c r="L328" s="10" t="inlineStr">
        <is>
          <t>M1</t>
        </is>
      </c>
      <c r="M328" s="10" t="inlineStr">
        <is>
          <t>M</t>
        </is>
      </c>
      <c r="N328" s="10" t="inlineStr">
        <is>
          <t>High</t>
        </is>
      </c>
      <c r="O328" s="10" t="inlineStr">
        <is>
          <t>#320 #38</t>
        </is>
      </c>
      <c r="P328" s="10" t="n"/>
      <c r="Q328" s="10" t="n"/>
      <c r="R328" s="8" t="inlineStr">
        <is>
          <t>UI component library</t>
        </is>
      </c>
      <c r="S328" s="10" t="inlineStr">
        <is>
          <t>No</t>
        </is>
      </c>
      <c r="T328" s="10" t="n"/>
      <c r="U328" s="10" t="n"/>
    </row>
    <row r="329">
      <c r="A329" s="10" t="n">
        <v>328</v>
      </c>
      <c r="B329" s="10" t="inlineStr">
        <is>
          <t>Claude</t>
        </is>
      </c>
      <c r="C329" s="8" t="inlineStr">
        <is>
          <t>Component Library &amp; Design System</t>
        </is>
      </c>
      <c r="D329" s="8" t="inlineStr">
        <is>
          <t>Migration wave W1 (pilot): Admin area, account pages and the shared shell - 65 pages</t>
        </is>
      </c>
      <c r="E329" s="10" t="inlineStr">
        <is>
          <t>Feature</t>
        </is>
      </c>
      <c r="F329" s="10" t="inlineStr">
        <is>
          <t>Not Started</t>
        </is>
      </c>
      <c r="G329" s="10" t="inlineStr">
        <is>
          <t>P0</t>
        </is>
      </c>
      <c r="H329" s="8" t="inlineStr">
        <is>
          <t>Owner decision 2026-10-23: study the whole project first (done), then pilot on Admin. W1 = list 25, form 10 (+13 small), table-only 4, detail 5, dashboard 2, other 6.</t>
        </is>
      </c>
      <c r="I329" s="8" t="inlineStr">
        <is>
          <t>Convert page by page with the components; run tools/UiAudit in EN and FA; lower the ratchet baseline.</t>
        </is>
      </c>
      <c r="J329" s="8" t="inlineStr">
        <is>
          <t>All 65 pages use components only, pass the browser audit with no new findings, localization parity holds.</t>
        </is>
      </c>
      <c r="K329" s="8" t="n"/>
      <c r="L329" s="10" t="inlineStr">
        <is>
          <t>M2</t>
        </is>
      </c>
      <c r="M329" s="10" t="inlineStr">
        <is>
          <t>XL</t>
        </is>
      </c>
      <c r="N329" s="10" t="inlineStr">
        <is>
          <t>Sales blocker</t>
        </is>
      </c>
      <c r="O329" s="10" t="inlineStr">
        <is>
          <t>#322 #323 #324 #325 #326 #327</t>
        </is>
      </c>
      <c r="P329" s="10" t="n"/>
      <c r="Q329" s="10" t="n"/>
      <c r="R329" s="8" t="inlineStr">
        <is>
          <t>UI component library</t>
        </is>
      </c>
      <c r="S329" s="10" t="inlineStr">
        <is>
          <t>No</t>
        </is>
      </c>
      <c r="T329" s="10" t="n"/>
      <c r="U329" s="10" t="n"/>
    </row>
    <row r="330">
      <c r="A330" s="10" t="n">
        <v>329</v>
      </c>
      <c r="B330" s="10" t="inlineStr">
        <is>
          <t>Claude</t>
        </is>
      </c>
      <c r="C330" s="8" t="inlineStr">
        <is>
          <t>Component Library &amp; Design System</t>
        </is>
      </c>
      <c r="D330" s="8" t="inlineStr">
        <is>
          <t>Migration wave W2: CMMS, maintenance and reliability pages - 94 pages</t>
        </is>
      </c>
      <c r="E330" s="10" t="inlineStr">
        <is>
          <t>Feature</t>
        </is>
      </c>
      <c r="F330" s="10" t="inlineStr">
        <is>
          <t>Not Started</t>
        </is>
      </c>
      <c r="G330" s="10" t="inlineStr">
        <is>
          <t>P1</t>
        </is>
      </c>
      <c r="H330" s="8" t="inlineStr">
        <is>
          <t>W2 = list 47, form 15 (+1), table-only 16, dashboard 8, detail 3, other 4.</t>
        </is>
      </c>
      <c r="I330" s="8" t="inlineStr">
        <is>
          <t>Convert with the proven components; keep behaviour identical.</t>
        </is>
      </c>
      <c r="J330" s="8" t="inlineStr">
        <is>
          <t>All W2 pages component-only; audit clean; ratchet lowered.</t>
        </is>
      </c>
      <c r="K330" s="8" t="n"/>
      <c r="L330" s="10" t="inlineStr">
        <is>
          <t>M4</t>
        </is>
      </c>
      <c r="M330" s="10" t="inlineStr">
        <is>
          <t>XL</t>
        </is>
      </c>
      <c r="N330" s="10" t="inlineStr">
        <is>
          <t>High</t>
        </is>
      </c>
      <c r="O330" s="10" t="inlineStr">
        <is>
          <t>#328</t>
        </is>
      </c>
      <c r="P330" s="10" t="n"/>
      <c r="Q330" s="10" t="n"/>
      <c r="R330" s="8" t="inlineStr">
        <is>
          <t>UI component library</t>
        </is>
      </c>
      <c r="S330" s="10" t="inlineStr">
        <is>
          <t>No</t>
        </is>
      </c>
      <c r="T330" s="10" t="n"/>
      <c r="U330" s="10" t="n"/>
    </row>
    <row r="331">
      <c r="A331" s="10" t="n">
        <v>330</v>
      </c>
      <c r="B331" s="10" t="inlineStr">
        <is>
          <t>Claude</t>
        </is>
      </c>
      <c r="C331" s="8" t="inlineStr">
        <is>
          <t>Component Library &amp; Design System</t>
        </is>
      </c>
      <c r="D331" s="8" t="inlineStr">
        <is>
          <t>Migration wave W3: engineering documents, VDR, letters, import and AI pages - 71 pages</t>
        </is>
      </c>
      <c r="E331" s="10" t="inlineStr">
        <is>
          <t>Feature</t>
        </is>
      </c>
      <c r="F331" s="10" t="inlineStr">
        <is>
          <t>Not Started</t>
        </is>
      </c>
      <c r="G331" s="10" t="inlineStr">
        <is>
          <t>P1</t>
        </is>
      </c>
      <c r="H331" s="8" t="inlineStr">
        <is>
          <t>W3 = list 31, form 20 (+3), dashboard 10, table-only 5, detail 1, other 1.</t>
        </is>
      </c>
      <c r="I331" s="8" t="inlineStr">
        <is>
          <t>Convert; vendor pdf.js locally (no CDN) while touching the document viewers.</t>
        </is>
      </c>
      <c r="J331" s="8" t="inlineStr">
        <is>
          <t>All W3 pages component-only; audit clean; ratchet lowered.</t>
        </is>
      </c>
      <c r="K331" s="8" t="n"/>
      <c r="L331" s="10" t="inlineStr">
        <is>
          <t>M4</t>
        </is>
      </c>
      <c r="M331" s="10" t="inlineStr">
        <is>
          <t>XL</t>
        </is>
      </c>
      <c r="N331" s="10" t="inlineStr">
        <is>
          <t>High</t>
        </is>
      </c>
      <c r="O331" s="10" t="inlineStr">
        <is>
          <t>#328</t>
        </is>
      </c>
      <c r="P331" s="10" t="n"/>
      <c r="Q331" s="10" t="n"/>
      <c r="R331" s="8" t="inlineStr">
        <is>
          <t>UI component library</t>
        </is>
      </c>
      <c r="S331" s="10" t="inlineStr">
        <is>
          <t>No</t>
        </is>
      </c>
      <c r="T331" s="10" t="n"/>
      <c r="U331" s="10" t="n"/>
    </row>
    <row r="332">
      <c r="A332" s="10" t="n">
        <v>331</v>
      </c>
      <c r="B332" s="10" t="inlineStr">
        <is>
          <t>Claude</t>
        </is>
      </c>
      <c r="C332" s="8" t="inlineStr">
        <is>
          <t>Component Library &amp; Design System</t>
        </is>
      </c>
      <c r="D332" s="8" t="inlineStr">
        <is>
          <t>Migration wave W4: procurement, inventory and warehouse pages - 36 pages</t>
        </is>
      </c>
      <c r="E332" s="10" t="inlineStr">
        <is>
          <t>Feature</t>
        </is>
      </c>
      <c r="F332" s="10" t="inlineStr">
        <is>
          <t>Not Started</t>
        </is>
      </c>
      <c r="G332" s="10" t="inlineStr">
        <is>
          <t>P2</t>
        </is>
      </c>
      <c r="H332" s="8" t="inlineStr">
        <is>
          <t>W4 = list 23, form 7 (+2), table-only 3, dashboard 1.</t>
        </is>
      </c>
      <c r="I332" s="8" t="inlineStr">
        <is>
          <t>Convert with the proven components.</t>
        </is>
      </c>
      <c r="J332" s="8" t="inlineStr">
        <is>
          <t>All W4 pages component-only; audit clean; ratchet lowered.</t>
        </is>
      </c>
      <c r="K332" s="8" t="n"/>
      <c r="L332" s="10" t="inlineStr">
        <is>
          <t>M5</t>
        </is>
      </c>
      <c r="M332" s="10" t="inlineStr">
        <is>
          <t>L</t>
        </is>
      </c>
      <c r="N332" s="10" t="inlineStr">
        <is>
          <t>Medium</t>
        </is>
      </c>
      <c r="O332" s="10" t="inlineStr">
        <is>
          <t>#328</t>
        </is>
      </c>
      <c r="P332" s="10" t="n"/>
      <c r="Q332" s="10" t="n"/>
      <c r="R332" s="8" t="inlineStr">
        <is>
          <t>UI component library</t>
        </is>
      </c>
      <c r="S332" s="10" t="inlineStr">
        <is>
          <t>No</t>
        </is>
      </c>
      <c r="T332" s="10" t="n"/>
      <c r="U332" s="10" t="n"/>
    </row>
    <row r="333">
      <c r="A333" s="10" t="n">
        <v>332</v>
      </c>
      <c r="B333" s="10" t="inlineStr">
        <is>
          <t>Claude</t>
        </is>
      </c>
      <c r="C333" s="8" t="inlineStr">
        <is>
          <t>Component Library &amp; Design System</t>
        </is>
      </c>
      <c r="D333" s="8" t="inlineStr">
        <is>
          <t>Migration wave W5: operations, production, organization and remaining pages - 37 pages</t>
        </is>
      </c>
      <c r="E333" s="10" t="inlineStr">
        <is>
          <t>Feature</t>
        </is>
      </c>
      <c r="F333" s="10" t="inlineStr">
        <is>
          <t>Not Started</t>
        </is>
      </c>
      <c r="G333" s="10" t="inlineStr">
        <is>
          <t>P2</t>
        </is>
      </c>
      <c r="H333" s="8" t="inlineStr">
        <is>
          <t>W5 = list 15, form 9 (+1), dashboard 5, table-only 4, other 2, detail 1.</t>
        </is>
      </c>
      <c r="I333" s="8" t="inlineStr">
        <is>
          <t>Convert with the proven components.</t>
        </is>
      </c>
      <c r="J333" s="8" t="inlineStr">
        <is>
          <t>All pages component-only; ratchet baseline reaches zero for raw markup.</t>
        </is>
      </c>
      <c r="K333" s="8" t="n"/>
      <c r="L333" s="10" t="inlineStr">
        <is>
          <t>M5</t>
        </is>
      </c>
      <c r="M333" s="10" t="inlineStr">
        <is>
          <t>L</t>
        </is>
      </c>
      <c r="N333" s="10" t="inlineStr">
        <is>
          <t>Medium</t>
        </is>
      </c>
      <c r="O333" s="10" t="inlineStr">
        <is>
          <t>#328</t>
        </is>
      </c>
      <c r="P333" s="10" t="n"/>
      <c r="Q333" s="10" t="n"/>
      <c r="R333" s="8" t="inlineStr">
        <is>
          <t>UI component library</t>
        </is>
      </c>
      <c r="S333" s="10" t="inlineStr">
        <is>
          <t>No</t>
        </is>
      </c>
      <c r="T333" s="10" t="n"/>
      <c r="U333" s="10" t="n"/>
    </row>
    <row r="334">
      <c r="A334" s="10" t="n">
        <v>333</v>
      </c>
      <c r="B334" s="10" t="inlineStr">
        <is>
          <t>Claude</t>
        </is>
      </c>
      <c r="C334" s="8" t="inlineStr">
        <is>
          <t>Component Library &amp; Design System</t>
        </is>
      </c>
      <c r="D334" s="8" t="inlineStr">
        <is>
          <t>Clean-up: remove inline styles (632 in 197 views), inline scripts (89 views), style blocks (9) and the pdf.js CDN references; prepare a strict Content-Security-Policy</t>
        </is>
      </c>
      <c r="E334" s="10" t="inlineStr">
        <is>
          <t>Tech Debt</t>
        </is>
      </c>
      <c r="F334" s="10" t="inlineStr">
        <is>
          <t>Not Started</t>
        </is>
      </c>
      <c r="G334" s="10" t="inlineStr">
        <is>
          <t>P2</t>
        </is>
      </c>
      <c r="H334" s="8" t="inlineStr">
        <is>
          <t>Audit 2026-10-23. The CDN references break the offline rule and block a strict CSP. 2026-10-27: the pdf.js CDN references were removed by #42 (SCRUM-20); this row keeps the inline styles/scripts/style blocks and the CSP.</t>
        </is>
      </c>
      <c r="I334" s="8" t="inlineStr">
        <is>
          <t>pdf.js is vendored by #42 (SCRUM-20); move the other scripts into modules, enable CSP in report-only first.</t>
        </is>
      </c>
      <c r="J334" s="8" t="inlineStr">
        <is>
          <t>No inline style/script and no CDN reference remains; CSP enforced without violations on all waves' pages.</t>
        </is>
      </c>
      <c r="K334" s="8" t="n"/>
      <c r="L334" s="10" t="inlineStr">
        <is>
          <t>M5</t>
        </is>
      </c>
      <c r="M334" s="10" t="inlineStr">
        <is>
          <t>M</t>
        </is>
      </c>
      <c r="N334" s="10" t="inlineStr">
        <is>
          <t>Medium</t>
        </is>
      </c>
      <c r="O334" s="10" t="inlineStr">
        <is>
          <t>#328 #42</t>
        </is>
      </c>
      <c r="P334" s="10" t="n"/>
      <c r="Q334" s="10" t="n"/>
      <c r="R334" s="8" t="inlineStr">
        <is>
          <t>UI component library</t>
        </is>
      </c>
      <c r="S334" s="10" t="inlineStr">
        <is>
          <t>No</t>
        </is>
      </c>
      <c r="T334" s="10" t="n"/>
      <c r="U334" s="10" t="n"/>
    </row>
    <row r="335">
      <c r="A335" s="10" t="n">
        <v>334</v>
      </c>
      <c r="B335" s="10" t="inlineStr">
        <is>
          <t>Claude</t>
        </is>
      </c>
      <c r="C335" s="8" t="inlineStr">
        <is>
          <t>Component Library &amp; Design System</t>
        </is>
      </c>
      <c r="D335" s="8" t="inlineStr">
        <is>
          <t>BPMS integration: the form, module and view builders render through the PEMS.UI components via the descriptor contract</t>
        </is>
      </c>
      <c r="E335" s="10" t="inlineStr">
        <is>
          <t>Feature</t>
        </is>
      </c>
      <c r="F335" s="10" t="inlineStr">
        <is>
          <t>Not Started</t>
        </is>
      </c>
      <c r="G335" s="10" t="inlineStr">
        <is>
          <t>P0</t>
        </is>
      </c>
      <c r="H335" s="8" t="inlineStr">
        <is>
          <t>The reason for the library: user-built forms and views must look and behave exactly like the built-in pages.</t>
        </is>
      </c>
      <c r="I335" s="8" t="inlineStr">
        <is>
          <t>Wire the dynamic form/view renderer to the descriptor renderer (#321); designer previews use HtmlRenderer.</t>
        </is>
      </c>
      <c r="J335" s="8" t="inlineStr">
        <is>
          <t>A form defined in the builder renders with the same components, validation and RTL behaviour as a static page, with no deploy.</t>
        </is>
      </c>
      <c r="K335" s="8" t="n"/>
      <c r="L335" s="10" t="inlineStr">
        <is>
          <t>M2</t>
        </is>
      </c>
      <c r="M335" s="10" t="inlineStr">
        <is>
          <t>L</t>
        </is>
      </c>
      <c r="N335" s="10" t="inlineStr">
        <is>
          <t>Sales blocker</t>
        </is>
      </c>
      <c r="O335" s="10" t="inlineStr">
        <is>
          <t>#321 #34 #322</t>
        </is>
      </c>
      <c r="P335" s="10" t="n"/>
      <c r="Q335" s="10" t="n"/>
      <c r="R335" s="8" t="inlineStr">
        <is>
          <t>UI component library</t>
        </is>
      </c>
      <c r="S335" s="10" t="inlineStr">
        <is>
          <t>No</t>
        </is>
      </c>
      <c r="T335" s="10" t="n"/>
      <c r="U335" s="10" t="n"/>
    </row>
    <row r="336">
      <c r="A336" s="10" t="n">
        <v>335</v>
      </c>
      <c r="B336" s="10" t="inlineStr">
        <is>
          <t>Claude</t>
        </is>
      </c>
      <c r="C336" s="8" t="inlineStr">
        <is>
          <t>DevOps, Source Control &amp; Release Management</t>
        </is>
      </c>
      <c r="D336" s="8" t="inlineStr">
        <is>
          <t>Plan, issue tracker and developers workflow: field ownership, Plan ID/issue key, branch/commit/PR conventions, PR template, commit-key CI check</t>
        </is>
      </c>
      <c r="E336" s="10" t="inlineStr">
        <is>
          <t>Ops Process</t>
        </is>
      </c>
      <c r="F336" s="10" t="inlineStr">
        <is>
          <t>Partial</t>
        </is>
      </c>
      <c r="G336" s="10" t="inlineStr">
        <is>
          <t>P0</t>
        </is>
      </c>
      <c r="H336" s="8" t="inlineStr">
        <is>
          <t>Owner decision 2026-10-23: field ownership with scripted sync. docs/process/PLAN_TRACKER_WORKFLOW.md written; PR template and the CI commit-key check are not yet added.</t>
        </is>
      </c>
      <c r="I336" s="8" t="inlineStr">
        <is>
          <t>Add .github/pull_request_template.md with the checklist and a CI step that checks the issue key in branch/commits/PR title once the tracker project exists (#337).</t>
        </is>
      </c>
      <c r="J336" s="8" t="inlineStr">
        <is>
          <t>Every pull request carries an issue key and Plan ID; the checklist is on every PR.</t>
        </is>
      </c>
      <c r="K336" s="8" t="n"/>
      <c r="L336" s="10" t="inlineStr">
        <is>
          <t>M1</t>
        </is>
      </c>
      <c r="M336" s="10" t="inlineStr">
        <is>
          <t>S</t>
        </is>
      </c>
      <c r="N336" s="10" t="inlineStr">
        <is>
          <t>High</t>
        </is>
      </c>
      <c r="O336" s="10" t="inlineStr">
        <is>
          <t>#337</t>
        </is>
      </c>
      <c r="P336" s="10" t="n"/>
      <c r="Q336" s="10" t="n"/>
      <c r="R336" s="8" t="inlineStr">
        <is>
          <t>DevOps &amp; release</t>
        </is>
      </c>
      <c r="S336" s="10" t="inlineStr">
        <is>
          <t>No</t>
        </is>
      </c>
      <c r="T336" s="10" t="n"/>
      <c r="U336" s="10" t="n"/>
    </row>
    <row r="337">
      <c r="A337" s="10" t="n">
        <v>336</v>
      </c>
      <c r="B337" s="10" t="inlineStr">
        <is>
          <t>Claude</t>
        </is>
      </c>
      <c r="C337" s="8" t="inlineStr">
        <is>
          <t>DevOps, Source Control &amp; Release Management</t>
        </is>
      </c>
      <c r="D337" s="8" t="inlineStr">
        <is>
          <t>plan-sync tool: workbook to the issue tracker export (CSV and API), status pull-back, text mirror plan/backlog.csv, consistency check in CI</t>
        </is>
      </c>
      <c r="E337" s="10" t="inlineStr">
        <is>
          <t>Feature</t>
        </is>
      </c>
      <c r="F337" s="10" t="inlineStr">
        <is>
          <t>Partial</t>
        </is>
      </c>
      <c r="G337" s="10" t="inlineStr">
        <is>
          <t>P0</t>
        </is>
      </c>
      <c r="H337" s="8" t="inlineStr">
        <is>
          <t>tools/plan-sync/plan_sync.py provides export (backlog.csv plus the tracker import and link files) and an offline check (duplicates, Done without evidence, unknown dependencies/status/priority); verified on the current 318 rows. push, pull and the tracker-side check need tracker API access (#337).</t>
        </is>
      </c>
      <c r="I337" s="8" t="inlineStr">
        <is>
          <t>Add push/pull via the issue tracker REST API with the CI secrets, , schedule nightly pull and the PR/nightly check.</t>
        </is>
      </c>
      <c r="J337" s="8" t="inlineStr">
        <is>
          <t>Workbook and the issue tracker agree on every row (Plan ID &lt;-&gt; issue key), statuses flow back nightly, the check fails CI on drift.</t>
        </is>
      </c>
      <c r="K337" s="8" t="n"/>
      <c r="L337" s="10" t="inlineStr">
        <is>
          <t>M1</t>
        </is>
      </c>
      <c r="M337" s="10" t="inlineStr">
        <is>
          <t>M</t>
        </is>
      </c>
      <c r="N337" s="10" t="inlineStr">
        <is>
          <t>High</t>
        </is>
      </c>
      <c r="O337" s="10" t="inlineStr">
        <is>
          <t>#335 #337</t>
        </is>
      </c>
      <c r="P337" s="10" t="n"/>
      <c r="Q337" s="10" t="n"/>
      <c r="R337" s="8" t="inlineStr">
        <is>
          <t>DevOps &amp; release</t>
        </is>
      </c>
      <c r="S337" s="10" t="inlineStr">
        <is>
          <t>No</t>
        </is>
      </c>
      <c r="T337" s="10" t="n"/>
      <c r="U337" s="10" t="n"/>
    </row>
    <row r="338">
      <c r="A338" s="10" t="n">
        <v>337</v>
      </c>
      <c r="B338" s="10" t="inlineStr">
        <is>
          <t>User</t>
        </is>
      </c>
      <c r="C338" s="8" t="inlineStr">
        <is>
          <t>DevOps, Source Control &amp; Release Management</t>
        </is>
      </c>
      <c r="D338" s="8" t="inlineStr">
        <is>
          <t>Finish the issue-tracker setup: board columns, Plan ID field, and the API token stored as a CI secret</t>
        </is>
      </c>
      <c r="E338" s="10" t="inlineStr">
        <is>
          <t>Ops Process</t>
        </is>
      </c>
      <c r="F338" s="10" t="inlineStr">
        <is>
          <t>Partial</t>
        </is>
      </c>
      <c r="G338" s="10" t="inlineStr">
        <is>
          <t>P0</t>
        </is>
      </c>
      <c r="H338" s="8" t="inlineStr">
        <is>
          <t>The assistant has no tracker connector; the tracker project exists but CI access is not configured yet. See docs/process/PLAN_TRACKER_WORKFLOW.md section 6.</t>
        </is>
      </c>
      <c r="I338" s="8" t="inlineStr">
        <is>
          <t>1) Project and key already exist. 2) Add the board columns To Do, In Progress, On Hold, Done. 3) Add a short-text field named Plan ID. 4) Create a bot user and an API token and store the token and the bot e-mail as CI secrets (never in chat or files). 5) Send the assistant nothing secret; it only needs the site URL and project key (already known).</t>
        </is>
      </c>
      <c r="J338" s="8" t="inlineStr">
        <is>
          <t>Done when: a test import of the generated import file (python tools/plan-sync/plan_sync.py export) creates the epics and issues with Plan IDs and the Sprint 1 items; the bot token works from CI.</t>
        </is>
      </c>
      <c r="K338" s="8" t="n"/>
      <c r="L338" s="10" t="inlineStr">
        <is>
          <t>M1</t>
        </is>
      </c>
      <c r="M338" s="10" t="inlineStr">
        <is>
          <t>S</t>
        </is>
      </c>
      <c r="N338" s="10" t="inlineStr">
        <is>
          <t>High</t>
        </is>
      </c>
      <c r="O338" s="10" t="inlineStr"/>
      <c r="P338" s="10" t="n"/>
      <c r="Q338" s="10" t="n"/>
      <c r="R338" s="8" t="inlineStr">
        <is>
          <t>DevOps &amp; release</t>
        </is>
      </c>
      <c r="S338" s="10" t="inlineStr">
        <is>
          <t>No</t>
        </is>
      </c>
      <c r="T338" s="10" t="inlineStr">
        <is>
          <t>Sprint 1</t>
        </is>
      </c>
      <c r="U338" s="10" t="inlineStr">
        <is>
          <t>Member A</t>
        </is>
      </c>
    </row>
    <row r="339">
      <c r="A339" s="10" t="n">
        <v>338</v>
      </c>
      <c r="B339" s="10" t="inlineStr">
        <is>
          <t>Claude</t>
        </is>
      </c>
      <c r="C339" s="8" t="inlineStr">
        <is>
          <t>Metadata Core &amp; Dynamic Platform</t>
        </is>
      </c>
      <c r="D339" s="8" t="inlineStr">
        <is>
          <t>Design the metadata registry (apps, modules, entities, fields, relations, versions) and write the ADR</t>
        </is>
      </c>
      <c r="E339" s="10" t="inlineStr">
        <is>
          <t>Docs</t>
        </is>
      </c>
      <c r="F339" s="10" t="inlineStr">
        <is>
          <t>Not Started</t>
        </is>
      </c>
      <c r="G339" s="10" t="inlineStr">
        <is>
          <t>P0</t>
        </is>
      </c>
      <c r="H339" s="8" t="inlineStr">
        <is>
          <t>Row #10 (the registry) is an XL implementation task and #12-#17 all depend on it. Nothing can be built safely until the data model, versioning and publishing rules are written down and agreed. Decided inputs: hybrid storage (#4): real tables for user-built entities, a JSON column for custom fields on existing entities. 2026-10-28 audit: the registry must cover UI definitions, not only data entities (row #430).</t>
        </is>
      </c>
      <c r="I339" s="8" t="inlineStr">
        <is>
          <t>1) List the registry objects and their relations (App, Module, Entity, Field, Relation, View, Form, Workflow reference, Version). 2) Define draft/published versions, rollback and what a publish changes. 3) Define how static (existing) entities appear in the registry (#14 JSON extension column). 4) Define the cache and invalidation contract (#28). 5) Sketch the EF entity classes (compile-only, in a branch, not merged). 6) List open questions. Output: docs/architecture/METADATA_REGISTRY_DESIGN.md and an ADR under plan/adr. 7) Put UI definitions (page, layout, component instance, data source, action, menu, theme) in the same envelope and versioning rules; see the ADR row #430.</t>
        </is>
      </c>
      <c r="J339" s="8" t="inlineStr">
        <is>
          <t>Done when: the design document and ADR exist; Member A and Member B have reviewed them; the sketched classes compile; open questions are listed with an owner; rows #10, #11, #13 and #28 reference the document.</t>
        </is>
      </c>
      <c r="K339" s="8" t="inlineStr">
        <is>
          <t>Written in the PR of branch feature/SCRUM-338-430-definition-registry-hamid: docs/architecture/METADATA_REGISTRY_DESIGN.md and ADR-0010 (status Proposed); one envelope (Definitions, DefinitionVersions, DefinitionReferences, DefinitionStamps), lifecycle reused from the workflow platform, shipped vs customer rule reused from the dynamic sidebar, cache stamp contract, five open questions with owners; C# sketch compiles (warnings as errors). QA pending: owner review and acceptance.</t>
        </is>
      </c>
      <c r="L339" s="10" t="inlineStr">
        <is>
          <t>M0</t>
        </is>
      </c>
      <c r="M339" s="10" t="inlineStr">
        <is>
          <t>M</t>
        </is>
      </c>
      <c r="N339" s="10" t="inlineStr">
        <is>
          <t>Sales blocker</t>
        </is>
      </c>
      <c r="O339" s="10" t="inlineStr">
        <is>
          <t>#3 #4</t>
        </is>
      </c>
      <c r="P339" s="10" t="n"/>
      <c r="Q339" s="10" t="n"/>
      <c r="R339" s="8" t="inlineStr">
        <is>
          <t>Metadata &amp; dynamic core</t>
        </is>
      </c>
      <c r="S339" s="10" t="inlineStr">
        <is>
          <t>No</t>
        </is>
      </c>
      <c r="T339" s="10" t="inlineStr">
        <is>
          <t>Sprint 1</t>
        </is>
      </c>
      <c r="U339" s="10" t="inlineStr">
        <is>
          <t>Member A</t>
        </is>
      </c>
    </row>
    <row r="340">
      <c r="A340" s="10" t="n">
        <v>339</v>
      </c>
      <c r="B340" s="10" t="inlineStr">
        <is>
          <t>Claude</t>
        </is>
      </c>
      <c r="C340" s="8" t="inlineStr">
        <is>
          <t>Licensing &amp; Protection</t>
        </is>
      </c>
      <c r="D340" s="8" t="inlineStr">
        <is>
          <t>Write the licensing technical design: machine fingerprint signals, install seal, request and licence file formats, verification points, vendor tool</t>
        </is>
      </c>
      <c r="E340" s="10" t="inlineStr">
        <is>
          <t>Docs</t>
        </is>
      </c>
      <c r="F340" s="10" t="inlineStr">
        <is>
          <t>Not Started</t>
        </is>
      </c>
      <c r="G340" s="10" t="inlineStr">
        <is>
          <t>P0</t>
        </is>
      </c>
      <c r="H340" s="8" t="inlineStr">
        <is>
          <t>The licensing decisions are made (#96 threat model, #97 VM policy: Done) but the build rows #98-#106 have no technical design. Without it the first implementation row (#98, L) cannot be estimated or reviewed.</t>
        </is>
      </c>
      <c r="I340" s="8" t="inlineStr">
        <is>
          <t>1) Fingerprint: list the signals for Windows and Linux/Docker, their stability, and the tolerance rule for small changes. 2) Install seal: what is stored in the database and in the protected file, and the restore-detection counter. 3) Formats: the activation request (.pemsreq) and signed licence (.pemslic) fields, signature algorithm and versioning. 4) Verification points (start, periodic, sensitive operations) and failure behaviour. 5) Vendor tool: validate request, issue licence, audit. 6) Map every item to rows #98-#106 and to the threat table in the licensing design sheet. Output: docs/design/LICENSING_TECHNICAL_DESIGN.md.</t>
        </is>
      </c>
      <c r="J340" s="8" t="inlineStr">
        <is>
          <t>Done when: the document covers rows #98-#106 with data formats and a sequence for first activation, renewal and restore-from-image; Member A approved it; each open risk names the contractual answer (EULA, #120).</t>
        </is>
      </c>
      <c r="K340" s="8" t="n"/>
      <c r="L340" s="10" t="inlineStr">
        <is>
          <t>M0</t>
        </is>
      </c>
      <c r="M340" s="10" t="inlineStr">
        <is>
          <t>M</t>
        </is>
      </c>
      <c r="N340" s="10" t="inlineStr">
        <is>
          <t>Sales blocker</t>
        </is>
      </c>
      <c r="O340" s="10" t="inlineStr">
        <is>
          <t>#96 #97</t>
        </is>
      </c>
      <c r="P340" s="10" t="n"/>
      <c r="Q340" s="10" t="n"/>
      <c r="R340" s="8" t="inlineStr">
        <is>
          <t>Licensing chain</t>
        </is>
      </c>
      <c r="S340" s="10" t="inlineStr">
        <is>
          <t>No</t>
        </is>
      </c>
      <c r="T340" s="10" t="inlineStr">
        <is>
          <t>Sprint 1</t>
        </is>
      </c>
      <c r="U340" s="10" t="inlineStr">
        <is>
          <t>Member A</t>
        </is>
      </c>
    </row>
    <row r="341">
      <c r="A341" s="10" t="n">
        <v>340</v>
      </c>
      <c r="B341" s="10" t="inlineStr">
        <is>
          <t>Claude</t>
        </is>
      </c>
      <c r="C341" s="8" t="inlineStr">
        <is>
          <t>Online Demo</t>
        </is>
      </c>
      <c r="D341" s="8" t="inlineStr">
        <is>
          <t>Make the demo site start: issue the TLS certificate and diagnose why the application does not answer after the first deploy</t>
        </is>
      </c>
      <c r="E341" s="10" t="inlineStr">
        <is>
          <t>Bug Fix</t>
        </is>
      </c>
      <c r="F341" s="10" t="inlineStr">
        <is>
          <t>Partial</t>
        </is>
      </c>
      <c r="G341" s="10" t="inlineStr">
        <is>
          <t>P0</t>
        </is>
      </c>
      <c r="H341" s="8" t="inlineStr">
        <is>
          <t>2026-10-24 revised findings: the application DOES start and install its database when deployed (health check from the GitHub runner: HTTP 200 UpToDate). The earlier failures were pipeline issues (fixed in #312). Still open: (1) no valid TLS certificate on demo.parmisata.ir (Plesk shows 'Domain not secured'; the runner reports a verification failure); (2) the site does not answer from the developer machine's network (requests time out after 30-60 s) while it answers from GitHub - check the local route/ISP, or test from another network, before assuming a server fault.</t>
        </is>
      </c>
      <c r="I341" s="8" t="inlineStr">
        <is>
          <t>1) In Plesk open the subdomain, SSL/TLS Certificates, get a free Let's Encrypt certificate for demo.parmisata.ir. 2) Open https://demo.parmisata.ir/health/database from a phone network and from the office network; compare with the result from GitHub (UpToDate). 3) If only the office network fails, ask the network owner to allow 185.10.74.207:443; if everywhere fails, read logs/stdout* and logs/pems-*.log in Plesk &gt; Files. 4) Sign in as the seeded administrator and open Admin &gt; Database Update to confirm 116 migrations.</t>
        </is>
      </c>
      <c r="J341" s="8" t="inlineStr">
        <is>
          <t>Done when: https://demo.parmisata.ir opens with a valid certificate from the team's networks; the administrator signs in; Admin &gt; Database Update shows the database up to date.</t>
        </is>
      </c>
      <c r="K341" s="8" t="inlineStr">
        <is>
          <t>Pipeline hardening committed (insecure health probe, TLS report, stdout logs, 60-minute upload limit); server-side steps need the hosting panel.</t>
        </is>
      </c>
      <c r="L341" s="10" t="inlineStr">
        <is>
          <t>M2</t>
        </is>
      </c>
      <c r="M341" s="10" t="inlineStr">
        <is>
          <t>M</t>
        </is>
      </c>
      <c r="N341" s="10" t="inlineStr">
        <is>
          <t>Sales blocker</t>
        </is>
      </c>
      <c r="O341" s="10" t="inlineStr">
        <is>
          <t>#312 #295</t>
        </is>
      </c>
      <c r="P341" s="10" t="n"/>
      <c r="Q341" s="10" t="n"/>
      <c r="R341" s="8" t="inlineStr">
        <is>
          <t>Online demo</t>
        </is>
      </c>
      <c r="S341" s="10" t="inlineStr">
        <is>
          <t>No</t>
        </is>
      </c>
      <c r="T341" s="10" t="inlineStr">
        <is>
          <t>Sprint 1</t>
        </is>
      </c>
      <c r="U341" s="10" t="inlineStr">
        <is>
          <t>Member B</t>
        </is>
      </c>
    </row>
    <row r="342">
      <c r="A342" s="10" t="n">
        <v>341</v>
      </c>
      <c r="B342" s="10" t="inlineStr">
        <is>
          <t>Claude</t>
        </is>
      </c>
      <c r="C342" s="8" t="inlineStr">
        <is>
          <t>Licensing &amp; Protection</t>
        </is>
      </c>
      <c r="D342" s="8" t="inlineStr">
        <is>
          <t>Issued-licence ledger on the vendor side and import of licence files that were already issued to customers</t>
        </is>
      </c>
      <c r="E342" s="10" t="inlineStr">
        <is>
          <t>Feature</t>
        </is>
      </c>
      <c r="F342" s="10" t="inlineStr">
        <is>
          <t>Not Started</t>
        </is>
      </c>
      <c r="G342" s="10" t="inlineStr">
        <is>
          <t>P0</t>
        </is>
      </c>
      <c r="H342" s="8" t="inlineStr">
        <is>
          <t>Today there is no record that lets the owner pick a customer and find the licence that customer received. Licences issued before the ledger existed must stay usable for later owner actions such as the one-time admin reset (#343-#349). The separate administrator-recovery work done by Saber (second-admin reset, recovery codes, server-side break-glass) does not depend on this row and can proceed without it.</t>
        </is>
      </c>
      <c r="I342" s="8" t="inlineStr">
        <is>
          <t>In the vendor tool (#106) keep a ledger: customer, licence id, Install ID, fingerprint hash, signing key id, edition/modules, type and period, status (active/revoked/expired), issue date and the original request nonce. Add an import action: upload an already issued .pemslic (or zip); the tool verifies the signature with the public key, reads the bound fields and creates or updates the ledger row after the owner confirms the customer. Everything is done in the UI; no terminal or CLI step is required. Every change writes an audit entry. Export to CSV/Excel.</t>
        </is>
      </c>
      <c r="J342" s="8" t="inlineStr">
        <is>
          <t>Done when: the owner selects a customer in the vendor tool and sees every licence issued to it; a licence file issued before the ledger existed is imported with a valid signature and appears in the list; a tampered file is rejected; each import and edit is audited.</t>
        </is>
      </c>
      <c r="K342" s="8" t="n"/>
      <c r="L342" s="10" t="inlineStr">
        <is>
          <t>M2</t>
        </is>
      </c>
      <c r="M342" s="10" t="inlineStr">
        <is>
          <t>M</t>
        </is>
      </c>
      <c r="N342" s="10" t="inlineStr">
        <is>
          <t>Sales blocker</t>
        </is>
      </c>
      <c r="O342" s="10" t="inlineStr">
        <is>
          <t>#101 #106 #107</t>
        </is>
      </c>
      <c r="P342" s="10" t="n"/>
      <c r="Q342" s="10" t="n"/>
      <c r="R342" s="8" t="inlineStr">
        <is>
          <t>Licensing chain</t>
        </is>
      </c>
      <c r="S342" s="10" t="inlineStr">
        <is>
          <t>No</t>
        </is>
      </c>
      <c r="T342" s="10" t="n"/>
      <c r="U342" s="10" t="n"/>
    </row>
    <row r="343">
      <c r="A343" s="10" t="n">
        <v>342</v>
      </c>
      <c r="B343" s="10" t="inlineStr">
        <is>
          <t>Claude</t>
        </is>
      </c>
      <c r="C343" s="8" t="inlineStr">
        <is>
          <t>Licensing &amp; Protection</t>
        </is>
      </c>
      <c r="D343" s="8" t="inlineStr">
        <is>
          <t>Licence issuance flow verified end to end (request, issue, deliver, install, activate, ledger): the prerequisite for every admin-password-reset task</t>
        </is>
      </c>
      <c r="E343" s="10" t="inlineStr">
        <is>
          <t>Feature</t>
        </is>
      </c>
      <c r="F343" s="10" t="inlineStr">
        <is>
          <t>Not Started</t>
        </is>
      </c>
      <c r="G343" s="10" t="inlineStr">
        <is>
          <t>P0</t>
        </is>
      </c>
      <c r="H343" s="8" t="inlineStr">
        <is>
          <t>The owner-initiated admin reset (#343-#349) must work from the licence that a customer really holds, so the whole licence chain has to be proven first: customer request file, owner issues the licence, customer installs it, the product accepts it and the ledger shows it. Gate: every admin-password-reset row (#343-#349) can start only after #342 is Done. The separate administrator-recovery work done by Saber (second-admin reset, recovery codes, server-side break-glass) does not depend on this row and can proceed without it.</t>
        </is>
      </c>
      <c r="I343" s="8" t="inlineStr">
        <is>
          <t>On a clean installation: 1) the customer licence page (#108) generates the .pemsreq request; 2) the vendor tool (#106) validates it and issues the .pemslic signed with the key from #107; 3) the licence is uploaded in the UI (and in the first-run flow #109) and activated; 4) the issue is recorded in the ledger (#341); 5) repeat for a customer whose licence was issued earlier and imported (#341). Fix what breaks, and record the run in the licence acceptance checklist (#122). Everything in this flow is done in the UI; no terminal or CLI step is required.</t>
        </is>
      </c>
      <c r="J343" s="8" t="inlineStr">
        <is>
          <t>Done when: a clean install is activated with a licence issued by the vendor tool; the ledger lists that licence with its Install ID and fingerprint hash; an imported earlier licence behaves the same; the run is written in the acceptance checklist. Only then are #343-#349 unblocked.</t>
        </is>
      </c>
      <c r="K343" s="8" t="n"/>
      <c r="L343" s="10" t="inlineStr">
        <is>
          <t>M2</t>
        </is>
      </c>
      <c r="M343" s="10" t="inlineStr">
        <is>
          <t>L</t>
        </is>
      </c>
      <c r="N343" s="10" t="inlineStr">
        <is>
          <t>Sales blocker</t>
        </is>
      </c>
      <c r="O343" s="10" t="inlineStr">
        <is>
          <t>#98 #99 #100 #101 #106 #107 #108 #109 #122 #339 #341</t>
        </is>
      </c>
      <c r="P343" s="10" t="n"/>
      <c r="Q343" s="10" t="n"/>
      <c r="R343" s="8" t="inlineStr">
        <is>
          <t>Licensing chain</t>
        </is>
      </c>
      <c r="S343" s="10" t="inlineStr">
        <is>
          <t>No</t>
        </is>
      </c>
      <c r="T343" s="10" t="n"/>
      <c r="U343" s="10" t="n"/>
    </row>
    <row r="344">
      <c r="A344" s="10" t="n">
        <v>343</v>
      </c>
      <c r="B344" s="10" t="inlineStr">
        <is>
          <t>Claude</t>
        </is>
      </c>
      <c r="C344" s="8" t="inlineStr">
        <is>
          <t>Access, RLS, Sessions &amp; Security</t>
        </is>
      </c>
      <c r="D344" s="8" t="inlineStr">
        <is>
          <t>Design and decision for the vendor-assisted admin password reset by file exchange (request file out, signed response file back), separate reset key, and AFTA compatibility check</t>
        </is>
      </c>
      <c r="E344" s="10" t="inlineStr">
        <is>
          <t>Decision Needed</t>
        </is>
      </c>
      <c r="F344" s="10" t="inlineStr">
        <is>
          <t>Not Started</t>
        </is>
      </c>
      <c r="G344" s="10" t="inlineStr">
        <is>
          <t>P1</t>
        </is>
      </c>
      <c r="H344" s="8" t="inlineStr">
        <is>
          <t>A customer whose production server is offline must be able to recover a lost administrator password with the vendor's help, without a back door in the product and without any remote access. The licence flow already proves that file exchange works offline; the reset reuses its shape with its own key.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 2026-10-28 plan audit: dependency/milestone corrected (see docs/audits/2026-10-28-dynamic-restful-audit.md).</t>
        </is>
      </c>
      <c r="I344" s="8" t="inlineStr">
        <is>
          <t>Write docs/design/ADMIN_RESET.md (no secrets). Flow (same shape as licence activation, all in the browser UI; no terminal or CLI step): 1) the customer opens the administrator recovery page on their installation and downloads a reset request file (.pemsrstreq: Install ID, fingerprint hash, licence id, product version, account, random nonce kept server-side as a pending request, signed by the install key); 2) the customer sends the file to us; 3) in the developer/owner UI we upload it, the tool verifies the signature, matches it to the customer and licence in the ledger, we confirm the customer, enter the reason and the identity check, and download a reset response file (.pemsreset) signed with the separate reset key and bound to the request nonce, licence id, Install ID, purpose and expiry; 4) the customer uploads the response file on the same page and the password reset form opens; the pending request is consumed so the file works once. Decide: reset-key custody. Decided 2026-10-25 by the owners: the licence key and the reset key are each created and used only on the owner computers (the own computers of Hamid and Saber, who are the owners and the developers; also called developer-local or owner machines), as the last step of the licence and reset flows. Neither key is ever in the assistant's environment, on a shared or CI server, or in the repository. The reset key is still a different key from the licence key. To settle in the ADR: whether the keys stay offline (encrypted external drive) between uses, where the backup copies are and who holds them, what the reset changes (password; MFA/passkeys and sessions as in the shared recovery rules), expiry of the response file, rate limits, audit on both sides, behaviour on a cloned or re-hosted machine (#104, #116). AFTA check (to be confirmed with the testing lab through #184): no default, master or hard-coded password and no standing vendor credential; the vendor can act only on a request that the installation itself generated, for one installation, once and for a short time; the capability is off by default and enabled explicitly by the customer administrator; every use is audited, all administrators are notified, the account sessions are revoked and the event goes to the SIEM feed; the reset key is separate from the licence key and can be revoked through an update; everything works offline by file exchange, so no remote access to the customer server is ever needed. Validity: the response file expires after a period the owner chooses in the developer UI when the file is issued: default 1 day, allowed range 1 to 7 days in whole days, and no unlimited or open-ended option (the tool refuses values outside the range and the product checks the limits again, so a correctly signed file with a longer validity is rejected). The pending reset request on the customer side expires on the same bounds. AFTA: a short, bounded, single-use validity fits the check recorded here; the 1-day default and the 7-day maximum are to be confirmed with the testing lab (#184), and if the lab wants a shorter maximum the limits change in one setting without changing the file format.</t>
        </is>
      </c>
      <c r="J344" s="8" t="inlineStr">
        <is>
          <t>Done when: an approved ADR with the file formats' fields, the key-custody details on the owner computers, the threat model (replay, wrong customer, tampered or forged file, cloned machine, clock change, leaked file) and a written AFTA compatibility assessment accepted by the security consultant; #344-#349 are written against it. The validity rule (default 1 day, range 1 to 7 days, no unlimited option) is confirmed by the AFTA assessment.</t>
        </is>
      </c>
      <c r="K344" s="8" t="n"/>
      <c r="L344" s="10" t="inlineStr">
        <is>
          <t>M3</t>
        </is>
      </c>
      <c r="M344" s="10" t="inlineStr">
        <is>
          <t>M</t>
        </is>
      </c>
      <c r="N344" s="10" t="inlineStr">
        <is>
          <t>Sales blocker</t>
        </is>
      </c>
      <c r="O344" s="10" t="inlineStr">
        <is>
          <t>#96 #107 #178 #182 #339 #342</t>
        </is>
      </c>
      <c r="P344" s="10" t="n"/>
      <c r="Q344" s="10" t="n"/>
      <c r="R344" s="8" t="inlineStr">
        <is>
          <t>Security &amp; access</t>
        </is>
      </c>
      <c r="S344" s="10" t="inlineStr">
        <is>
          <t>No</t>
        </is>
      </c>
      <c r="T344" s="10" t="n"/>
      <c r="U344" s="10" t="n"/>
    </row>
    <row r="345">
      <c r="A345" s="10" t="n">
        <v>344</v>
      </c>
      <c r="B345" s="10" t="inlineStr">
        <is>
          <t>Claude</t>
        </is>
      </c>
      <c r="C345" s="8" t="inlineStr">
        <is>
          <t>Access, RLS, Sessions &amp; Security</t>
        </is>
      </c>
      <c r="D345" s="8" t="inlineStr">
        <is>
          <t>Reset request and reset response file formats (.pemsrstreq and .pemsreset) with a shared signing and verification library</t>
        </is>
      </c>
      <c r="E345" s="10" t="inlineStr">
        <is>
          <t>Feature</t>
        </is>
      </c>
      <c r="F345" s="10" t="inlineStr">
        <is>
          <t>Not Started</t>
        </is>
      </c>
      <c r="G345" s="10" t="inlineStr">
        <is>
          <t>P1</t>
        </is>
      </c>
      <c r="H345" s="8" t="inlineStr">
        <is>
          <t>One shared, tested implementation prevents the owner UI and the product from disagreeing about what a valid file is.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5" s="8" t="inlineStr">
        <is>
          <t>Implement the two formats from the ADR (#343) in a shared library: canonical encoding; request signed by the install key; response signed by the reset key with domain separation from licence files; response bound to the request nonce, licence id, Install ID, fingerprint hash, reset key id, issued-at, expires-at and purpose. Unit tests with vectors for valid, expired, tampered, wrong-nonce, wrong-installation, wrong-key and wrong-purpose files, each rejected with a distinct reason. The response carries issued-at and expires-at; the library enforces 1 to 7 whole days between them, with the limits as shared named settings used by both sides; add vectors for a validity of 0, 8 days, negative and missing.</t>
        </is>
      </c>
      <c r="J345" s="8" t="inlineStr">
        <is>
          <t>Done when: the library creates and verifies both files; every negative vector is rejected with its own reason; the owner UI (#345) and the product (#346) use the same code. Validity outside 1 to 7 days is rejected.</t>
        </is>
      </c>
      <c r="K345" s="8" t="n"/>
      <c r="L345" s="10" t="inlineStr">
        <is>
          <t>M3</t>
        </is>
      </c>
      <c r="M345" s="10" t="inlineStr">
        <is>
          <t>M</t>
        </is>
      </c>
      <c r="N345" s="10" t="inlineStr">
        <is>
          <t>Sales blocker</t>
        </is>
      </c>
      <c r="O345" s="10" t="inlineStr">
        <is>
          <t>#101 #343 #349</t>
        </is>
      </c>
      <c r="P345" s="10" t="n"/>
      <c r="Q345" s="10" t="n"/>
      <c r="R345" s="8" t="inlineStr">
        <is>
          <t>Security &amp; access</t>
        </is>
      </c>
      <c r="S345" s="10" t="inlineStr">
        <is>
          <t>No</t>
        </is>
      </c>
      <c r="T345" s="10" t="n"/>
      <c r="U345" s="10" t="n"/>
    </row>
    <row r="346">
      <c r="A346" s="10" t="n">
        <v>345</v>
      </c>
      <c r="B346" s="10" t="inlineStr">
        <is>
          <t>Claude</t>
        </is>
      </c>
      <c r="C346" s="8" t="inlineStr">
        <is>
          <t>Access, RLS, Sessions &amp; Security</t>
        </is>
      </c>
      <c r="D346" s="8" t="inlineStr">
        <is>
          <t>Developer/owner UI: upload the customer's reset request file, match it to the customer and licence in the ledger, issue the signed reset response file</t>
        </is>
      </c>
      <c r="E346" s="10" t="inlineStr">
        <is>
          <t>Feature</t>
        </is>
      </c>
      <c r="F346" s="10" t="inlineStr">
        <is>
          <t>Not Started</t>
        </is>
      </c>
      <c r="G346" s="10" t="inlineStr">
        <is>
          <t>P1</t>
        </is>
      </c>
      <c r="H346" s="8" t="inlineStr">
        <is>
          <t>The owner needs a safe, offline place to answer a customer's reset request without exposing the licence signing key.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6" s="8" t="inlineStr">
        <is>
          <t>Add a Reset admin page to the vendor tool (#106), run on an owner computer (Hamid's or Saber's own computer, where the reset key lives): upload the .pemsrstreq, verify its signature, find the matching licence in the ledger (#341) by licence id, Install ID and fingerprint hash, show the customer and let the owner confirm or pick the customer (a mismatch is a warning that blocks issuing), enter the reason and the identity check performed, choose the validity in whole days (default 1, range 1 to 7, no unlimited option), then download the .pemsreset built with #344 and signed with the reset key (#349). Revoked or expired licences cannot be answered. Write an audit entry (who, when, customer, licence, request nonce, expiry, reason). Works fully offline. All in the UI; no terminal or CLI step.</t>
        </is>
      </c>
      <c r="J346" s="8" t="inlineStr">
        <is>
          <t>Done when: from an uploaded request file the owner issues a response file for the right customer in under a minute with no network; a request for a revoked licence or for an unknown installation is refused; the audit shows each issue. A validity outside 1 to 7 days cannot be chosen.</t>
        </is>
      </c>
      <c r="K346" s="8" t="n"/>
      <c r="L346" s="10" t="inlineStr">
        <is>
          <t>M3</t>
        </is>
      </c>
      <c r="M346" s="10" t="inlineStr">
        <is>
          <t>M</t>
        </is>
      </c>
      <c r="N346" s="10" t="inlineStr">
        <is>
          <t>Sales blocker</t>
        </is>
      </c>
      <c r="O346" s="10" t="inlineStr">
        <is>
          <t>#341 #343 #344 #349</t>
        </is>
      </c>
      <c r="P346" s="10" t="n"/>
      <c r="Q346" s="10" t="n"/>
      <c r="R346" s="8" t="inlineStr">
        <is>
          <t>Security &amp; access</t>
        </is>
      </c>
      <c r="S346" s="10" t="inlineStr">
        <is>
          <t>No</t>
        </is>
      </c>
      <c r="T346" s="10" t="n"/>
      <c r="U346" s="10" t="n"/>
    </row>
    <row r="347">
      <c r="A347" s="10" t="n">
        <v>346</v>
      </c>
      <c r="B347" s="10" t="inlineStr">
        <is>
          <t>Claude</t>
        </is>
      </c>
      <c r="C347" s="8" t="inlineStr">
        <is>
          <t>Access, RLS, Sessions &amp; Security</t>
        </is>
      </c>
      <c r="D347" s="8" t="inlineStr">
        <is>
          <t>Customer UI: administrator recovery page (download reset request file, upload reset response file, open the reset form), one-time, licence-bound, off by default</t>
        </is>
      </c>
      <c r="E347" s="10" t="inlineStr">
        <is>
          <t>Feature</t>
        </is>
      </c>
      <c r="F347" s="10" t="inlineStr">
        <is>
          <t>Not Started</t>
        </is>
      </c>
      <c r="G347" s="10" t="inlineStr">
        <is>
          <t>P1</t>
        </is>
      </c>
      <c r="H347" s="8" t="inlineStr">
        <is>
          <t>The customer must be able to start and finish the recovery from the product UI of their own installation, and the product must accept only an answer to its own request.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7" s="8" t="inlineStr">
        <is>
          <t>Add the recovery page (anonymous-safe, on the always-free surfaces list) with a setting that keeps it disabled until a customer administrator enables it. Generate the .pemsrstreq (#344) and store the pending request (nonce, time, requested account) through an EF migration. On upload of a .pemsreset verify signature and expiry, match the stored nonce, licence id, Install ID and fingerprint hash against the installed licence (#98, #99), consume the pending request, then open the form to set a new administrator password under the password policy, require a change at next sign-in, handle MFA/passkeys and revoke the account's sessions (#182) as decided in #343, write the audit, notify all administrators, send the event to the SIEM feed and rate-limit failures. Reject a response whose validity is outside 1 to 7 days or whose expiry has passed (use the clock guard #105), and expire the pending request on the same bounds.</t>
        </is>
      </c>
      <c r="J347" s="8" t="inlineStr">
        <is>
          <t>Done when: a valid response file resets the administrator password once on the matching installation; the same file again, an expired file, a file for another installation or request, and a tampered file are refused with an audit entry; sessions end; with the setting off the page offers nothing. A response valid for more than 7 days is refused even when correctly signed.</t>
        </is>
      </c>
      <c r="K347" s="8" t="n"/>
      <c r="L347" s="10" t="inlineStr">
        <is>
          <t>M3</t>
        </is>
      </c>
      <c r="M347" s="10" t="inlineStr">
        <is>
          <t>L</t>
        </is>
      </c>
      <c r="N347" s="10" t="inlineStr">
        <is>
          <t>Sales blocker</t>
        </is>
      </c>
      <c r="O347" s="10" t="inlineStr">
        <is>
          <t>#98 #99 #108 #182 #343 #344 #349</t>
        </is>
      </c>
      <c r="P347" s="10" t="n"/>
      <c r="Q347" s="10" t="n"/>
      <c r="R347" s="8" t="inlineStr">
        <is>
          <t>Security &amp; access</t>
        </is>
      </c>
      <c r="S347" s="10" t="inlineStr">
        <is>
          <t>No</t>
        </is>
      </c>
      <c r="T347" s="10" t="n"/>
      <c r="U347" s="10" t="n"/>
    </row>
    <row r="348">
      <c r="A348" s="10" t="n">
        <v>347</v>
      </c>
      <c r="B348" s="10" t="inlineStr">
        <is>
          <t>Claude</t>
        </is>
      </c>
      <c r="C348" s="8" t="inlineStr">
        <is>
          <t>Access, RLS, Sessions &amp; Security</t>
        </is>
      </c>
      <c r="D348" s="8" t="inlineStr">
        <is>
          <t>Automated security tests for the admin reset: replay, expiry, wrong customer or installation, forged or tampered files, clock change, brute force, setting off, session revocation</t>
        </is>
      </c>
      <c r="E348" s="10" t="inlineStr">
        <is>
          <t>Feature</t>
        </is>
      </c>
      <c r="F348" s="10" t="inlineStr">
        <is>
          <t>Not Started</t>
        </is>
      </c>
      <c r="G348" s="10" t="inlineStr">
        <is>
          <t>P1</t>
        </is>
      </c>
      <c r="H348" s="8" t="inlineStr">
        <is>
          <t>A recovery path is a favourite attack target; it must be covered by tests before it ships.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8" s="8" t="inlineStr">
        <is>
          <t>Write integration tests against the real product endpoint and the owner UI library: replay of a used response, expired response, response for another request or installation, modified payload, signature by a different or revoked key, forged request file, cloned machine (fingerprint mismatch), clock rolled back, repeated failures reaching the rate limit, the feature switched off, and that sessions, MFA state, audit and administrator notifications are as specified. Add them to the CI gate. Include validity 0, 8 days and a missing expiry, and a response used exactly at and just after its expiry.</t>
        </is>
      </c>
      <c r="J348" s="8" t="inlineStr">
        <is>
          <t>Done when: each scenario has a passing test that fails if its defence is removed; the tests run in CI; results are linked from the licence acceptance checklist.</t>
        </is>
      </c>
      <c r="K348" s="8" t="n"/>
      <c r="L348" s="10" t="inlineStr">
        <is>
          <t>M3</t>
        </is>
      </c>
      <c r="M348" s="10" t="inlineStr">
        <is>
          <t>M</t>
        </is>
      </c>
      <c r="N348" s="10" t="inlineStr">
        <is>
          <t>Sales blocker</t>
        </is>
      </c>
      <c r="O348" s="10" t="inlineStr">
        <is>
          <t>#305 #346</t>
        </is>
      </c>
      <c r="P348" s="10" t="n"/>
      <c r="Q348" s="10" t="n"/>
      <c r="R348" s="8" t="inlineStr">
        <is>
          <t>Security &amp; access</t>
        </is>
      </c>
      <c r="S348" s="10" t="inlineStr">
        <is>
          <t>No</t>
        </is>
      </c>
      <c r="T348" s="10" t="n"/>
      <c r="U348" s="10" t="n"/>
    </row>
    <row r="349">
      <c r="A349" s="10" t="n">
        <v>348</v>
      </c>
      <c r="B349" s="10" t="inlineStr">
        <is>
          <t>User</t>
        </is>
      </c>
      <c r="C349" s="8" t="inlineStr">
        <is>
          <t>Access, RLS, Sessions &amp; Security</t>
        </is>
      </c>
      <c r="D349" s="8" t="inlineStr">
        <is>
          <t>Owner procedure and customer-facing guide for the admin reset by file exchange: identity verification, request and response handling, enabling the feature, audit review</t>
        </is>
      </c>
      <c r="E349" s="10" t="inlineStr">
        <is>
          <t>Ops Process</t>
        </is>
      </c>
      <c r="F349" s="10" t="inlineStr">
        <is>
          <t>Not Started</t>
        </is>
      </c>
      <c r="G349" s="10" t="inlineStr">
        <is>
          <t>P1</t>
        </is>
      </c>
      <c r="H349" s="8" t="inlineStr">
        <is>
          <t>Technical safety is not enough: the owner needs a written rule for when a reset is allowed, and customers need to know how to ask.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49" s="8" t="inlineStr">
        <is>
          <t>Write the procedure: how the customer enables the recovery page and generates the request file, how the owner verifies identity (named contact on the contract, call-back), which customer is confirmed in the owner UI, how the response file is delivered and how long it stays valid, how the audit is reviewed monthly, and what is said to the customer. Add a help topic in the product and link it from the licence support procedure (#123). State that a response is valid for 1 day by default and up to 7 days when the owner chooses a longer window, depending on how fast the customer can return the file.</t>
        </is>
      </c>
      <c r="J349" s="8" t="inlineStr">
        <is>
          <t>Done when: the owner approves the procedure; a rehearsed reset from request file to new password follows it; the help topic exists in Persian and English.</t>
        </is>
      </c>
      <c r="K349" s="8" t="n"/>
      <c r="L349" s="10" t="inlineStr">
        <is>
          <t>M3</t>
        </is>
      </c>
      <c r="M349" s="10" t="inlineStr">
        <is>
          <t>S</t>
        </is>
      </c>
      <c r="N349" s="10" t="inlineStr">
        <is>
          <t>High</t>
        </is>
      </c>
      <c r="O349" s="10" t="inlineStr">
        <is>
          <t>#123 #346</t>
        </is>
      </c>
      <c r="P349" s="10" t="n"/>
      <c r="Q349" s="10" t="n"/>
      <c r="R349" s="8" t="inlineStr">
        <is>
          <t>Security &amp; access</t>
        </is>
      </c>
      <c r="S349" s="10" t="inlineStr">
        <is>
          <t>No</t>
        </is>
      </c>
      <c r="T349" s="10" t="n"/>
      <c r="U349" s="10" t="n"/>
    </row>
    <row r="350">
      <c r="A350" s="10" t="n">
        <v>349</v>
      </c>
      <c r="B350" s="10" t="inlineStr">
        <is>
          <t>User</t>
        </is>
      </c>
      <c r="C350" s="8" t="inlineStr">
        <is>
          <t>Access, RLS, Sessions &amp; Security</t>
        </is>
      </c>
      <c r="D350" s="8" t="inlineStr">
        <is>
          <t>Reset signing key procedure: create the separate reset key offline, custody, backup, rotation, revocation list shipped in updates, compromise plan</t>
        </is>
      </c>
      <c r="E350" s="10" t="inlineStr">
        <is>
          <t>Ops Process</t>
        </is>
      </c>
      <c r="F350" s="10" t="inlineStr">
        <is>
          <t>Not Started</t>
        </is>
      </c>
      <c r="G350" s="10" t="inlineStr">
        <is>
          <t>P1</t>
        </is>
      </c>
      <c r="H350" s="8" t="inlineStr">
        <is>
          <t>The reset response file must be signed by a key that is not the licence key, so that a leak of one never opens the other; it follows the same custody rules as the licence key (#107). Gate: this row can start only after #342 (licence flow end to end) is Done. Independent of the separate administrator-recovery work done by Saber (second-admin reset, one-time recovery codes, server-side break-glass, shared audit/notification/session revocation): that work does not wait for the licence flow and this row does not block it; this flow plugs into it as the optional vendor-assisted recovery path, which must stay off until the customer enables it.</t>
        </is>
      </c>
      <c r="I350" s="8" t="inlineStr">
        <is>
          <t>1) Generate a separate reset key pair offline (Ed25519 recommended) and record its key id; the public key is embedded in the product with the key id, the private key lives only on the owner computers (Hamid's and Saber's own), never in the repository, on a shared or CI server or in the assistant's environment. 2) Custody is decided: the key is created and used only on the owner computers; the ADR (#343) records the details (offline storage between uses, backup holders). 3) Write docs/process/RESET_KEY_MANAGEMENT.md without secrets: holders, encrypted backups, rotation, how a revoked key id is delivered to installations through an update (#117), and the compromise plan. 4) Perform the ceremony and record who attended (Hamid and Saber).</t>
        </is>
      </c>
      <c r="J350" s="8" t="inlineStr">
        <is>
          <t>Done when: the reset key pair exists with a key id; the procedure document is approved; a test response signed with it verifies in the product and a response signed with a revoked key id is refused.</t>
        </is>
      </c>
      <c r="K350" s="8" t="n"/>
      <c r="L350" s="10" t="inlineStr">
        <is>
          <t>M3</t>
        </is>
      </c>
      <c r="M350" s="10" t="inlineStr">
        <is>
          <t>S</t>
        </is>
      </c>
      <c r="N350" s="10" t="inlineStr">
        <is>
          <t>Sales blocker</t>
        </is>
      </c>
      <c r="O350" s="10" t="inlineStr">
        <is>
          <t>#107 #343</t>
        </is>
      </c>
      <c r="P350" s="10" t="n"/>
      <c r="Q350" s="10" t="n"/>
      <c r="R350" s="8" t="inlineStr">
        <is>
          <t>Security &amp; access</t>
        </is>
      </c>
      <c r="S350" s="10" t="inlineStr">
        <is>
          <t>No</t>
        </is>
      </c>
      <c r="T350" s="10" t="n"/>
      <c r="U350" s="10" t="n"/>
    </row>
    <row r="351">
      <c r="A351" s="10" t="n">
        <v>350</v>
      </c>
      <c r="B351" s="10" t="inlineStr">
        <is>
          <t>Claude</t>
        </is>
      </c>
      <c r="C351" s="8" t="inlineStr">
        <is>
          <t>Support, Operations &amp; Documentation</t>
        </is>
      </c>
      <c r="D351" s="8" t="inlineStr">
        <is>
          <t>Development guideline for developers and AI agents (docs/guidelines, AGENTS.md) and enforcement layers</t>
        </is>
      </c>
      <c r="E351" s="10" t="inlineStr">
        <is>
          <t>Docs</t>
        </is>
      </c>
      <c r="F351" s="10" t="inlineStr">
        <is>
          <t>In Progress</t>
        </is>
      </c>
      <c r="G351" s="10" t="inlineStr">
        <is>
          <t>P1</t>
        </is>
      </c>
      <c r="H351" s="8" t="inlineStr">
        <is>
          <t>Rules, preferences and conventions were spread over the Instructions sheet, README, .claude/CLAUDE.md and per-person agent memory, so other developers' AI agents could not see them.</t>
        </is>
      </c>
      <c r="I351" s="8" t="inlineStr">
        <is>
          <t>Create docs/guidelines (task lifecycle, engineering standards, UI and components, libraries and research, platform direction, environment, knowledge maintenance, learnings log) with AGENTS.md as the entry point; add enforcement through CLAUDE.md, the pull request template and the tracker description line; bulk-update existing issues; two levels of done (In Review, Done).</t>
        </is>
      </c>
      <c r="J351" s="8" t="inlineStr">
        <is>
          <t>Done when: the guideline files exist in English and are merged; AGENTS.md and CLAUDE.md point to them; the PR template and plan-sync carry the checks; every existing issue carries the Step 0 line.</t>
        </is>
      </c>
      <c r="K351" s="8" t="n"/>
      <c r="L351" s="10" t="inlineStr">
        <is>
          <t>M0</t>
        </is>
      </c>
      <c r="M351" s="10" t="inlineStr">
        <is>
          <t>M</t>
        </is>
      </c>
      <c r="N351" s="10" t="inlineStr">
        <is>
          <t>Low</t>
        </is>
      </c>
      <c r="O351" s="10" t="n"/>
      <c r="P351" s="10" t="n"/>
      <c r="Q351" s="10" t="n"/>
      <c r="R351" s="8" t="inlineStr">
        <is>
          <t>Process &amp; documentation</t>
        </is>
      </c>
      <c r="S351" s="10" t="inlineStr">
        <is>
          <t>No</t>
        </is>
      </c>
      <c r="T351" s="10" t="n"/>
      <c r="U351" s="10" t="n"/>
    </row>
    <row r="352">
      <c r="A352" s="10" t="n">
        <v>351</v>
      </c>
      <c r="B352" s="10" t="inlineStr">
        <is>
          <t>Claude</t>
        </is>
      </c>
      <c r="C352" s="8" t="inlineStr">
        <is>
          <t>DevOps, Source Control &amp; Release Management</t>
        </is>
      </c>
      <c r="D352" s="8" t="inlineStr">
        <is>
          <t>CI and branch policy: pipelines run only on pushes to demo and staging (none on main or working branches), staging environment and subdomain, deployment README, dev branch retired</t>
        </is>
      </c>
      <c r="E352" s="10" t="inlineStr">
        <is>
          <t>Feature</t>
        </is>
      </c>
      <c r="F352" s="10" t="inlineStr">
        <is>
          <t>Done</t>
        </is>
      </c>
      <c r="G352" s="10" t="inlineStr">
        <is>
          <t>P0</t>
        </is>
      </c>
      <c r="H352" s="8" t="inlineStr">
        <is>
          <t>build.yml ran on every push and pull request to main/develop; there was no staging pipeline or environment; deployment steps (subdomains, databases, secrets, Actions, manual deploy and reset) were not written down in one place.</t>
        </is>
      </c>
      <c r="I352" s="8" t="inlineStr">
        <is>
          <t>1) Make build.yml manual only; no workflow triggers on main or working branches. 2) Turn the demo pipeline into one reusable deploy workflow used by deploy-demo.yml (push to demo) and deploy-staging.yml (push to staging), secrets named DEMO_* and STAGING_*. 3) Add env/staging.env and its secrets example, keep every env file key-identical. 4) Create the staging branch from main, dev and demo. 5) Write docs/deployment/DEPLOYMENT_README.md (subdomains, databases, secrets, Actions, manual deploy and manual reset). 6) Merge dev into main and remove dev.</t>
        </is>
      </c>
      <c r="J352" s="8" t="inlineStr">
        <is>
          <t>Done when: a push to main or to a working branch starts no workflow; a push to demo deploys the demo subdomain and a push to staging deploys the staging subdomain; the README lets a new person set up both environments; the staging branch contains main, dev and demo; dev no longer exists.</t>
        </is>
      </c>
      <c r="K352" s="8" t="inlineStr">
        <is>
          <t>2026-10-25: no workflow runs on main or working branches (build.yml manual); reusable deploy-site.yml called by deploy-demo.yml and deploy-staging.yml; env/staging files; staging branch created from main+dev+demo; dev merged into main and deleted; docs/deployment/DEPLOYMENT_README.md. Staging run 40208748572 green: HTTP 200, database up to date, upload of changed files only (33.8 MB). Fixes found on the way: stale migration-chain test, FTP protocol default, FTP precheck, health check with server logs.</t>
        </is>
      </c>
      <c r="L352" s="10" t="inlineStr">
        <is>
          <t>M2</t>
        </is>
      </c>
      <c r="M352" s="10" t="inlineStr">
        <is>
          <t>M</t>
        </is>
      </c>
      <c r="N352" s="10" t="inlineStr">
        <is>
          <t>High</t>
        </is>
      </c>
      <c r="O352" s="10" t="inlineStr">
        <is>
          <t>#295</t>
        </is>
      </c>
      <c r="P352" s="10" t="n"/>
      <c r="Q352" s="10" t="n"/>
      <c r="R352" s="8" t="inlineStr">
        <is>
          <t>DevOps &amp; release</t>
        </is>
      </c>
      <c r="S352" s="10" t="inlineStr">
        <is>
          <t>No</t>
        </is>
      </c>
      <c r="T352" s="10" t="n"/>
      <c r="U352" s="10" t="n"/>
    </row>
    <row r="353">
      <c r="A353" s="10" t="n">
        <v>352</v>
      </c>
      <c r="B353" s="10" t="inlineStr">
        <is>
          <t>Claude</t>
        </is>
      </c>
      <c r="C353" s="8" t="inlineStr">
        <is>
          <t>Online Demo</t>
        </is>
      </c>
      <c r="D353" s="8" t="inlineStr">
        <is>
          <t>Environment data package: export the current database as a versioned, hashed, importable package and import it from the admin UI (with the existing Excel importers alongside), role-protected</t>
        </is>
      </c>
      <c r="E353" s="10" t="inlineStr">
        <is>
          <t>Feature</t>
        </is>
      </c>
      <c r="F353" s="10" t="inlineStr">
        <is>
          <t>Not Started</t>
        </is>
      </c>
      <c r="G353" s="10" t="inlineStr">
        <is>
          <t>P0</t>
        </is>
      </c>
      <c r="H353" s="8" t="inlineStr">
        <is>
          <t>The application has no database export or import of its own data (only the Import Center for Excel files and the Database Update page for schema). Demo and staging need a repeatable way to capture and restore their data.</t>
        </is>
      </c>
      <c r="I353" s="8" t="inlineStr">
        <is>
          <t>Design first (ADR): logical export of every user table to a package (.pemsdata, zip) with a manifest: format version, product version, last applied migration, schema fingerprint, per-table row counts and SHA-256, package hash; import = precheck (hash, format, schema compatibility) then replace. Admin UI page for the proper role/permission only; the same page links to the Import Center for Excel imports. Disabled by setting outside demo/staging unless the owner enables it. Audit every export and import.</t>
        </is>
      </c>
      <c r="J353" s="8" t="inlineStr">
        <is>
          <t>Done when: an authorised administrator exports a package from the UI and re-imports it into an empty or existing database of the same version; a tampered or incompatible package is rejected with the reason; every action is audited; tests cover precheck, hash, round trip and the permission.</t>
        </is>
      </c>
      <c r="K353" s="8" t="n"/>
      <c r="L353" s="10" t="inlineStr">
        <is>
          <t>M3</t>
        </is>
      </c>
      <c r="M353" s="10" t="inlineStr">
        <is>
          <t>XL</t>
        </is>
      </c>
      <c r="N353" s="10" t="inlineStr">
        <is>
          <t>High</t>
        </is>
      </c>
      <c r="O353" s="10" t="inlineStr">
        <is>
          <t>#310 #245</t>
        </is>
      </c>
      <c r="P353" s="10" t="n"/>
      <c r="Q353" s="10" t="n"/>
      <c r="R353" s="8" t="inlineStr">
        <is>
          <t>Online demo</t>
        </is>
      </c>
      <c r="S353" s="10" t="inlineStr">
        <is>
          <t>No</t>
        </is>
      </c>
      <c r="T353" s="10" t="n"/>
      <c r="U353" s="10" t="n"/>
    </row>
    <row r="354">
      <c r="A354" s="10" t="n">
        <v>353</v>
      </c>
      <c r="B354" s="10" t="inlineStr">
        <is>
          <t>Claude</t>
        </is>
      </c>
      <c r="C354" s="8" t="inlineStr">
        <is>
          <t>Online Demo</t>
        </is>
      </c>
      <c r="D354" s="8" t="inlineStr">
        <is>
          <t>Reset on deploy for demo and staging: a baseline data package shipped with the branch is applied after a version-compatibility precheck, from the UI or automatically when a new baseline arrives</t>
        </is>
      </c>
      <c r="E354" s="10" t="inlineStr">
        <is>
          <t>Feature</t>
        </is>
      </c>
      <c r="F354" s="10" t="inlineStr">
        <is>
          <t>Not Started</t>
        </is>
      </c>
      <c r="G354" s="10" t="inlineStr">
        <is>
          <t>P0</t>
        </is>
      </c>
      <c r="H354" s="8" t="inlineStr">
        <is>
          <t>Row #141 asks for a nightly and an admin reset but nothing exists; a push to demo or staging updates code and schema only, data is never reset.</t>
        </is>
      </c>
      <c r="I354" s="8" t="inlineStr">
        <is>
          <t>Use the package from #352. A baseline package committed to the demo/staging overlay is uploaded by the pipeline; on first start after deploy the app compares the baseline hash with the one recorded in the database, runs the precheck and, if it passes and the environment setting allows it, resets the database to the baseline; otherwise it reports why in the admin UI. Admin UI offers the same reset by upload. Owners and developers only.</t>
        </is>
      </c>
      <c r="J354" s="8" t="inlineStr">
        <is>
          <t>Done when: pushing a new baseline to demo (and to staging) resets that environment once; an incompatible baseline leaves data untouched and shows the reason; a manual reset by upload works in the UI; tests cover both paths.</t>
        </is>
      </c>
      <c r="K354" s="8" t="n"/>
      <c r="L354" s="10" t="inlineStr">
        <is>
          <t>M3</t>
        </is>
      </c>
      <c r="M354" s="10" t="inlineStr">
        <is>
          <t>L</t>
        </is>
      </c>
      <c r="N354" s="10" t="inlineStr">
        <is>
          <t>High</t>
        </is>
      </c>
      <c r="O354" s="10" t="inlineStr">
        <is>
          <t>#352 #141</t>
        </is>
      </c>
      <c r="P354" s="10" t="n"/>
      <c r="Q354" s="10" t="n"/>
      <c r="R354" s="8" t="inlineStr">
        <is>
          <t>Online demo</t>
        </is>
      </c>
      <c r="S354" s="10" t="inlineStr">
        <is>
          <t>No</t>
        </is>
      </c>
      <c r="T354" s="10" t="n"/>
      <c r="U354" s="10" t="n"/>
    </row>
    <row r="355">
      <c r="A355" s="10" t="n">
        <v>354</v>
      </c>
      <c r="B355" s="10" t="inlineStr">
        <is>
          <t>Claude</t>
        </is>
      </c>
      <c r="C355" s="8" t="inlineStr">
        <is>
          <t>DevOps, Source Control &amp; Release Management</t>
        </is>
      </c>
      <c r="D355" s="8" t="inlineStr">
        <is>
          <t>Move the EF Core migrations into their own assembly (PEMS.Migrations) so PEMS.Persistence.dll changes, and is deployed, only when its own code changes</t>
        </is>
      </c>
      <c r="E355" s="10" t="inlineStr">
        <is>
          <t>Tech Debt</t>
        </is>
      </c>
      <c r="F355" s="10" t="inlineStr">
        <is>
          <t>Done</t>
        </is>
      </c>
      <c r="G355" s="10" t="inlineStr">
        <is>
          <t>P1</t>
        </is>
      </c>
      <c r="H355" s="8" t="inlineStr">
        <is>
          <t>PEMS.Persistence.dll is 29 MB, mostly ~120 migrations with their designers and the model snapshot, so every change to a data-layer service re-uploads all of it to demo and staging (difference upload).</t>
        </is>
      </c>
      <c r="I355" s="8" t="inlineStr">
        <is>
          <t>Follow the EF Core guidance for a separate migrations project: new project PEMS.Migrations (references PEMS.Persistence) holds the migration files, the snapshot and the design-time factory; the context defaults its MigrationsAssembly to it so hosts, tests and tools find the migrations; Web and Tests reference the project; update the CI drift gate, deploy script, Dockerfile, solution and every documented dotnet ef command.</t>
        </is>
      </c>
      <c r="J355" s="8" t="inlineStr">
        <is>
          <t>Done when: dotnet build and the migration/deployment tests pass; the drift gate runs with --project PEMS.Migrations; PEMS.Persistence.dll no longer contains migrations and a change in a Persistence service leaves PEMS.Migrations.dll byte-identical; docs and guideline use the new command.</t>
        </is>
      </c>
      <c r="K355" s="8" t="inlineStr">
        <is>
          <t>2026-10-25: migrations moved to PEMS.Migrations (239 files git-mv'd); PEMS.Persistence.dll 29 MB -&gt; 6 MB, PEMS.Migrations.dll 23 MB stays byte-identical when only data-layer code changes (verified with DebugType=none); drift gate, deploy.ps1, Dockerfile, docs updated; migration tests 10/10 on a real SQL Server and 65/65 database-free tests pass.</t>
        </is>
      </c>
      <c r="L355" s="10" t="inlineStr">
        <is>
          <t>M2</t>
        </is>
      </c>
      <c r="M355" s="10" t="inlineStr">
        <is>
          <t>M</t>
        </is>
      </c>
      <c r="N355" s="10" t="inlineStr">
        <is>
          <t>Medium</t>
        </is>
      </c>
      <c r="O355" s="10" t="inlineStr">
        <is>
          <t>#351</t>
        </is>
      </c>
      <c r="P355" s="10" t="n"/>
      <c r="Q355" s="10" t="n"/>
      <c r="R355" s="8" t="inlineStr">
        <is>
          <t>DevOps &amp; release</t>
        </is>
      </c>
      <c r="S355" s="10" t="inlineStr">
        <is>
          <t>No</t>
        </is>
      </c>
      <c r="T355" s="10" t="n"/>
      <c r="U355" s="10" t="n"/>
    </row>
    <row r="356">
      <c r="A356" s="10" t="n">
        <v>355</v>
      </c>
      <c r="B356" s="10" t="inlineStr">
        <is>
          <t>Claude</t>
        </is>
      </c>
      <c r="C356" s="8" t="inlineStr">
        <is>
          <t>Metadata Core &amp; Dynamic Platform</t>
        </is>
      </c>
      <c r="D356" s="8" t="inlineStr">
        <is>
          <t>Field validation catalog: for every field type the constraints (required, range, length, decimals, size, count, pattern, date window, membership, uniqueness), their defaults, hard versus advisory, and the stored validation object</t>
        </is>
      </c>
      <c r="E356" s="10" t="inlineStr">
        <is>
          <t>Research</t>
        </is>
      </c>
      <c r="F356" s="10" t="inlineStr">
        <is>
          <t>Not Started</t>
        </is>
      </c>
      <c r="G356" s="10" t="inlineStr">
        <is>
          <t>P0</t>
        </is>
      </c>
      <c r="H356" s="8" t="inlineStr">
        <is>
          <t>Validation in PEMS today is thin and scattered: 260 entities but only 26 [Required] and 45 [MaxLength] attributes in 28 files, no [Range], [StringLength] or regular-expression rule anywhere, no validation library, ModelState.IsValid is checked in 8 controllers, and 64 of 65 plain text inputs in the views have no maxlength. Dynamic forms need one declarative description of the rules per field type before any engine or UI is built. Rule-builder row #46 covers user-defined rules; this row defines the built-in constraints every type carries. 2026-10-28 plan audit: dependency/milestone corrected (see docs/audits/2026-10-28-dynamic-restful-audit.md).</t>
        </is>
      </c>
      <c r="I356" s="8" t="inlineStr">
        <is>
          <t>1) For every type in #11 list its constraints. Text: required, min/max length, pattern (named presets: code, e-mail, phone, national id), allowed characters, allow digits. Number/decimal/money: min, max, strict range, step, integer only, allow negative, allow zero, scale and precision. Date/date-time: min/max date, relative window (not in the past, not in the future, within N days), Jalali-aware, time zone. Boolean: must be true. Select/multi-select: membership, min/max selected. Lookup/user: existence, active only, scope. File/image: max size per file and in total, count, extensions, MIME, dimensions. Rich text: max length of the text after sanitisation. JSON: schema. Computed/auto-number: read-only. 2) For each constraint: default, hard (blocks the save) or advisory (hint only), message key (fa/en) and parameters. 3) Define the versioned validation object stored in the metadata registry and which constraints the physical column must also enforce (length, precision, scale) so metadata and storage cannot disagree. 4) Cross-field and semantic rules (end after start, total equals sum) use the rule builder of #46 and the expression engine of #15. 5) Persian/Arabic digit normalisation and decimal separator rules (see #364). 6) Write docs/architecture/FIELD_VALIDATION_CATALOG.md and an ADR. Best-practice sources to apply: OWASP Input Validation Cheat Sheet (allowlist, syntactic and semantic checks, server-side authority, canonicalisation, limits before parsing, safe regular expressions); Microsoft Learn ASP.NET Core model validation; WCAG 2.2 success criteria 3.3.1 and 3.3.3; RFC 9457 problem details.</t>
        </is>
      </c>
      <c r="J356" s="8" t="inlineStr">
        <is>
          <t>Done when: the catalog lists every field type of #11 with its constraints, defaults, hard or advisory flag and message keys; the rule that derives column size and precision from the constraints is decided; the PM reviewed it; rows #356-#365 reference it.</t>
        </is>
      </c>
      <c r="K356" s="8" t="n"/>
      <c r="L356" s="10" t="inlineStr">
        <is>
          <t>M1</t>
        </is>
      </c>
      <c r="M356" s="10" t="inlineStr">
        <is>
          <t>M</t>
        </is>
      </c>
      <c r="N356" s="10" t="inlineStr">
        <is>
          <t>High</t>
        </is>
      </c>
      <c r="O356" s="10" t="inlineStr">
        <is>
          <t>#11 #338</t>
        </is>
      </c>
      <c r="P356" s="10" t="inlineStr">
        <is>
          <t>#10 #11 #12</t>
        </is>
      </c>
      <c r="Q356" s="10" t="n"/>
      <c r="R356" s="8" t="inlineStr">
        <is>
          <t>Dynamic data core</t>
        </is>
      </c>
      <c r="S356" s="10" t="inlineStr">
        <is>
          <t>No</t>
        </is>
      </c>
      <c r="T356" s="10" t="n"/>
      <c r="U356" s="10" t="n"/>
    </row>
    <row r="357">
      <c r="A357" s="10" t="n">
        <v>356</v>
      </c>
      <c r="B357" s="10" t="inlineStr">
        <is>
          <t>Claude</t>
        </is>
      </c>
      <c r="C357" s="8" t="inlineStr">
        <is>
          <t>Metadata Core &amp; Dynamic Platform</t>
        </is>
      </c>
      <c r="D357" s="8" t="inlineStr">
        <is>
          <t>Server-side validation engine: one type-dispatched validator used by every write path (forms, API, import, bulk, static modules), full list of field errors, create versus partial-update modes, localised messages</t>
        </is>
      </c>
      <c r="E357" s="10" t="inlineStr">
        <is>
          <t>Feature</t>
        </is>
      </c>
      <c r="F357" s="10" t="inlineStr">
        <is>
          <t>Not Started</t>
        </is>
      </c>
      <c r="G357" s="10" t="inlineStr">
        <is>
          <t>P0</t>
        </is>
      </c>
      <c r="H357" s="8" t="inlineStr">
        <is>
          <t>A direct API call, an import or a bulk write bypasses whatever the page checks, and PEMS has no single validator to call. Validation must be authoritative on the server; the client only improves feedback. 2026-10-28: a JSON Schema validator (LateApexEarlySpeed.Json.Schema) already validates component options in PEMS.UI (#433); reuse it for definition payloads (ADR-0010).</t>
        </is>
      </c>
      <c r="I357" s="8" t="inlineStr">
        <is>
          <t>1) Check libraries first (FluentValidation, JSON-schema validators) and record the licence in row L_OSS; custom code only with a stated reason. 2) Implement a validator in the engine layer with a dispatch table by field type (a new constraint is a new case, never a second parallel function): input = field descriptors + record + mode; create requires every required field, update checks only the keys present so an omitted key never means 'clear it'. Whitespace-only text counts as empty for required. 3) Return all violations (field, constraint code, message key, parameters), not only the first, capped by a setting (ASP.NET Core defaults to 200 errors and depth 32; set explicit limits). 4) Call it from one place in the generic CRUD pipeline and from static modules through an adapter (DataAnnotations and IValidatableObject keep working). 5) Messages resolved through the localisation resources (fa/en). 6) Validation never replaces authorisation, parameterised queries, output encoding or HTML sanitisation (OWASP). 7) Unit tests per type and constraint. Best-practice sources to apply: OWASP Input Validation Cheat Sheet (allowlist, syntactic and semantic checks, server-side authority, canonicalisation, limits before parsing, safe regular expressions); Microsoft Learn ASP.NET Core model validation; WCAG 2.2 success criteria 3.3.1 and 3.3.3; RFC 9457 problem details.</t>
        </is>
      </c>
      <c r="J357" s="8" t="inlineStr">
        <is>
          <t>Done when: every write path of the generic engine calls the validator; a request that bypasses the UI is rejected with the full error list; partial updates never clear omitted fields; messages come in the user's language; the error and depth limits are settings; tests cover each type.</t>
        </is>
      </c>
      <c r="K357" s="8" t="n"/>
      <c r="L357" s="10" t="inlineStr">
        <is>
          <t>M1</t>
        </is>
      </c>
      <c r="M357" s="10" t="inlineStr">
        <is>
          <t>L</t>
        </is>
      </c>
      <c r="N357" s="10" t="inlineStr">
        <is>
          <t>High</t>
        </is>
      </c>
      <c r="O357" s="10" t="inlineStr">
        <is>
          <t>#355 #15</t>
        </is>
      </c>
      <c r="P357" s="10" t="inlineStr">
        <is>
          <t>#10 #11 #12</t>
        </is>
      </c>
      <c r="Q357" s="10" t="n"/>
      <c r="R357" s="8" t="inlineStr">
        <is>
          <t>Dynamic data core</t>
        </is>
      </c>
      <c r="S357" s="10" t="inlineStr">
        <is>
          <t>No</t>
        </is>
      </c>
      <c r="T357" s="10" t="n"/>
      <c r="U357" s="10" t="n"/>
    </row>
    <row r="358">
      <c r="A358" s="10" t="n">
        <v>357</v>
      </c>
      <c r="B358" s="10" t="inlineStr">
        <is>
          <t>Claude</t>
        </is>
      </c>
      <c r="C358" s="8" t="inlineStr">
        <is>
          <t>Component Library &amp; Design System</t>
        </is>
      </c>
      <c r="D358" s="8" t="inlineStr">
        <is>
          <t>Client input shaping and accessible inline validation from the same constraint descriptor: maxlength/min/max/step/pattern attributes, keystroke sanitising (Persian digits, decimals, thousands separators, RTL), counters, error text with suggestion, focus first error, advisory hints</t>
        </is>
      </c>
      <c r="E358" s="10" t="inlineStr">
        <is>
          <t>Feature</t>
        </is>
      </c>
      <c r="F358" s="10" t="inlineStr">
        <is>
          <t>Not Started</t>
        </is>
      </c>
      <c r="G358" s="10" t="inlineStr">
        <is>
          <t>P1</t>
        </is>
      </c>
      <c r="H358" s="8" t="inlineStr">
        <is>
          <t>Text and number inputs are hand-written per page (2,587 hand-written inputs in the audit) and carry no constraints. The component library needs one way to turn the constraint descriptor into HTML attributes, typing behaviour and accessible error messages.</t>
        </is>
      </c>
      <c r="I358" s="8" t="inlineStr">
        <is>
          <t>1) The field components of #322 render the descriptor into HTML attributes (maxlength, min, max, step, pattern, accept, inputmode). 2) A small shared script shapes typing only (not a replacement for validation): normalise Persian/Arabic digits to ASCII, keep one decimal separator, cut decimals to the scale, show thousands separators without breaking RTL caret movement, strip disallowed characters. 3) Errors follow WCAG 2.2: text that identifies the field and says how to fix it (3.3.1, 3.3.3), not colour alone, aria-invalid on the field, message linked with aria-describedby, a summary with role alert, focus moved to the first invalid field. 4) Character counter and non-blocking hints. 5) No per-page script. 6) One shared JSON fixture file is run through the server validator and the script so both agree (parity test, see #361). Best-practice sources to apply: OWASP Input Validation Cheat Sheet (allowlist, syntactic and semantic checks, server-side authority, canonicalisation, limits before parsing, safe regular expressions); Microsoft Learn ASP.NET Core model validation; WCAG 2.2 success criteria 3.3.1 and 3.3.3; RFC 9457 problem details.</t>
        </is>
      </c>
      <c r="J358" s="8" t="inlineStr">
        <is>
          <t>Done when: a field built from metadata shows the right attributes and shapes typing for every type in the catalog; error text, aria attributes and focus pass an automated accessibility check (axe) and a screen-reader spot check; the parity fixtures pass on server and script; works in RTL and LTR.</t>
        </is>
      </c>
      <c r="K358" s="8" t="n"/>
      <c r="L358" s="10" t="inlineStr">
        <is>
          <t>M2</t>
        </is>
      </c>
      <c r="M358" s="10" t="inlineStr">
        <is>
          <t>L</t>
        </is>
      </c>
      <c r="N358" s="10" t="inlineStr">
        <is>
          <t>High</t>
        </is>
      </c>
      <c r="O358" s="10" t="inlineStr">
        <is>
          <t>#322 #356</t>
        </is>
      </c>
      <c r="P358" s="10" t="inlineStr">
        <is>
          <t>#10 #11</t>
        </is>
      </c>
      <c r="Q358" s="10" t="n"/>
      <c r="R358" s="8" t="inlineStr">
        <is>
          <t>UI component library</t>
        </is>
      </c>
      <c r="S358" s="10" t="inlineStr">
        <is>
          <t>No</t>
        </is>
      </c>
      <c r="T358" s="10" t="n"/>
      <c r="U358" s="10" t="n"/>
    </row>
    <row r="359">
      <c r="A359" s="10" t="n">
        <v>358</v>
      </c>
      <c r="B359" s="10" t="inlineStr">
        <is>
          <t>Claude</t>
        </is>
      </c>
      <c r="C359" s="8" t="inlineStr">
        <is>
          <t>Access, RLS, Sessions &amp; Security</t>
        </is>
      </c>
      <c r="D359" s="8" t="inlineStr">
        <is>
          <t>File and media field validation: per-field limits for size, total size, count, extensions, MIME with content check and image dimensions, aligned with the host request limit</t>
        </is>
      </c>
      <c r="E359" s="10" t="inlineStr">
        <is>
          <t>Feature</t>
        </is>
      </c>
      <c r="F359" s="10" t="inlineStr">
        <is>
          <t>Not Started</t>
        </is>
      </c>
      <c r="G359" s="10" t="inlineStr">
        <is>
          <t>P1</t>
        </is>
      </c>
      <c r="H359" s="8" t="inlineStr">
        <is>
          <t>Request-size limits exist in 7 files without one source of truth, so the page, the application and the web host can disagree about the allowed size and the user sees a server error instead of a message. OWASP: treat file names and content types as untrusted; an allowed extension does not prove safe content.</t>
        </is>
      </c>
      <c r="I359" s="8" t="inlineStr">
        <is>
          <t>1) Per-field settings: max size per file, max total size, max count, extension allowlist, MIME allowlist, image min/max width and height. 2) Server check on the upload pipeline of #183: size while streaming, extension, MIME and magic bytes (never trust the browser MIME), image dimensions, safe stored file name. 3) Derive the Kestrel/IIS request limit from the largest configured field limit (one setting in env/*.env) and show the same limit in the UI before upload. 4) Clear localised messages. 5) Per-entity or per-user quota hook.</t>
        </is>
      </c>
      <c r="J359" s="8" t="inlineStr">
        <is>
          <t>Done when: a file over the limit, with a wrong extension or a mismatching content type is rejected with a clear message at the UI and at the server; the host limit follows the setting; tests cover size boundary, wrong extension and a renamed file.</t>
        </is>
      </c>
      <c r="K359" s="8" t="n"/>
      <c r="L359" s="10" t="inlineStr">
        <is>
          <t>M2</t>
        </is>
      </c>
      <c r="M359" s="10" t="inlineStr">
        <is>
          <t>M</t>
        </is>
      </c>
      <c r="N359" s="10" t="inlineStr">
        <is>
          <t>High</t>
        </is>
      </c>
      <c r="O359" s="10" t="inlineStr">
        <is>
          <t>#183 #355</t>
        </is>
      </c>
      <c r="P359" s="10" t="n"/>
      <c r="Q359" s="10" t="n"/>
      <c r="R359" s="8" t="inlineStr">
        <is>
          <t>Security &amp; access</t>
        </is>
      </c>
      <c r="S359" s="10" t="inlineStr">
        <is>
          <t>No</t>
        </is>
      </c>
      <c r="T359" s="10" t="n"/>
      <c r="U359" s="10" t="n"/>
    </row>
    <row r="360">
      <c r="A360" s="10" t="n">
        <v>359</v>
      </c>
      <c r="B360" s="10" t="inlineStr">
        <is>
          <t>Claude</t>
        </is>
      </c>
      <c r="C360" s="8" t="inlineStr">
        <is>
          <t>Quality, Testing &amp; Performance</t>
        </is>
      </c>
      <c r="D360" s="8" t="inlineStr">
        <is>
          <t>Audit and harden validation of the existing static modules: string lengths, decimal precision and scale, numeric ranges, controllers without model validation, inputs without constraints, with a CI ratchet</t>
        </is>
      </c>
      <c r="E360" s="10" t="inlineStr">
        <is>
          <t>Tech Debt</t>
        </is>
      </c>
      <c r="F360" s="10" t="inlineStr">
        <is>
          <t>Not Started</t>
        </is>
      </c>
      <c r="G360" s="10" t="inlineStr">
        <is>
          <t>P1</t>
        </is>
      </c>
      <c r="H360" s="8" t="inlineStr">
        <is>
          <t>Validation in PEMS today is thin and scattered: 260 entities but only 26 [Required] and 45 [MaxLength] attributes in 28 files, no [Range], [StringLength] or regular-expression rule anywhere, no validation library, ModelState.IsValid is checked in 8 controllers, and 64 of 65 plain text inputs in the views have no maxlength. 136 decimal properties exist but only 110 precision mappings, and the application logs 'No store type was specified for the decimal property' at start (for example SparePart.QuantityOnHand, ReorderPoint, WorkOrder.DowntimeHours), which silently truncates values.</t>
        </is>
      </c>
      <c r="I360" s="8" t="inlineStr">
        <is>
          <t>1) Write an audit script (extend tools/UiAudit or a test) listing: string properties without a maximum length or with nvarchar(max) that should be bounded; decimal properties without explicit precision and scale; numeric and date properties that need a range (quantities, percentages, years); controllers that write without ModelState or a validator; inputs in views without maxlength/min/max/step/inputmode. 2) Fix the highest-risk 30 first (money, quantities, identifiers, document numbers) with a migration where the column changes. 3) Add a test that fails when a new string property has no maximum length (unless marked unbounded) or a new decimal has no precision. 4) Report counts before and after in docs/audits.</t>
        </is>
      </c>
      <c r="J360" s="8" t="inlineStr">
        <is>
          <t>Done when: the audit report exists with counts; every decimal has explicit precision and the start-up warnings are gone; the 30 highest-risk fields are fixed; the ratchet test is in CI.</t>
        </is>
      </c>
      <c r="K360" s="8" t="n"/>
      <c r="L360" s="10" t="inlineStr">
        <is>
          <t>M2</t>
        </is>
      </c>
      <c r="M360" s="10" t="inlineStr">
        <is>
          <t>L</t>
        </is>
      </c>
      <c r="N360" s="10" t="inlineStr">
        <is>
          <t>High</t>
        </is>
      </c>
      <c r="O360" s="10" t="inlineStr">
        <is>
          <t>#355</t>
        </is>
      </c>
      <c r="P360" s="10" t="inlineStr">
        <is>
          <t>#11</t>
        </is>
      </c>
      <c r="Q360" s="10" t="n"/>
      <c r="R360" s="8" t="inlineStr">
        <is>
          <t>Quality &amp; testing</t>
        </is>
      </c>
      <c r="S360" s="10" t="inlineStr">
        <is>
          <t>No</t>
        </is>
      </c>
      <c r="T360" s="10" t="n"/>
      <c r="U360" s="10" t="n"/>
    </row>
    <row r="361">
      <c r="A361" s="10" t="n">
        <v>360</v>
      </c>
      <c r="B361" s="10" t="inlineStr">
        <is>
          <t>Claude</t>
        </is>
      </c>
      <c r="C361" s="8" t="inlineStr">
        <is>
          <t>Metadata Core &amp; Dynamic Platform</t>
        </is>
      </c>
      <c r="D361" s="8" t="inlineStr">
        <is>
          <t>Import and bulk paths use the same validation: row-level error report, partial-update semantics, defaults never NULL, malformed identifiers rejected as validation errors, size and row limits</t>
        </is>
      </c>
      <c r="E361" s="10" t="inlineStr">
        <is>
          <t>Feature</t>
        </is>
      </c>
      <c r="F361" s="10" t="inlineStr">
        <is>
          <t>Not Started</t>
        </is>
      </c>
      <c r="G361" s="10" t="inlineStr">
        <is>
          <t>P1</t>
        </is>
      </c>
      <c r="H361" s="8" t="inlineStr">
        <is>
          <t>Import Center has 11 imports with their own checks. A blank cell in an update row must leave the value alone, a malformed identifier must never reach the database as a server error, and a default value must never be saved as NULL by a bulk path. 2026-10-28 plan audit: dependency/milestone corrected (see docs/audits/2026-10-28-dynamic-restful-audit.md).</t>
        </is>
      </c>
      <c r="I361" s="8" t="inlineStr">
        <is>
          <t>1) The import designer (#25) and the Import Center call the validator of #356 per row. 2) Row-level error report (row, column, message, value) and a preview before commit. 3) Update mode: a blank cell leaves the stored value unchanged and 'required' applies only to columns present in the file. 4) Omitted columns with a default get the default (links to #26). 5) Reject malformed GUIDs and numeric keys as validation errors. 6) Limits for file size, rows and columns as settings (OWASP: cap sizes before parsing). 7) Persian digits and Jalali dates normalised (#364). 8) Test with 50,000 rows and mixed errors.</t>
        </is>
      </c>
      <c r="J361" s="8" t="inlineStr">
        <is>
          <t>Done when: a 50,000-row file with errors produces a complete row-level report and commits nothing, or only the valid rows if the user chooses; partial updates never clear data; a malformed identifier gives a message, not a server error.</t>
        </is>
      </c>
      <c r="K361" s="8" t="n"/>
      <c r="L361" s="10" t="inlineStr">
        <is>
          <t>M4</t>
        </is>
      </c>
      <c r="M361" s="10" t="inlineStr">
        <is>
          <t>M</t>
        </is>
      </c>
      <c r="N361" s="10" t="inlineStr">
        <is>
          <t>High</t>
        </is>
      </c>
      <c r="O361" s="10" t="inlineStr">
        <is>
          <t>#356 #25</t>
        </is>
      </c>
      <c r="P361" s="10" t="inlineStr">
        <is>
          <t>#13 #14 #243</t>
        </is>
      </c>
      <c r="Q361" s="10" t="n"/>
      <c r="R361" s="8" t="inlineStr">
        <is>
          <t>Dynamic data core</t>
        </is>
      </c>
      <c r="S361" s="10" t="inlineStr">
        <is>
          <t>No</t>
        </is>
      </c>
      <c r="T361" s="10" t="n"/>
      <c r="U361" s="10" t="n"/>
    </row>
    <row r="362">
      <c r="A362" s="10" t="n">
        <v>361</v>
      </c>
      <c r="B362" s="10" t="inlineStr">
        <is>
          <t>Claude</t>
        </is>
      </c>
      <c r="C362" s="8" t="inlineStr">
        <is>
          <t>Quality, Testing &amp; Performance</t>
        </is>
      </c>
      <c r="D362" s="8" t="inlineStr">
        <is>
          <t>Validation test matrix and client/server parity suite: type by constraint by boundary, run on the server and in the browser script from the same fixtures</t>
        </is>
      </c>
      <c r="E362" s="10" t="inlineStr">
        <is>
          <t>Tech Debt</t>
        </is>
      </c>
      <c r="F362" s="10" t="inlineStr">
        <is>
          <t>Not Started</t>
        </is>
      </c>
      <c r="G362" s="10" t="inlineStr">
        <is>
          <t>P1</t>
        </is>
      </c>
      <c r="H362" s="8" t="inlineStr">
        <is>
          <t>A rule that the page and the server interpret differently is worse than no rule. No automated check exists today that proves they agree.</t>
        </is>
      </c>
      <c r="I362" s="8" t="inlineStr">
        <is>
          <t>1) Data-driven fixtures: for each type and constraint the values min-1, min, max, max+1, zero, negative zero, very large numbers, scale+1, empty versus null versus whitespace, Persian and Arabic digits, mixed scripts, RTL marks and zero-width characters, characters outside the BMP counted by length. 2) Server test runs every fixture through the validator. 3) A browser-script test runs the same file through the client interpreter. 4) API-level tests prove a request that skips the UI is rejected. 5) CI runs both.</t>
        </is>
      </c>
      <c r="J362" s="8" t="inlineStr">
        <is>
          <t>Done when: the fixture file is the single source of truth, server and script give identical results for every case, and a deliberately broken rule fails the build.</t>
        </is>
      </c>
      <c r="K362" s="8" t="n"/>
      <c r="L362" s="10" t="inlineStr">
        <is>
          <t>M3</t>
        </is>
      </c>
      <c r="M362" s="10" t="inlineStr">
        <is>
          <t>M</t>
        </is>
      </c>
      <c r="N362" s="10" t="inlineStr">
        <is>
          <t>High</t>
        </is>
      </c>
      <c r="O362" s="10" t="inlineStr">
        <is>
          <t>#356 #357</t>
        </is>
      </c>
      <c r="P362" s="10" t="inlineStr">
        <is>
          <t>#20 #117</t>
        </is>
      </c>
      <c r="Q362" s="10" t="n"/>
      <c r="R362" s="8" t="inlineStr">
        <is>
          <t>Quality &amp; testing</t>
        </is>
      </c>
      <c r="S362" s="10" t="inlineStr">
        <is>
          <t>No</t>
        </is>
      </c>
      <c r="T362" s="10" t="n"/>
      <c r="U362" s="10" t="n"/>
    </row>
    <row r="363">
      <c r="A363" s="10" t="n">
        <v>362</v>
      </c>
      <c r="B363" s="10" t="inlineStr">
        <is>
          <t>Claude</t>
        </is>
      </c>
      <c r="C363" s="8" t="inlineStr">
        <is>
          <t>Metadata Core &amp; Dynamic Platform</t>
        </is>
      </c>
      <c r="D363" s="8" t="inlineStr">
        <is>
          <t>Field statistics endpoint and non-blocking hints: count, min, max, average, standard deviation and empty rate of a numeric field to suggest ranges in the designer and to flag unusual values on forms</t>
        </is>
      </c>
      <c r="E363" s="10" t="inlineStr">
        <is>
          <t>Feature</t>
        </is>
      </c>
      <c r="F363" s="10" t="inlineStr">
        <is>
          <t>Not Started</t>
        </is>
      </c>
      <c r="G363" s="10" t="inlineStr">
        <is>
          <t>P2</t>
        </is>
      </c>
      <c r="H363" s="8" t="inlineStr">
        <is>
          <t>Choosing sensible min and max values blind is error-prone; the real data of the field is the best suggestion. Advisory hints must never block a save.</t>
        </is>
      </c>
      <c r="I363" s="8" t="inlineStr">
        <is>
          <t>1) Endpoint returning count, min, max, average, standard deviation and empty rate for one numeric field, filtered by the central row-level security (#178) and cached. 2) Form designer shows the figures next to the range inputs and offers 'use observed range'. 3) The form shows a non-blocking 'unusual value' hint when a value is far from the average in units of the standard deviation. 4) Setting to turn hints off per field.</t>
        </is>
      </c>
      <c r="J363" s="8" t="inlineStr">
        <is>
          <t>Done when: the designer shows live statistics and can fill the range; an unusual value shows a hint but saves; a user cannot see statistics of records they cannot access.</t>
        </is>
      </c>
      <c r="K363" s="8" t="n"/>
      <c r="L363" s="10" t="inlineStr">
        <is>
          <t>M4</t>
        </is>
      </c>
      <c r="M363" s="10" t="inlineStr">
        <is>
          <t>M</t>
        </is>
      </c>
      <c r="N363" s="10" t="inlineStr">
        <is>
          <t>High</t>
        </is>
      </c>
      <c r="O363" s="10" t="inlineStr">
        <is>
          <t>#356</t>
        </is>
      </c>
      <c r="P363" s="10" t="inlineStr">
        <is>
          <t>#10</t>
        </is>
      </c>
      <c r="Q363" s="10" t="n"/>
      <c r="R363" s="8" t="inlineStr">
        <is>
          <t>Dynamic data core</t>
        </is>
      </c>
      <c r="S363" s="10" t="inlineStr">
        <is>
          <t>No</t>
        </is>
      </c>
      <c r="T363" s="10" t="n"/>
      <c r="U363" s="10" t="n"/>
    </row>
    <row r="364">
      <c r="A364" s="10" t="n">
        <v>363</v>
      </c>
      <c r="B364" s="10" t="inlineStr">
        <is>
          <t>Claude</t>
        </is>
      </c>
      <c r="C364" s="8" t="inlineStr">
        <is>
          <t>Metadata Core &amp; Dynamic Platform</t>
        </is>
      </c>
      <c r="D364" s="8" t="inlineStr">
        <is>
          <t>Validation error contract: RFC 9457 problem details with a list of field errors (pointer, constraint code, message key, parameters), the same shape for API, forms and import, with stable codes and error limits</t>
        </is>
      </c>
      <c r="E364" s="10" t="inlineStr">
        <is>
          <t>Feature</t>
        </is>
      </c>
      <c r="F364" s="10" t="inlineStr">
        <is>
          <t>Not Started</t>
        </is>
      </c>
      <c r="G364" s="10" t="inlineStr">
        <is>
          <t>P0</t>
        </is>
      </c>
      <c r="H364" s="8" t="inlineStr">
        <is>
          <t>Each module reports errors in its own way (a page summary, a thrown message, a flash text), so clients and the form components cannot render or test them uniformly. RFC 9457 defines application/problem+json and leaves the validation list to an extension member; ASP.NET Core can produce problem details natively. 2026-10-28: follows the REST API standard ADR-0009 / guideline chapter 08 (#431).</t>
        </is>
      </c>
      <c r="I364" s="8" t="inlineStr">
        <is>
          <t>1) Define the response: status 400 or 422, type, title, detail and an 'errors' array where each item has field (JSON pointer), constraint code (for example min, max, maxLength, pattern, required, notUnique), message key, parameters and the localised text. 2) Implement it once (AddProblemDetails and an exception/validation filter) and use it for the generic engine, the API and import. 3) Stable constraint codes documented in the catalog (#355) so UI and tests depend on codes, not on text. 4) Settings for the maximum number of errors and the maximum nesting depth. 5) The form components of #357 and the import report of #360 render this one shape. 6) Never leak internal details, stack traces or SQL in the response.</t>
        </is>
      </c>
      <c r="J364" s="8" t="inlineStr">
        <is>
          <t>Done when: an invalid API call, form post and import row all return the same structured errors in the user's language; codes are stable and listed; a test fails if a module returns a different shape.</t>
        </is>
      </c>
      <c r="K364" s="8" t="n"/>
      <c r="L364" s="10" t="inlineStr">
        <is>
          <t>M1</t>
        </is>
      </c>
      <c r="M364" s="10" t="inlineStr">
        <is>
          <t>M</t>
        </is>
      </c>
      <c r="N364" s="10" t="inlineStr">
        <is>
          <t>High</t>
        </is>
      </c>
      <c r="O364" s="10" t="inlineStr">
        <is>
          <t>#356</t>
        </is>
      </c>
      <c r="P364" s="10" t="n"/>
      <c r="Q364" s="10" t="n"/>
      <c r="R364" s="8" t="inlineStr">
        <is>
          <t>Dynamic data core</t>
        </is>
      </c>
      <c r="S364" s="10" t="inlineStr">
        <is>
          <t>No</t>
        </is>
      </c>
      <c r="T364" s="10" t="n"/>
      <c r="U364" s="10" t="n"/>
    </row>
    <row r="365">
      <c r="A365" s="10" t="n">
        <v>364</v>
      </c>
      <c r="B365" s="10" t="inlineStr">
        <is>
          <t>Claude</t>
        </is>
      </c>
      <c r="C365" s="8" t="inlineStr">
        <is>
          <t>Metadata Core &amp; Dynamic Platform</t>
        </is>
      </c>
      <c r="D365" s="8" t="inlineStr">
        <is>
          <t>Input canonicalisation and safe limits: one Unicode and Persian normalisation policy (digits, Arabic versus Persian letters, zero-width and bidi characters, trimming), whole-value regular expressions with timeout, and size/depth/count limits before parsing</t>
        </is>
      </c>
      <c r="E365" s="10" t="inlineStr">
        <is>
          <t>Feature</t>
        </is>
      </c>
      <c r="F365" s="10" t="inlineStr">
        <is>
          <t>Not Started</t>
        </is>
      </c>
      <c r="G365" s="10" t="inlineStr">
        <is>
          <t>P1</t>
        </is>
      </c>
      <c r="H365" s="8" t="inlineStr">
        <is>
          <t>Persian text arrives with Arabic Yeh/Kaf instead of the Persian letters, Persian or Arabic digits, zero-width non-joiners and invisible bidi marks; without one policy the same name or code is stored in several forms, breaks uniqueness and search, and length checks count characters differently. OWASP: validate the canonical form, apply one normalisation policy before validation, storage and comparison, cap sizes before parsing, avoid regular expressions prone to catastrophic backtracking, treat a timeout as a failure.</t>
        </is>
      </c>
      <c r="I365" s="8" t="inlineStr">
        <is>
          <t>1) Write the policy in the catalog (#355): Unicode NFC, Arabic Yeh/Kaf to Persian Yeh/Kaf, digits to ASCII for numbers and codes (keep the display digits as a presentation setting), trim and collapse spaces, remove or reject zero-width and bidi control characters except the zero-width non-joiner inside Persian words, per-field switch for exceptions. 2) Implement one normaliser used by the validator (#356), the import (#360) and the search; store the normalised form for unique keys and keep the original for display where needed. 3) Regular expressions: whole-value match, bounded input length, match timeout (the .NET regex timeout parameter or a non-backtracking engine), a failed timeout is a rejection. 4) Limits as settings: request body size, JSON nesting depth, array length, string length before any parsing. 5) Tests with Persian samples, look-alike characters and a catastrophic-backtracking pattern.</t>
        </is>
      </c>
      <c r="J365" s="8" t="inlineStr">
        <is>
          <t>Done when: the same Persian text typed with Arabic or Persian letters and digits is stored and compared as one value; a pattern that would backtrack catastrophically is stopped by the timeout; oversized or too deeply nested input is rejected before parsing; tests prove each case.</t>
        </is>
      </c>
      <c r="K365" s="8" t="n"/>
      <c r="L365" s="10" t="inlineStr">
        <is>
          <t>M1</t>
        </is>
      </c>
      <c r="M365" s="10" t="inlineStr">
        <is>
          <t>M</t>
        </is>
      </c>
      <c r="N365" s="10" t="inlineStr">
        <is>
          <t>High</t>
        </is>
      </c>
      <c r="O365" s="10" t="inlineStr">
        <is>
          <t>#355</t>
        </is>
      </c>
      <c r="P365" s="10" t="n"/>
      <c r="Q365" s="10" t="n"/>
      <c r="R365" s="8" t="inlineStr">
        <is>
          <t>Dynamic data core</t>
        </is>
      </c>
      <c r="S365" s="10" t="inlineStr">
        <is>
          <t>No</t>
        </is>
      </c>
      <c r="T365" s="10" t="n"/>
      <c r="U365" s="10" t="n"/>
    </row>
    <row r="366">
      <c r="A366" s="10" t="n">
        <v>365</v>
      </c>
      <c r="B366" s="10" t="inlineStr">
        <is>
          <t>Claude</t>
        </is>
      </c>
      <c r="C366" s="8" t="inlineStr">
        <is>
          <t>Metadata Core &amp; Dynamic Platform</t>
        </is>
      </c>
      <c r="D366" s="8" t="inlineStr">
        <is>
          <t>Standards-based and local validators as a validator pack: e-mail and phone through maintained libraries, URL, Iranian national code, mobile number, postal code and IBAN (Sheba) checksum, valid Jalali dates, rial and toman scale</t>
        </is>
      </c>
      <c r="E366" s="10" t="inlineStr">
        <is>
          <t>Feature</t>
        </is>
      </c>
      <c r="F366" s="10" t="inlineStr">
        <is>
          <t>Not Started</t>
        </is>
      </c>
      <c r="G366" s="10" t="inlineStr">
        <is>
          <t>P2</t>
        </is>
      </c>
      <c r="H366" s="8" t="inlineStr">
        <is>
          <t>Hand-written patterns for e-mail, phone and identifiers are the usual source of false rejections and of values that look valid but are not. OWASP: use a maintained library for e-mail and verify mailbox ownership separately; the local market also needs checksum rules (national code, IBAN mod 97) and Jalali calendar validity.</t>
        </is>
      </c>
      <c r="I366" s="8" t="inlineStr">
        <is>
          <t>1) Check libraries first and record their licences (e-mail: the framework mail address parser; phone: a maintained E.164 library; IBAN: ISO 13616 mod-97). 2) Implement the Iranian rules as validators: ten-digit national code with its check digit, mobile number with accepted prefixes and normalisation to one stored form, postal code, economic code, legal-entity id. 3) Jalali date validity including leap years and conversion to the stored Gregorian date. 4) Currency fields: rial and toman scale, no floating point, decimal(18,2) style precision from #355. 5) Package them as a validator pack loaded through the extension SDK (#94) so other locales can add theirs. 6) Message keys in fa/en. 7) Tests with real valid and invalid samples.</t>
        </is>
      </c>
      <c r="J366" s="8" t="inlineStr">
        <is>
          <t>Done when: each validator accepts documented valid samples and rejects documented invalid ones, including checksum failures and non-existent Jalali dates; the pack loads through the extension point; e-mail and phone use a maintained library.</t>
        </is>
      </c>
      <c r="K366" s="8" t="n"/>
      <c r="L366" s="10" t="inlineStr">
        <is>
          <t>M4</t>
        </is>
      </c>
      <c r="M366" s="10" t="inlineStr">
        <is>
          <t>M</t>
        </is>
      </c>
      <c r="N366" s="10" t="inlineStr">
        <is>
          <t>High</t>
        </is>
      </c>
      <c r="O366" s="10" t="inlineStr">
        <is>
          <t>#356 #94</t>
        </is>
      </c>
      <c r="P366" s="10" t="n"/>
      <c r="Q366" s="10" t="n"/>
      <c r="R366" s="8" t="inlineStr">
        <is>
          <t>Dynamic data core</t>
        </is>
      </c>
      <c r="S366" s="10" t="inlineStr">
        <is>
          <t>No</t>
        </is>
      </c>
      <c r="T366" s="10" t="n"/>
      <c r="U366" s="10" t="n"/>
    </row>
    <row r="367">
      <c r="A367" s="10" t="n">
        <v>366</v>
      </c>
      <c r="B367" s="10" t="inlineStr">
        <is>
          <t>Claude</t>
        </is>
      </c>
      <c r="C367" s="8" t="inlineStr">
        <is>
          <t>Metadata Core &amp; Dynamic Platform</t>
        </is>
      </c>
      <c r="D367" s="8" t="inlineStr">
        <is>
          <t>Field format catalog: canonical storage form, display format, input format and parse rules per field type, presets, the settings hierarchy (system, app, model, field, user), label, help, placeholder, unit and empty-value formats, and the pipeline order with validation</t>
        </is>
      </c>
      <c r="E367" s="10" t="inlineStr">
        <is>
          <t>Research</t>
        </is>
      </c>
      <c r="F367" s="10" t="inlineStr">
        <is>
          <t>Not Started</t>
        </is>
      </c>
      <c r="G367" s="10" t="inlineStr">
        <is>
          <t>P0</t>
        </is>
      </c>
      <c r="H367" s="8" t="inlineStr">
        <is>
          <t>Formatting in PEMS is done page by page: 377 hand-written date and time format strings in 138 views using 12 different patterns, 217 number format strings, 103 native date, 8 datetime-local and 137 number inputs whose look follows the browser locale, and Jalali support in only 6 files. Existing rows #24, #205, #206, #208 and #209 ask for translated labels, Persian digits, the Jalali calendar and fixed reports, but nothing defines where a field's format lives or how it relates to validation. A comparable implementation shows the risks: one hard-coded locale in its date component, date strings built without zero padding, an invalid-date defect in downloaded reports and a deprecated date library for the Jalali picker. 2026-10-28 plan audit: dependency/milestone corrected (see docs/audits/2026-10-28-dynamic-restful-audit.md).</t>
        </is>
      </c>
      <c r="I367" s="8" t="inlineStr">
        <is>
          <t>1) For each type in #11 define three things: the canonical value that is stored and exchanged (ISO 8601 date-only for dates, UTC instant for date-times, decimal with fixed scale for numbers and money, normalised text), the display format, and the input and parse format. 2) Presets with examples (date: Jalali long/short, Gregorian ISO; number: grouping, decimal separator, digit shapes Latin or Persian; currency: rial, toman, symbol position, negative style; percent; units; boolean: yes/no, tick; empty value: dash). 3) Where a format lives: a settings hierarchy system -&gt; app -&gt; model -&gt; field -&gt; user preference with a defined fallback (a model or field setting wins for content, the user's setting for chrome), stored in the metadata registry as a versioned format object next to the validation object. 4) Label-related formats: label, help, placeholder, error and option text as translatable strings (#24), unit and prefix/suffix, direction. 5) State the pipeline order and the rule that validation always runs on the canonical value. 6) Write docs/architecture/FIELD_FORMAT_CATALOG.md and an ADR. Design rule (decided here, applies to #355-#365): formats and validations are designed together in one field descriptor and one test suite, but kept as separate layers of one pipeline: raw input -&gt; parse by input format -&gt; canonical value -&gt; normalise (#364) -&gt; validate the canonical value (#355/#356) -&gt; store canonical -&gt; format for display. Validation never runs on a display string, and a display format never changes what is stored.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67" s="8" t="inlineStr">
        <is>
          <t>Done when: the catalog lists canonical, display and input format for every type of #11 with presets and examples; the hierarchy and fallback are decided; the pipeline order and the validate-canonical rule are written down and referenced by #355; the PM reviewed it; rows #367-#373 reference it.</t>
        </is>
      </c>
      <c r="K367" s="8" t="n"/>
      <c r="L367" s="10" t="inlineStr">
        <is>
          <t>M1</t>
        </is>
      </c>
      <c r="M367" s="10" t="inlineStr">
        <is>
          <t>M</t>
        </is>
      </c>
      <c r="N367" s="10" t="inlineStr">
        <is>
          <t>High</t>
        </is>
      </c>
      <c r="O367" s="10" t="inlineStr">
        <is>
          <t>#11 #355 #205 #386</t>
        </is>
      </c>
      <c r="P367" s="10" t="inlineStr">
        <is>
          <t>#190 #179 #230</t>
        </is>
      </c>
      <c r="Q367" s="10" t="n"/>
      <c r="R367" s="8" t="inlineStr">
        <is>
          <t>Dynamic data core</t>
        </is>
      </c>
      <c r="S367" s="10" t="inlineStr">
        <is>
          <t>No</t>
        </is>
      </c>
      <c r="T367" s="10" t="n"/>
      <c r="U367" s="10" t="n"/>
    </row>
    <row r="368">
      <c r="A368" s="10" t="n">
        <v>367</v>
      </c>
      <c r="B368" s="10" t="inlineStr">
        <is>
          <t>Claude</t>
        </is>
      </c>
      <c r="C368" s="8" t="inlineStr">
        <is>
          <t>Persian Localization, RTL &amp; Jalali Calendar</t>
        </is>
      </c>
      <c r="D368" s="8" t="inlineStr">
        <is>
          <t>Number, money, percent and unit formatting engine used by server and client: grouping, decimal separator, Persian or Latin digits, rial/toman scale, negative style, fixed rounding rule, tolerant parsing, no type=number for formatted values</t>
        </is>
      </c>
      <c r="E368" s="10" t="inlineStr">
        <is>
          <t>Feature</t>
        </is>
      </c>
      <c r="F368" s="10" t="inlineStr">
        <is>
          <t>Not Started</t>
        </is>
      </c>
      <c r="G368" s="10" t="inlineStr">
        <is>
          <t>P1</t>
        </is>
      </c>
      <c r="H368" s="8" t="inlineStr">
        <is>
          <t>Formatting in PEMS is done page by page: 377 hand-written date and time format strings in 138 views using 12 different patterns, 217 number format strings, 103 native date, 8 datetime-local and 137 number inputs whose look follows the browser locale, and Jalali support in only 6 files. Existing rows #24, #205, #206, #208 and #209 ask for translated labels, Persian digits, the Jalali calendar and fixed reports, but nothing defines where a field's format lives or how it relates to validation. Money and quantities are formatted with 217 scattered format strings; type=number inputs show locale-dependent separators and reject non-Latin digits (the browser empties the value), so Persian digit entry silently fails.</t>
        </is>
      </c>
      <c r="I368" s="8" t="inlineStr">
        <is>
          <t>1) One formatting service on the server (CultureInfo/ICU through one wrapper) and one on the client (Intl.NumberFormat), both driven by the format object of #366, so the same value looks the same in views, grids, reports and exports. 2) Digit shapes (Persian or Latin) and separators as settings, with the display digits a presentation choice only. 3) Money: decimal arithmetic, scale from the field, one documented rounding rule (half away from zero unless a field says otherwise), rial and toman conversion by scale and never by floating point. 4) Tolerant parser used for typing, paste and import: accepts Persian and Arabic digits, both separator styles, grouping marks, a leading minus or parentheses, and returns the canonical decimal or a parse error. 5) Formatted inputs use type=text with inputmode and keep the raw value; type=number is not used for money or formatted values (MDN caveats). 6) Replace the page-level ToString format strings through the audit of #359 and a ratchet.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68" s="8" t="inlineStr">
        <is>
          <t>Done when: one service formats and parses numbers on server and client with identical results for the shared fixtures; Persian digit entry works in every numeric field; rial and toman amounts are exact; views no longer carry their own number format strings (ratchet in CI).</t>
        </is>
      </c>
      <c r="K368" s="8" t="n"/>
      <c r="L368" s="10" t="inlineStr">
        <is>
          <t>M2</t>
        </is>
      </c>
      <c r="M368" s="10" t="inlineStr">
        <is>
          <t>L</t>
        </is>
      </c>
      <c r="N368" s="10" t="inlineStr">
        <is>
          <t>High</t>
        </is>
      </c>
      <c r="O368" s="10" t="inlineStr">
        <is>
          <t>#366 #208</t>
        </is>
      </c>
      <c r="P368" s="10" t="inlineStr">
        <is>
          <t>#60</t>
        </is>
      </c>
      <c r="Q368" s="10" t="n"/>
      <c r="R368" s="8" t="inlineStr">
        <is>
          <t>Persian &amp; localisation</t>
        </is>
      </c>
      <c r="S368" s="10" t="inlineStr">
        <is>
          <t>No</t>
        </is>
      </c>
      <c r="T368" s="10" t="n"/>
      <c r="U368" s="10" t="n"/>
    </row>
    <row r="369">
      <c r="A369" s="10" t="n">
        <v>368</v>
      </c>
      <c r="B369" s="10" t="inlineStr">
        <is>
          <t>Claude</t>
        </is>
      </c>
      <c r="C369" s="8" t="inlineStr">
        <is>
          <t>Persian Localization, RTL &amp; Jalali Calendar</t>
        </is>
      </c>
      <c r="D369" s="8" t="inlineStr">
        <is>
          <t>Date, time and calendar formatting engine used by server and client: ISO 8601 canonical storage, date-only versus instant, user time zone, Jalali and Gregorian display and input, Persian digits, week start, maintained library instead of ad-hoc code</t>
        </is>
      </c>
      <c r="E369" s="10" t="inlineStr">
        <is>
          <t>Feature</t>
        </is>
      </c>
      <c r="F369" s="10" t="inlineStr">
        <is>
          <t>Not Started</t>
        </is>
      </c>
      <c r="G369" s="10" t="inlineStr">
        <is>
          <t>P1</t>
        </is>
      </c>
      <c r="H369" s="8" t="inlineStr">
        <is>
          <t>Formatting in PEMS is done page by page: 377 hand-written date and time format strings in 138 views using 12 different patterns, 217 number format strings, 103 native date, 8 datetime-local and 137 number inputs whose look follows the browser locale, and Jalali support in only 6 files. Existing rows #24, #205, #206, #208 and #209 ask for translated labels, Persian digits, the Jalali calendar and fixed reports, but nothing defines where a field's format lives or how it relates to validation. Dates are stored and shown inconsistently; native date inputs ignore the Jalali calendar, 12 different display patterns exist, and a native date control cannot be switched to Jalali.</t>
        </is>
      </c>
      <c r="I369" s="8" t="inlineStr">
        <is>
          <t>1) Canonical forms: a date without time is stored as a date-only value (ISO 8601, no time zone, so a due date never shifts a day), an instant as UTC; the user's time zone is applied only for display and input of instants, daylight saving included. 2) Choose a maintained library for calendars and conversion (evaluate the .NET PersianCalendar and the browser Intl calendar support first; for the picker evaluate maintained Jalali date libraries; avoid unmaintained or deprecated packages; works offline; record licences in L_OSS). 3) Display presets from #366 (Jalali long and short, Gregorian ISO, weekday names, Saturday as week start), Persian digits optional. 4) Input: a date picker component in PEMS.UI showing Jalali or Gregorian per setting, with typed entry parsed tolerantly (separators, Persian digits, two-digit years rejected or expanded by a documented rule) and invalid dates such as 1403/12/30 in a non-leap year rejected with a suggestion. 5) Server and client use the same conversion tests. 6) Ranges and relative windows from #355 evaluate in the same calendar-independent canonical form.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69" s="8" t="inlineStr">
        <is>
          <t>Done when: a date picked as Jalali is stored as the correct Gregorian date-only value and shown back identically on every page; date-times display in the user's time zone across a daylight-saving change; invalid Jalali dates are rejected with a hint; the picker works in RTL and LTR and offline; views no longer carry their own date format strings (ratchet).</t>
        </is>
      </c>
      <c r="K369" s="8" t="n"/>
      <c r="L369" s="10" t="inlineStr">
        <is>
          <t>M2</t>
        </is>
      </c>
      <c r="M369" s="10" t="inlineStr">
        <is>
          <t>L</t>
        </is>
      </c>
      <c r="N369" s="10" t="inlineStr">
        <is>
          <t>High</t>
        </is>
      </c>
      <c r="O369" s="10" t="inlineStr">
        <is>
          <t>#366 #206</t>
        </is>
      </c>
      <c r="P369" s="10" t="inlineStr">
        <is>
          <t>#154 #179</t>
        </is>
      </c>
      <c r="Q369" s="10" t="n"/>
      <c r="R369" s="8" t="inlineStr">
        <is>
          <t>Persian &amp; localisation</t>
        </is>
      </c>
      <c r="S369" s="10" t="inlineStr">
        <is>
          <t>No</t>
        </is>
      </c>
      <c r="T369" s="10" t="n"/>
      <c r="U369" s="10" t="n"/>
    </row>
    <row r="370">
      <c r="A370" s="10" t="n">
        <v>369</v>
      </c>
      <c r="B370" s="10" t="inlineStr">
        <is>
          <t>Claude</t>
        </is>
      </c>
      <c r="C370" s="8" t="inlineStr">
        <is>
          <t>Component Library &amp; Design System</t>
        </is>
      </c>
      <c r="D370" s="8" t="inlineStr">
        <is>
          <t>Formatted and masked text inputs: phone, national code, IBAN and code patterns shown grouped while the raw value is kept, paste and caret handling in RTL, type=text with inputmode, accessible hints</t>
        </is>
      </c>
      <c r="E370" s="10" t="inlineStr">
        <is>
          <t>Feature</t>
        </is>
      </c>
      <c r="F370" s="10" t="inlineStr">
        <is>
          <t>Not Started</t>
        </is>
      </c>
      <c r="G370" s="10" t="inlineStr">
        <is>
          <t>P1</t>
        </is>
      </c>
      <c r="H370" s="8" t="inlineStr">
        <is>
          <t>Identifiers and codes are typed and shown inconsistently (with and without spaces, dashes, Persian digits); a number-typed input cannot hold leading zeros or grouped digits, and MDN advises type=text with inputmode and a pattern for such values.</t>
        </is>
      </c>
      <c r="I370" s="8" t="inlineStr">
        <is>
          <t>1) Mask and display presets from the format catalog (#366): grouping pattern, separator, case, example. 2) The PEMS.UI field renders type=text with inputmode and the pattern attribute, shows the grouped form while typing and keeps the raw canonical value in a hidden or data attribute that is submitted. 3) Paste handling: strip separators and spaces, normalise digits (#364), re-group; caret stays correct in RTL and with Persian digits. 4) Screen readers read the example format and the error, not the mask characters. 5) Server accepts only the raw form and re-validates it. 6) Component docs with examples in the catalog.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0" s="8" t="inlineStr">
        <is>
          <t>Done when: a phone number, national code, IBAN and a pattern code are shown grouped, pasted in any common form and submitted raw; leading zeros are kept; caret and selection work in RTL; screen-reader and keyboard checks pass.</t>
        </is>
      </c>
      <c r="K370" s="8" t="n"/>
      <c r="L370" s="10" t="inlineStr">
        <is>
          <t>M2</t>
        </is>
      </c>
      <c r="M370" s="10" t="inlineStr">
        <is>
          <t>M</t>
        </is>
      </c>
      <c r="N370" s="10" t="inlineStr">
        <is>
          <t>High</t>
        </is>
      </c>
      <c r="O370" s="10" t="inlineStr">
        <is>
          <t>#357 #366</t>
        </is>
      </c>
      <c r="P370" s="10" t="n"/>
      <c r="Q370" s="10" t="n"/>
      <c r="R370" s="8" t="inlineStr">
        <is>
          <t>UI component library</t>
        </is>
      </c>
      <c r="S370" s="10" t="inlineStr">
        <is>
          <t>No</t>
        </is>
      </c>
      <c r="T370" s="10" t="n"/>
      <c r="U370" s="10" t="n"/>
    </row>
    <row r="371">
      <c r="A371" s="10" t="n">
        <v>370</v>
      </c>
      <c r="B371" s="10" t="inlineStr">
        <is>
          <t>Claude</t>
        </is>
      </c>
      <c r="C371" s="8" t="inlineStr">
        <is>
          <t>Persian Localization, RTL &amp; Jalali Calendar</t>
        </is>
      </c>
      <c r="D371" s="8" t="inlineStr">
        <is>
          <t>Label and text presentation rules: resolve translated label, help, placeholder, error and option text through the field, model, app and user hierarchy, direction isolation of LTR tokens in RTL text, text transforms, empty/boolean/option display, missing-translation report</t>
        </is>
      </c>
      <c r="E371" s="10" t="inlineStr">
        <is>
          <t>Feature</t>
        </is>
      </c>
      <c r="F371" s="10" t="inlineStr">
        <is>
          <t>Not Started</t>
        </is>
      </c>
      <c r="G371" s="10" t="inlineStr">
        <is>
          <t>P1</t>
        </is>
      </c>
      <c r="H371" s="8" t="inlineStr">
        <is>
          <t>Row #24 stores translatable strings in metadata; nothing defines how they are resolved in a context or how mixed-direction text (codes, e-mail, URLs, numbers inside Persian sentences) is displayed. W3C: keep localisation separate from translation. 2026-10-28 plan audit: dependency/milestone corrected (see docs/audits/2026-10-28-dynamic-restful-audit.md).</t>
        </is>
      </c>
      <c r="I371" s="8" t="inlineStr">
        <is>
          <t>1) Resolution order for every visible string: field setting -&gt; model language -&gt; app -&gt; user preference -&gt; system default, with a documented fallback to the default language and a visible marker in the designer when a translation is missing. 2) Direction: set dir per field and per value type; wrap LTR tokens (codes, e-mail, URLs, Latin words, numbers with units) in directional isolates so punctuation and order stay correct inside RTL text, and keep the zero-width non-joiner rules of #364. 3) Display rules for empty values, booleans, option labels (translated, with the stored code unchanged), long text (truncate with tooltip, never cut mid-grapheme) and optional transforms (upper case for codes). 4) Report of missing and untranslated strings per language, usable in CI. 5) Tests with mixed-direction samples.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1" s="8" t="inlineStr">
        <is>
          <t>Done when: the same label shows in the right language for field, model, app and user contexts with a defined fallback; mixed-direction samples render correctly; a CI report lists missing translations; option labels change without touching stored values.</t>
        </is>
      </c>
      <c r="K371" s="8" t="n"/>
      <c r="L371" s="10" t="inlineStr">
        <is>
          <t>M2</t>
        </is>
      </c>
      <c r="M371" s="10" t="inlineStr">
        <is>
          <t>M</t>
        </is>
      </c>
      <c r="N371" s="10" t="inlineStr">
        <is>
          <t>High</t>
        </is>
      </c>
      <c r="O371" s="10" t="inlineStr">
        <is>
          <t>#366 #386</t>
        </is>
      </c>
      <c r="P371" s="10" t="inlineStr">
        <is>
          <t>#190 #230 #42</t>
        </is>
      </c>
      <c r="Q371" s="10" t="n"/>
      <c r="R371" s="8" t="inlineStr">
        <is>
          <t>Persian &amp; localisation</t>
        </is>
      </c>
      <c r="S371" s="10" t="inlineStr">
        <is>
          <t>No</t>
        </is>
      </c>
      <c r="T371" s="10" t="n"/>
      <c r="U371" s="10" t="n"/>
    </row>
    <row r="372">
      <c r="A372" s="10" t="n">
        <v>371</v>
      </c>
      <c r="B372" s="10" t="inlineStr">
        <is>
          <t>Claude</t>
        </is>
      </c>
      <c r="C372" s="8" t="inlineStr">
        <is>
          <t>Reporting, Dashboards &amp; Export</t>
        </is>
      </c>
      <c r="D372" s="8" t="inlineStr">
        <is>
          <t>Export, print and report formatting parity: Excel cells typed as real numbers and dates with number-format codes, CSV canonical option, PDF and print use the same formatters and direction as the screen</t>
        </is>
      </c>
      <c r="E372" s="10" t="inlineStr">
        <is>
          <t>Feature</t>
        </is>
      </c>
      <c r="F372" s="10" t="inlineStr">
        <is>
          <t>Not Started</t>
        </is>
      </c>
      <c r="G372" s="10" t="inlineStr">
        <is>
          <t>P1</t>
        </is>
      </c>
      <c r="H372" s="8" t="inlineStr">
        <is>
          <t>Exports are a second place where formats drift: strings instead of typed cells cannot be sorted or summed, and a comparable platform shipped an invalid-date defect in downloaded reports and layout overflow in PDF exports. 2026-10-28 plan audit: dependency/milestone corrected (see docs/audits/2026-10-28-dynamic-restful-audit.md).</t>
        </is>
      </c>
      <c r="I372" s="8" t="inlineStr">
        <is>
          <t>1) The export service of #210 asks the formatting engine for display text where text is wanted, and writes typed cells (number, date, boolean) with matching Excel number-format codes where the user will calculate; Jalali display is a cell format or an extra column, the stored date stays a real date. 2) CSV: canonical values by default (ISO dates, dot decimals) with an option for display format. 3) PDF and print use the same formatters, the user's language and direction, and wrap LTR tokens correctly. 4) Header labels use the translated field labels. 5) Tests that open a generated file and check cell types, values and an invalid-date regression.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2" s="8" t="inlineStr">
        <is>
          <t>Done when: an Excel export sorts and sums numbers and dates correctly and shows Jalali dates as configured; CSV defaults to canonical values; PDF text, direction and dates match the screen; the invalid-date regression test passes.</t>
        </is>
      </c>
      <c r="K372" s="8" t="n"/>
      <c r="L372" s="10" t="inlineStr">
        <is>
          <t>M4</t>
        </is>
      </c>
      <c r="M372" s="10" t="inlineStr">
        <is>
          <t>M</t>
        </is>
      </c>
      <c r="N372" s="10" t="inlineStr">
        <is>
          <t>High</t>
        </is>
      </c>
      <c r="O372" s="10" t="inlineStr">
        <is>
          <t>#366 #367 #368 #210 #209</t>
        </is>
      </c>
      <c r="P372" s="10" t="inlineStr">
        <is>
          <t>#56 #60 #154 #62</t>
        </is>
      </c>
      <c r="Q372" s="10" t="n"/>
      <c r="R372" s="8" t="inlineStr">
        <is>
          <t>Reporting &amp; export</t>
        </is>
      </c>
      <c r="S372" s="10" t="inlineStr">
        <is>
          <t>No</t>
        </is>
      </c>
      <c r="T372" s="10" t="n"/>
      <c r="U372" s="10" t="n"/>
    </row>
    <row r="373">
      <c r="A373" s="10" t="n">
        <v>372</v>
      </c>
      <c r="B373" s="10" t="inlineStr">
        <is>
          <t>Claude</t>
        </is>
      </c>
      <c r="C373" s="8" t="inlineStr">
        <is>
          <t>Quality, Testing &amp; Performance</t>
        </is>
      </c>
      <c r="D373" s="8" t="inlineStr">
        <is>
          <t>Format and parse round-trip test matrix together with validation: format(parse(x)) and parse(format(v)) identity across locales, calendars, digit shapes, time zones and rounding, then validation of the parsed canonical value</t>
        </is>
      </c>
      <c r="E373" s="10" t="inlineStr">
        <is>
          <t>Tech Debt</t>
        </is>
      </c>
      <c r="F373" s="10" t="inlineStr">
        <is>
          <t>Not Started</t>
        </is>
      </c>
      <c r="G373" s="10" t="inlineStr">
        <is>
          <t>P1</t>
        </is>
      </c>
      <c r="H373" s="8" t="inlineStr">
        <is>
          <t>A format that cannot be parsed back, or a parse result that validation rejects although the user typed what was displayed, is a classic defect; the same fixtures must cover format, parse and validation together (design rule of #366).</t>
        </is>
      </c>
      <c r="I373" s="8" t="inlineStr">
        <is>
          <t>1) Extend the fixture file of #361 with format cases: for each type, locale (fa, en), calendar (Jalali, Gregorian), digit shape, time zone (including a daylight-saving change) and rounding mode, the value, its display text and the accepted input spellings. 2) Properties: parse(format(v)) = v, format(parse(s)) = canonical display of s, validation outcome equals the expected one for the parsed canonical value. 3) Edge cases: Jalali leap years and 30 Esfand, 31 Shahrivar, month and year boundaries, very large and very small numbers, rounding ties, negative zero, mixed digit scripts, ambiguous numeric dates rejected. 4) Run on server and client from the same file; CI fails on any difference.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3" s="8" t="inlineStr">
        <is>
          <t>Done when: the shared fixture file covers format, parse and validation for every type; server and client agree on every case; a broken formatter, parser or rule fails the build.</t>
        </is>
      </c>
      <c r="K373" s="8" t="n"/>
      <c r="L373" s="10" t="inlineStr">
        <is>
          <t>M3</t>
        </is>
      </c>
      <c r="M373" s="10" t="inlineStr">
        <is>
          <t>M</t>
        </is>
      </c>
      <c r="N373" s="10" t="inlineStr">
        <is>
          <t>High</t>
        </is>
      </c>
      <c r="O373" s="10" t="inlineStr">
        <is>
          <t>#361 #367 #368</t>
        </is>
      </c>
      <c r="P373" s="10" t="inlineStr">
        <is>
          <t>#154 #20</t>
        </is>
      </c>
      <c r="Q373" s="10" t="n"/>
      <c r="R373" s="8" t="inlineStr">
        <is>
          <t>Quality &amp; testing</t>
        </is>
      </c>
      <c r="S373" s="10" t="inlineStr">
        <is>
          <t>No</t>
        </is>
      </c>
      <c r="T373" s="10" t="n"/>
      <c r="U373" s="10" t="n"/>
    </row>
    <row r="374">
      <c r="A374" s="10" t="n">
        <v>373</v>
      </c>
      <c r="B374" s="10" t="inlineStr">
        <is>
          <t>Claude</t>
        </is>
      </c>
      <c r="C374" s="8" t="inlineStr">
        <is>
          <t>Dynamic Form Builder</t>
        </is>
      </c>
      <c r="D374" s="8" t="inlineStr">
        <is>
          <t>Format and locale settings UI: system defaults, per app, model and field overrides in the designer with live examples, and per-user preferences for calendar, digits, number style, time zone and week start, permission-protected and audited</t>
        </is>
      </c>
      <c r="E374" s="10" t="inlineStr">
        <is>
          <t>Feature</t>
        </is>
      </c>
      <c r="F374" s="10" t="inlineStr">
        <is>
          <t>Not Started</t>
        </is>
      </c>
      <c r="G374" s="10" t="inlineStr">
        <is>
          <t>P1</t>
        </is>
      </c>
      <c r="H374" s="8" t="inlineStr">
        <is>
          <t>Without a settings surface the format hierarchy of #366 stays code-only; users in an Iranian company expect to switch calendar and digit style themselves, and designers need to see the effect of a format before saving.</t>
        </is>
      </c>
      <c r="I374" s="8" t="inlineStr">
        <is>
          <t>1) Admin page for system defaults and per-app/per-model settings; the field properties panel of the form designer (#44) gets Format next to Validation, with presets, a custom pattern where allowed, and a live preview that shows sample values formatted and an input that is parsed and validated against both. 2) User profile page: calendar (Jalali/Gregorian), digit shape, number style, time zone, week start, language (links to #207). 3) Permission to change system and model settings, audit of every change, versioned with the metadata package (#23). 4) Settings cached with invalidation (#28). 5) Accessible and RTL-correct controls built from PEMS.UI components. Best-practice sources: W3C Internationalization (date and number formats follow the language context, avoid ambiguous numeric dates, support non-Gregorian calendars, keep localisation separate from translation); MDN notes on input type=number (locale separators and non-ASCII digits are sanitised, no pattern support, so formatted or Persian input needs type=text with inputmode); ISO 8601 for stored dates; Unicode CLDR through Intl (browser) and ICU/CultureInfo (server); OWASP: validate the canonical form, one normalisation policy.</t>
        </is>
      </c>
      <c r="J374" s="8" t="inlineStr">
        <is>
          <t>Done when: an administrator changes a model's date and number format and sees it in lists, forms and exports without a deploy; a user switches calendar and digits for themselves; every change is audited; the designer preview shows formatted, parsed and validated values.</t>
        </is>
      </c>
      <c r="K374" s="8" t="n"/>
      <c r="L374" s="10" t="inlineStr">
        <is>
          <t>M3</t>
        </is>
      </c>
      <c r="M374" s="10" t="inlineStr">
        <is>
          <t>M</t>
        </is>
      </c>
      <c r="N374" s="10" t="inlineStr">
        <is>
          <t>High</t>
        </is>
      </c>
      <c r="O374" s="10" t="inlineStr">
        <is>
          <t>#366 #44</t>
        </is>
      </c>
      <c r="P374" s="10" t="inlineStr">
        <is>
          <t>#176 #190</t>
        </is>
      </c>
      <c r="Q374" s="10" t="n"/>
      <c r="R374" s="8" t="inlineStr">
        <is>
          <t>Dynamic form builder</t>
        </is>
      </c>
      <c r="S374" s="10" t="inlineStr">
        <is>
          <t>No</t>
        </is>
      </c>
      <c r="T374" s="10" t="n"/>
      <c r="U374" s="10" t="n"/>
    </row>
    <row r="375">
      <c r="A375" s="10" t="n">
        <v>374</v>
      </c>
      <c r="B375" s="10" t="inlineStr">
        <is>
          <t>User</t>
        </is>
      </c>
      <c r="C375" s="8" t="inlineStr">
        <is>
          <t>Foundation, Architecture Decisions &amp; Baseline</t>
        </is>
      </c>
      <c r="D375" s="8" t="inlineStr">
        <is>
          <t>Purge the old built-in credentials and the runtime user files from the git history (all branches), after rotation</t>
        </is>
      </c>
      <c r="E375" s="10" t="inlineStr">
        <is>
          <t>Ops Process</t>
        </is>
      </c>
      <c r="F375" s="10" t="inlineStr">
        <is>
          <t>Hold</t>
        </is>
      </c>
      <c r="G375" s="10" t="inlineStr">
        <is>
          <t>P2</t>
        </is>
      </c>
      <c r="H375" s="8" t="inlineStr">
        <is>
          <t>The SCRUM-17 audit (docs/audits/SECRETS_AUDIT_2026-10.md) found five built-in or shared passwords and 13 runtime user files (PEMS.Web/filestore) that remain readable in the history of every branch. PM 2026-10-26: not important for now; add the task and hold it.</t>
        </is>
      </c>
      <c r="I375" s="8" t="inlineStr">
        <is>
          <t>1) Finish the rotation of #317 first (docs/deployment/CREDENTIAL_ROTATION_RUNBOOK.md). 2) Decide the scope: only the filestore folder and the old credential literals, or a full rewrite. 3) Rewrite with git filter-repo on a fresh mirror clone, verify with the audit scans, force-push all branches and tags in one agreed window, re-clone every working copy and runner. 4) Remove the files from the index (git rm --cached PEMS.Web/filestore) if still tracked. 5) Re-run the secrets scan and update the audit report.</t>
        </is>
      </c>
      <c r="J375" s="8" t="inlineStr">
        <is>
          <t>Done when: no branch or tag contains the old built-in passwords or PEMS.Web/filestore files (scan output attached); every developer and CI runner has a fresh clone; the audit report states the date of the rewrite.</t>
        </is>
      </c>
      <c r="K375" s="8" t="inlineStr">
        <is>
          <t>ON HOLD per PM 2026-10-26 (history items are not important for now; rotation in #317 comes first).</t>
        </is>
      </c>
      <c r="L375" s="10" t="inlineStr">
        <is>
          <t>M3</t>
        </is>
      </c>
      <c r="M375" s="10" t="inlineStr">
        <is>
          <t>M</t>
        </is>
      </c>
      <c r="N375" s="10" t="inlineStr">
        <is>
          <t>Medium</t>
        </is>
      </c>
      <c r="O375" s="10" t="inlineStr">
        <is>
          <t>#9 #317</t>
        </is>
      </c>
      <c r="P375" s="10" t="n"/>
      <c r="Q375" s="10" t="n"/>
      <c r="R375" s="8" t="inlineStr">
        <is>
          <t>Foundation &amp; decisions</t>
        </is>
      </c>
      <c r="S375" s="10" t="inlineStr">
        <is>
          <t>Yes</t>
        </is>
      </c>
      <c r="T375" s="10" t="n"/>
      <c r="U375" s="10" t="n"/>
    </row>
    <row r="376">
      <c r="A376" s="10" t="n">
        <v>375</v>
      </c>
      <c r="B376" s="10" t="inlineStr">
        <is>
          <t>Claude</t>
        </is>
      </c>
      <c r="C376" s="8" t="inlineStr">
        <is>
          <t>Main Host: Landing &amp; Demo Deployment</t>
        </is>
      </c>
      <c r="D376" s="8" t="inlineStr">
        <is>
          <t>Verify the server certificate on the FTPS upload in the deploy workflow (remove curl --insecure)</t>
        </is>
      </c>
      <c r="E376" s="10" t="inlineStr">
        <is>
          <t>Tech Debt</t>
        </is>
      </c>
      <c r="F376" s="10" t="inlineStr">
        <is>
          <t>Hold</t>
        </is>
      </c>
      <c r="G376" s="10" t="inlineStr">
        <is>
          <t>P2</t>
        </is>
      </c>
      <c r="H376" s="8" t="inlineStr">
        <is>
          <t>SCRUM-17 audit S-2: .github/workflows/deploy-site.yml uploads over FTPS with curl --insecure at four places, so the FTP password is sent over a TLS channel whose certificate is not verified. PM 2026-10-26: accepted for now, conditionally; add the task and hold it.</t>
        </is>
      </c>
      <c r="I376" s="8" t="inlineStr">
        <is>
          <t>1) Get the certificate or CA of the demo/staging FTP host (Plesk). 2) Store it as a GitHub secret or repository file and pass --cacert (or pin the public key with --pinnedpubkey) in all four curl calls and the upload action settings. 3) Remove --insecure from FTP calls; keep it only for the HTTP health probe if the site certificate is not yet valid, with a comment. 4) Test a deploy to staging, then demo.</t>
        </is>
      </c>
      <c r="J376" s="8" t="inlineStr">
        <is>
          <t>Done when: no FTP call in deploy-site.yml uses --insecure; a deploy to staging and demo succeeds; a wrong certificate makes the run fail.</t>
        </is>
      </c>
      <c r="K376" s="8" t="inlineStr">
        <is>
          <t>ON HOLD per PM 2026-10-26 (risk accepted conditionally: shared host, demo and staging only; revisit before customer data goes to demo).</t>
        </is>
      </c>
      <c r="L376" s="10" t="inlineStr">
        <is>
          <t>M2</t>
        </is>
      </c>
      <c r="M376" s="10" t="inlineStr">
        <is>
          <t>S</t>
        </is>
      </c>
      <c r="N376" s="10" t="inlineStr">
        <is>
          <t>Medium</t>
        </is>
      </c>
      <c r="O376" s="10" t="inlineStr">
        <is>
          <t>#9 #295</t>
        </is>
      </c>
      <c r="P376" s="10" t="n"/>
      <c r="Q376" s="10" t="n"/>
      <c r="R376" s="8" t="inlineStr">
        <is>
          <t>Main host: landing &amp; demo deployment</t>
        </is>
      </c>
      <c r="S376" s="10" t="inlineStr">
        <is>
          <t>Yes</t>
        </is>
      </c>
      <c r="T376" s="10" t="n"/>
      <c r="U376" s="10" t="n"/>
    </row>
    <row r="377">
      <c r="A377" s="10" t="n">
        <v>376</v>
      </c>
      <c r="B377" s="10" t="inlineStr">
        <is>
          <t>Claude</t>
        </is>
      </c>
      <c r="C377" s="8" t="inlineStr">
        <is>
          <t>Quality, Testing &amp; Performance</t>
        </is>
      </c>
      <c r="D377" s="8" t="inlineStr">
        <is>
          <t>Review and optimise the automated tests: split database-free and SQL tests, remove duplicate, skipped and flaky tests, speed up the run</t>
        </is>
      </c>
      <c r="E377" s="10" t="inlineStr">
        <is>
          <t>Tech Debt</t>
        </is>
      </c>
      <c r="F377" s="10" t="inlineStr">
        <is>
          <t>Not Started</t>
        </is>
      </c>
      <c r="G377" s="10" t="inlineStr">
        <is>
          <t>P1</t>
        </is>
      </c>
      <c r="H377" s="8" t="inlineStr">
        <is>
          <t>About 1,400 Fact/Theory tests exist (#249) and many need SQL Server; the SCRUM-17 session could not run any of them. A suite that is slow, environment-bound or partly red is not run after every task.</t>
        </is>
      </c>
      <c r="I377" s="8" t="inlineStr">
        <is>
          <t>1) Use the baseline report of #1 (counts, durations, failures). 2) Classify every test class: database-free, in-memory, SQL Server, browser. 3) Add traits/categories so a task can run only the affected group plus the fast database-free group. 4) Fix, quarantine with a Jira key, or delete tests that are red, skipped or flaky (never skip silently). 5) Remove duplicates and slow set-up; target a database-free run under a few minutes. 6) Document the commands in docs/guidelines/05-environment-and-commands.md.</t>
        </is>
      </c>
      <c r="J377" s="8" t="inlineStr">
        <is>
          <t>Done when: the suite has categories; a database-free run and a SQL run each have a documented command and duration; no test is skipped without a Jira key; the before/after numbers are in the Jira report.</t>
        </is>
      </c>
      <c r="K377" s="8" t="n"/>
      <c r="L377" s="10" t="inlineStr">
        <is>
          <t>M1</t>
        </is>
      </c>
      <c r="M377" s="10" t="inlineStr">
        <is>
          <t>M</t>
        </is>
      </c>
      <c r="N377" s="10" t="inlineStr">
        <is>
          <t>High</t>
        </is>
      </c>
      <c r="O377" s="10" t="inlineStr">
        <is>
          <t>#1 #249</t>
        </is>
      </c>
      <c r="P377" s="10" t="n"/>
      <c r="Q377" s="10" t="n"/>
      <c r="R377" s="8" t="inlineStr">
        <is>
          <t>Quality &amp; testing</t>
        </is>
      </c>
      <c r="S377" s="10" t="inlineStr">
        <is>
          <t>No</t>
        </is>
      </c>
      <c r="T377" s="10" t="n"/>
      <c r="U377" s="10" t="n"/>
    </row>
    <row r="378">
      <c r="A378" s="10" t="n">
        <v>377</v>
      </c>
      <c r="B378" s="10" t="inlineStr">
        <is>
          <t>Claude</t>
        </is>
      </c>
      <c r="C378" s="8" t="inlineStr">
        <is>
          <t>Quality, Testing &amp; Performance</t>
        </is>
      </c>
      <c r="D378" s="8" t="inlineStr">
        <is>
          <t>Define and introduce the test-maintenance procedure that runs after every finished task</t>
        </is>
      </c>
      <c r="E378" s="10" t="inlineStr">
        <is>
          <t>Ops Process</t>
        </is>
      </c>
      <c r="F378" s="10" t="inlineStr">
        <is>
          <t>Not Started</t>
        </is>
      </c>
      <c r="G378" s="10" t="inlineStr">
        <is>
          <t>P1</t>
        </is>
      </c>
      <c r="H378" s="8" t="inlineStr">
        <is>
          <t>Tests drift: the baseline of #1 already lists tests that fail on a clean main. Nothing today forces the author of a task to re-run, update or retire the tests it affects, or to keep the Test Plan sheet current (rule 14).</t>
        </is>
      </c>
      <c r="I378" s="8" t="inlineStr">
        <is>
          <t>1) Write the procedure as a chapter or section of docs/guidelines (after each task: run the fast group and the affected groups, fix or update stale tests in the same PR, add a regression test per bug, update the Test Plan sheet status, record counts in the Jira report). 2) Add the check to the PR template and to the closing steps in chapter 00. 3) Add a periodic (weekly) full-suite run and a stale/skipped test report. 4) Propose the Instructions-sheet rule to the owner. Scope note 2026-10-26: the QA check in the UI after the merge (who, where, checklist, labels qa-pending/qa-passed/qa-failed, merge before In Review, Done after QA) was delivered as guideline chapter 07; this task covers the automated-test side (affected-group runs, stale test fixes, Test Plan sheet status, weekly full run) and must link to chapter 07 from the PR template and chapter 00.</t>
        </is>
      </c>
      <c r="J378" s="8" t="inlineStr">
        <is>
          <t>Done when: the procedure is in the guideline, the PR template and chapter 00; one finished task has been closed with it; the owner has confirmed whether it becomes an Instructions rule.</t>
        </is>
      </c>
      <c r="K378" s="8" t="n"/>
      <c r="L378" s="10" t="inlineStr">
        <is>
          <t>M1</t>
        </is>
      </c>
      <c r="M378" s="10" t="inlineStr">
        <is>
          <t>S</t>
        </is>
      </c>
      <c r="N378" s="10" t="inlineStr">
        <is>
          <t>High</t>
        </is>
      </c>
      <c r="O378" s="10" t="inlineStr">
        <is>
          <t>#1 #376</t>
        </is>
      </c>
      <c r="P378" s="10" t="n"/>
      <c r="Q378" s="10" t="n"/>
      <c r="R378" s="8" t="inlineStr">
        <is>
          <t>Quality &amp; testing</t>
        </is>
      </c>
      <c r="S378" s="10" t="inlineStr">
        <is>
          <t>No</t>
        </is>
      </c>
      <c r="T378" s="10" t="n"/>
      <c r="U378" s="10" t="n"/>
    </row>
    <row r="379">
      <c r="A379" s="10" t="n">
        <v>378</v>
      </c>
      <c r="B379" s="10" t="inlineStr">
        <is>
          <t>Claude</t>
        </is>
      </c>
      <c r="C379" s="8" t="inlineStr">
        <is>
          <t>Foundation, Architecture Decisions &amp; Baseline</t>
        </is>
      </c>
      <c r="D379" s="8" t="inlineStr">
        <is>
          <t>Review and optimise the roles and setup of Claude: .claude/Role directives, AGENTS.md, CLAUDE.md, .claude/settings.json, skills and the session prompts</t>
        </is>
      </c>
      <c r="E379" s="10" t="inlineStr">
        <is>
          <t>Ops Process</t>
        </is>
      </c>
      <c r="F379" s="10" t="inlineStr">
        <is>
          <t>Not Started</t>
        </is>
      </c>
      <c r="G379" s="10" t="inlineStr">
        <is>
          <t>P2</t>
        </is>
      </c>
      <c r="H379" s="8" t="inlineStr">
        <is>
          <t>Claude works from several overlapping sources: AGENTS.md, CLAUDE.md files, two identical copies of the Role documents (#8), skills and per-session prompts. Cloud sessions run in parallel with limited credits and need clear scope and stop rules.</t>
        </is>
      </c>
      <c r="I379" s="8" t="inlineStr">
        <is>
          <t>1) Inventory what Claude reads at session start and what each source says (roles, rules, tools). 2) Remove duplicates and contradictions; give the Role documents one home (with #8); keep AGENTS.md short and the guideline the single source of rules. 3) Define the roles (for example implementer, auditor, reviewer, planner) with scope, allowed actions, outputs and when to stop and ask. 4) Define the standard session brief for parallel cloud sessions (branch, forbidden files, Jira steps, report format). 5) Measure with two sample tasks before and after.</t>
        </is>
      </c>
      <c r="J379" s="8" t="inlineStr">
        <is>
          <t>Done when: one documented set of Claude roles and one session-brief template exist; no duplicated Role document remains; two sample tasks run with the new setup follow the guideline without reminders.</t>
        </is>
      </c>
      <c r="K379" s="8" t="n"/>
      <c r="L379" s="10" t="inlineStr">
        <is>
          <t>M1</t>
        </is>
      </c>
      <c r="M379" s="10" t="inlineStr">
        <is>
          <t>M</t>
        </is>
      </c>
      <c r="N379" s="10" t="inlineStr">
        <is>
          <t>Medium</t>
        </is>
      </c>
      <c r="O379" s="10" t="inlineStr">
        <is>
          <t>#8</t>
        </is>
      </c>
      <c r="P379" s="10" t="n"/>
      <c r="Q379" s="10" t="n"/>
      <c r="R379" s="8" t="inlineStr">
        <is>
          <t>Foundation &amp; decisions</t>
        </is>
      </c>
      <c r="S379" s="10" t="inlineStr">
        <is>
          <t>No</t>
        </is>
      </c>
      <c r="T379" s="10" t="n"/>
      <c r="U379" s="10" t="n"/>
    </row>
    <row r="380">
      <c r="A380" s="10" t="n">
        <v>379</v>
      </c>
      <c r="B380" s="10" t="inlineStr">
        <is>
          <t>Claude</t>
        </is>
      </c>
      <c r="C380" s="8" t="inlineStr">
        <is>
          <t>Installation, Deployment &amp; Updates</t>
        </is>
      </c>
      <c r="D380" s="8" t="inlineStr">
        <is>
          <t>Move the file-store and upload folder paths into env settings (no hard-coded paths in Program.cs and controllers)</t>
        </is>
      </c>
      <c r="E380" s="10" t="inlineStr">
        <is>
          <t>Tech Debt</t>
        </is>
      </c>
      <c r="F380" s="10" t="inlineStr">
        <is>
          <t>Not Started</t>
        </is>
      </c>
      <c r="G380" s="10" t="inlineStr">
        <is>
          <t>P2</t>
        </is>
      </c>
      <c r="H380" s="8" t="inlineStr">
        <is>
          <t>Found by the SCRUM-17 audit (rule R24): the file-store root is built from the working directory in PEMS.Web/Program.cs:686, and three controllers build upload folders the same way (LetterController.cs:690, MyProfileController.cs:65 and :111). The location cannot be set per environment.</t>
        </is>
      </c>
      <c r="I380" s="8" t="inlineStr">
        <is>
          <t>1) Add required settings to every env/*.env file (for example FileStorage__RootPath, Uploads__RootPath; relative defaults keep today's behaviour) and read them with the Required* helpers; keep the key-parity test green. 2) Use them in Program.cs and the three controllers, through the existing file-storage service where possible. 3) Map them to the volumes of docker-compose.yml and deploy/docker/compose.pems-web.yml and to the exclusions in deploy/Build-Package.ps1. 4) Unit test for the path resolution, the existing Linux deployment artifact tests, upload and download of one file per area. 5) Document in env/README.md.</t>
        </is>
      </c>
      <c r="J380" s="8" t="inlineStr">
        <is>
          <t>Done when: no Path.Combine(Directory.GetCurrentDirectory(), ...) remains for the file store or upload folders; every env file defines the settings; a changed value moves the storage in a local run; deployment artifact tests pass.</t>
        </is>
      </c>
      <c r="K380" s="8" t="n"/>
      <c r="L380" s="10" t="inlineStr">
        <is>
          <t>M2</t>
        </is>
      </c>
      <c r="M380" s="10" t="inlineStr">
        <is>
          <t>S</t>
        </is>
      </c>
      <c r="N380" s="10" t="inlineStr">
        <is>
          <t>Medium</t>
        </is>
      </c>
      <c r="O380" s="10" t="inlineStr">
        <is>
          <t>#315 #183</t>
        </is>
      </c>
      <c r="P380" s="10" t="n"/>
      <c r="Q380" s="10" t="n"/>
      <c r="R380" s="8" t="inlineStr">
        <is>
          <t>Install &amp; update</t>
        </is>
      </c>
      <c r="S380" s="10" t="inlineStr">
        <is>
          <t>No</t>
        </is>
      </c>
      <c r="T380" s="10" t="n"/>
      <c r="U380" s="10" t="n"/>
    </row>
    <row r="381">
      <c r="A381" s="10" t="n">
        <v>380</v>
      </c>
      <c r="B381" s="10" t="inlineStr">
        <is>
          <t>Claude</t>
        </is>
      </c>
      <c r="C381" s="8" t="inlineStr">
        <is>
          <t>Installation, Deployment &amp; Updates</t>
        </is>
      </c>
      <c r="D381" s="8" t="inlineStr">
        <is>
          <t>Guarantee that no deploy, update or migration resets or changes an existing administrator password (staging, demo, client servers): tests, guideline, runbooks</t>
        </is>
      </c>
      <c r="E381" s="10" t="inlineStr">
        <is>
          <t>Tech Debt</t>
        </is>
      </c>
      <c r="F381" s="10" t="inlineStr">
        <is>
          <t>In Progress</t>
        </is>
      </c>
      <c r="G381" s="10" t="inlineStr">
        <is>
          <t>P1</t>
        </is>
      </c>
      <c r="H381" s="8" t="inlineStr">
        <is>
          <t>Owner requirement 2026-10-27. Code check: IdentitySeeder seeds only on an empty user table; DevAdminPasswordReset needs Development plus PEMS_DEV_RESET_ADMIN_PASSWORD=true; deploy-site.yml only writes the secrets file; the client update kit only swaps the container and runs the migration script. Nothing proved or documented it.</t>
        </is>
      </c>
      <c r="I381" s="8" t="inlineStr">
        <is>
          <t>1) Regression tests (AdminPasswordSurvivesUpdateTests). 2) Rule in guideline chapter 01 security and in DEPLOYMENT_README section 9 and LINUX_VM_DEPLOYMENT. 3) Manual check M-14. 4) Extend #353, #169, #170 with the later part.</t>
        </is>
      </c>
      <c r="J381" s="8" t="inlineStr">
        <is>
          <t>Done when: the tests pass and fail if a seeder or deploy step starts changing an existing account; the guideline and both runbooks state the rule; the manual check exists; #353, #169 and #170 carry the extended Done-when.</t>
        </is>
      </c>
      <c r="K381" s="8" t="n"/>
      <c r="L381" s="10" t="inlineStr">
        <is>
          <t>M2</t>
        </is>
      </c>
      <c r="M381" s="10" t="inlineStr">
        <is>
          <t>S</t>
        </is>
      </c>
      <c r="N381" s="10" t="inlineStr">
        <is>
          <t>Medium</t>
        </is>
      </c>
      <c r="O381" s="10" t="inlineStr">
        <is>
          <t>#315</t>
        </is>
      </c>
      <c r="P381" s="10" t="n"/>
      <c r="Q381" s="10" t="n"/>
      <c r="R381" s="8" t="inlineStr">
        <is>
          <t>Install &amp; update</t>
        </is>
      </c>
      <c r="S381" s="10" t="inlineStr">
        <is>
          <t>No</t>
        </is>
      </c>
      <c r="T381" s="10" t="n"/>
      <c r="U381" s="10" t="n"/>
    </row>
    <row r="382">
      <c r="A382" s="10" t="n">
        <v>381</v>
      </c>
      <c r="B382" s="10" t="inlineStr">
        <is>
          <t>Claude</t>
        </is>
      </c>
      <c r="C382" s="8" t="inlineStr">
        <is>
          <t>Installation, Deployment &amp; Updates</t>
        </is>
      </c>
      <c r="D382" s="8" t="inlineStr">
        <is>
          <t>First-run administrator setup: the administrator chooses the password in the UI as the last install step (fresh install, database reset, local dev, client server); the install is complete only after it</t>
        </is>
      </c>
      <c r="E382" s="10" t="inlineStr">
        <is>
          <t>Feature</t>
        </is>
      </c>
      <c r="F382" s="10" t="inlineStr">
        <is>
          <t>Not Started</t>
        </is>
      </c>
      <c r="G382" s="10" t="inlineStr">
        <is>
          <t>P1</t>
        </is>
      </c>
      <c r="H382" s="8" t="inlineStr">
        <is>
          <t>Owner question 2026-10-27: how does the administrator get the first random password in the UI? Today the administrator comes from Seed__Admin__Password in the secrets file; nothing shows a generated password, and after a database reset the first-install flow must restart. 2026-10-27 owner decision: instead of generating, storing and revealing a random one-time password, the administrator sets the password in the UI as the last install step (no secret to generate or store, replaces the forced first change, uses the policy and the history rule of #382). This is the administrator step of the first-run wizard #169.</t>
        </is>
      </c>
      <c r="I382" s="8" t="inlineStr">
        <is>
          <t>1) Condition: user table empty and no Seed__Admin__Password. Every request goes to /setup (static page) until done; staging and demo keep Seed__Admin__Password and skip it; an update never reaches it. 2) Guard against first-comer takeover: a one-time setup code written to a file next to the application and logged as a pointer only; /setup asks for it (optionally also server/management network only); rate limited; code and file deleted when the administrator exists; /setup is 404 afterwards. 3) Step: user name, e-mail, password (policy and history apply), confirm, sign in; MustChangePassword=false; the install is complete; licence/TLS/MFA steps of #169 attach to the same frame later. 4) After a database reset the page appears again with a new code. 5) Attempts go to Security Events (no password, no code). Two modes, decided only by whether Seed__Admin__Password is set: not set -&gt; the administrator chooses the password on /setup, install complete, no forced change; set from an env/secrets file (staging, demo) -&gt; the administrator is created from it and the first sign-in forces a change (MustChangePassword=true, history rule applies). An administrator password is never part of a client build.</t>
        </is>
      </c>
      <c r="J382" s="8" t="inlineStr">
        <is>
          <t>Done when: fresh install, database reset and local first run show /setup and nothing else until the administrator exists; the setup code is required and removed afterwards; the chosen password follows the policy; /setup is 404 once an administrator exists and after an update; staging/demo with Seed__Admin__Password skip it; tests, README check, guideline and runbooks updated. Setup mode leaves MustChangePassword=false; seeded mode sets it true and the first change cannot keep the seed password.</t>
        </is>
      </c>
      <c r="K382" s="8" t="n"/>
      <c r="L382" s="10" t="inlineStr">
        <is>
          <t>M2</t>
        </is>
      </c>
      <c r="M382" s="10" t="inlineStr">
        <is>
          <t>M</t>
        </is>
      </c>
      <c r="N382" s="10" t="inlineStr">
        <is>
          <t>Medium</t>
        </is>
      </c>
      <c r="O382" s="10" t="inlineStr">
        <is>
          <t>#380 #382 #169</t>
        </is>
      </c>
      <c r="P382" s="10" t="n"/>
      <c r="Q382" s="10" t="n"/>
      <c r="R382" s="8" t="inlineStr">
        <is>
          <t>Install &amp; update</t>
        </is>
      </c>
      <c r="S382" s="10" t="inlineStr">
        <is>
          <t>No</t>
        </is>
      </c>
      <c r="T382" s="10" t="n"/>
      <c r="U382" s="10" t="n"/>
    </row>
    <row r="383">
      <c r="A383" s="10" t="n">
        <v>382</v>
      </c>
      <c r="B383" s="10" t="inlineStr">
        <is>
          <t>Claude</t>
        </is>
      </c>
      <c r="C383" s="8" t="inlineStr">
        <is>
          <t>Installation, Deployment &amp; Updates</t>
        </is>
      </c>
      <c r="D383" s="8" t="inlineStr">
        <is>
          <t>Password history: a new password (forced first change, voluntary change, every reset) must differ from the current and the previous passwords</t>
        </is>
      </c>
      <c r="E383" s="10" t="inlineStr">
        <is>
          <t>Feature</t>
        </is>
      </c>
      <c r="F383" s="10" t="inlineStr">
        <is>
          <t>Not Started</t>
        </is>
      </c>
      <c r="G383" s="10" t="inlineStr">
        <is>
          <t>P1</t>
        </is>
      </c>
      <c r="H383" s="8" t="inlineStr">
        <is>
          <t>Owner request 2026-10-27: the password chosen at the first (forced) change and at any later change must not equal the previous one. ASP.NET Identity accepts the same password again, so the forced change of a one-time or temporary password can be answered with the same value.</t>
        </is>
      </c>
      <c r="I383" s="8" t="inlineStr">
        <is>
          <t>1) Study the change-password, forced-change, admin reset, recovery-code and break-glass paths and the validators in use. 2) One IPasswordValidator shared by all paths: reject the current hash and the last N hashes (Authentication__Password__HistoryCount, default 5, in every env file; key-parity test green); the one-time or temporary password counts as current. 3) Store previous hashes (new table, migration; hashes only, trimmed to N). 4) Localized message fa/en. 5) Tests per path and for inside/outside N. 6) Document in env/README.md, guideline security rule, README manual check.</t>
        </is>
      </c>
      <c r="J383" s="8" t="inlineStr">
        <is>
          <t>Done when: every path that sets a password refuses the current and the last N passwords with a clear message; the setting is in every env file; tests pass; manual check and docs exist.</t>
        </is>
      </c>
      <c r="K383" s="8" t="inlineStr">
        <is>
          <t>2026-10-27 (SCRUM-412, Claude for Hamid): one mechanism for every password path. PasswordHistoryValidator (Identity IPasswordValidator, PEMS.Web.Security) refuses a password equal to the current hash or one of the last N stored hashes (Authentication__Password__HistoryCount, default 5, 0 = off, in all six env files); PemsUserManager overrides ChangePasswordAsync/ResetPasswordAsync and stores the replaced hash in the new table PasswordHistory (migration PasswordHistory, hashes only, trimmed to N). Message in fa and en (Password_Reused). DevAdminPasswordReset uses an explicit PasswordHistoryBypass. Tests: PasswordHistoryTests 9/9 (forced first change, voluntary change, inside/outside N, trimming, token reset, hashes only, count 0, bypass, no code assigns PasswordHash); mutation (validator off) turns 6 of 9 red. Not run: the real screens in fa/en (README M-19).</t>
        </is>
      </c>
      <c r="L383" s="10" t="inlineStr">
        <is>
          <t>M2</t>
        </is>
      </c>
      <c r="M383" s="10" t="inlineStr">
        <is>
          <t>M</t>
        </is>
      </c>
      <c r="N383" s="10" t="inlineStr">
        <is>
          <t>Medium</t>
        </is>
      </c>
      <c r="O383" s="10" t="inlineStr">
        <is>
          <t>#315</t>
        </is>
      </c>
      <c r="P383" s="10" t="n"/>
      <c r="Q383" s="10" t="n"/>
      <c r="R383" s="8" t="inlineStr">
        <is>
          <t>Install &amp; update</t>
        </is>
      </c>
      <c r="S383" s="10" t="inlineStr">
        <is>
          <t>No</t>
        </is>
      </c>
      <c r="T383" s="10" t="n"/>
      <c r="U383" s="10" t="n"/>
    </row>
    <row r="384">
      <c r="A384" s="10" t="n">
        <v>383</v>
      </c>
      <c r="B384" s="10" t="inlineStr">
        <is>
          <t>Claude</t>
        </is>
      </c>
      <c r="C384" s="8" t="inlineStr">
        <is>
          <t>Installation, Deployment &amp; Updates</t>
        </is>
      </c>
      <c r="D384" s="8" t="inlineStr">
        <is>
          <t>Migration chain gate: every task that changes the model ships its migration, and the chain is applied and verified on a real SQL Server before any staging or demo upload; migrations and pipelines never touch accounts</t>
        </is>
      </c>
      <c r="E384" s="10" t="inlineStr">
        <is>
          <t>Tech Debt</t>
        </is>
      </c>
      <c r="F384" s="10" t="inlineStr">
        <is>
          <t>In Progress</t>
        </is>
      </c>
      <c r="G384" s="10" t="inlineStr">
        <is>
          <t>P1</t>
        </is>
      </c>
      <c r="H384" s="8" t="inlineStr">
        <is>
          <t>Owner requirement 2026-10-27: after each task the proper migrations must run through the proper migrator, otherwise the database can break (also an updater requirement). The pipeline only runs the model-drift gate (no database); a migration that compiles but fails on SQL Server shows up only as a failed start / 503 on the site. build.yml is manual only.</t>
        </is>
      </c>
      <c r="I384" s="8" t="inlineStr">
        <is>
          <t>1) scripts/ci/test-migration-chain.sh: install the chain on an empty SQL Server, upgrade from the last migration of the base ref, model agrees, failing migration named. 2) Workflow migration-chain.yml (manual + reusable, throw-away SQL Server container, no secrets). 3) Prove it on GitHub (green on head, red on a broken migration), then make deploy-site.yml depend on it. 4) AccountSafetyOfMigrationsAndPipelinesTests. 5) Guideline ch.01, CODE_FIRST_DATABASE.md, DEPLOYMENT_README.md, README M-15. 6) #262 (SCRUM-280, Saber) confirmed this as its near-term slice and extended the same workflow with the data upgrade tests, the pre-update backup and the rollback (merged 2026-10-27); follow-ups narrowed to #384 and #385.</t>
        </is>
      </c>
      <c r="J384" s="8" t="inlineStr">
        <is>
          <t>Done when: the workflow passes on GitHub for head and fails with the migration name on a broken one; staging and demo deploys depend on it; the account-safety test passes; guideline and docs updated. Evidence: green run 40483241640, red run 40484730111; the first real staging/demo deploy through the wired job is still to be seen (QA).</t>
        </is>
      </c>
      <c r="K384" s="8" t="n"/>
      <c r="L384" s="10" t="inlineStr">
        <is>
          <t>M2</t>
        </is>
      </c>
      <c r="M384" s="10" t="inlineStr">
        <is>
          <t>M</t>
        </is>
      </c>
      <c r="N384" s="10" t="inlineStr">
        <is>
          <t>Medium</t>
        </is>
      </c>
      <c r="O384" s="10" t="inlineStr">
        <is>
          <t>#309 #380</t>
        </is>
      </c>
      <c r="P384" s="10" t="n"/>
      <c r="Q384" s="10" t="n"/>
      <c r="R384" s="8" t="inlineStr">
        <is>
          <t>Install &amp; update</t>
        </is>
      </c>
      <c r="S384" s="10" t="inlineStr">
        <is>
          <t>No</t>
        </is>
      </c>
      <c r="T384" s="10" t="n"/>
      <c r="U384" s="10" t="n"/>
    </row>
    <row r="385">
      <c r="A385" s="10" t="n">
        <v>384</v>
      </c>
      <c r="B385" s="10" t="inlineStr">
        <is>
          <t>Claude</t>
        </is>
      </c>
      <c r="C385" s="8" t="inlineStr">
        <is>
          <t>Installation, Deployment &amp; Updates</t>
        </is>
      </c>
      <c r="D385" s="8" t="inlineStr">
        <is>
          <t>Migration data-safety guard: destructive-operation check with an approval marker, and a value-level preservation check on top of the #262 upgrade tests</t>
        </is>
      </c>
      <c r="E385" s="10" t="inlineStr">
        <is>
          <t>Tech Debt</t>
        </is>
      </c>
      <c r="F385" s="10" t="inlineStr">
        <is>
          <t>Not Started</t>
        </is>
      </c>
      <c r="G385" s="10" t="inlineStr">
        <is>
          <t>P1</t>
        </is>
      </c>
      <c r="H385" s="8" t="inlineStr">
        <is>
          <t>Owner requirement 2026-10-27: all data, not only accounts and passwords, must be guarded against standard migrations. #383 proves the chain applies and does not touch accounts; it does not prove existing rows survive. A migration that drops or narrows a column, deletes reference data or truncates a table passes every current gate. 2026-10-27 after #262 (SCRUM-280, merged): the per-release upgrade test already fills tables, checks that no table lost rows, that the schema equals a fresh install and that nothing is pending, and a pre-update backup exists (Database__BackupBeforeUpdate). Not covered: a migration that rewrites or nulls values keeps the row count, and a destructive operation is not flagged for approval before it is merged.</t>
        </is>
      </c>
      <c r="I385" s="8" t="inlineStr">
        <is>
          <t>1) Static test: new migrations (not in deploy/db/released-migrations.sha256) with DropTable, DropColumn, narrowing AlterColumn, NOT NULL without default, DeleteData, or Sql DELETE/TRUNCATE/DROP/UPDATE-without-WHERE need a marker comment data-loss-approved: SCRUM-xxx; the guideline says who approves. 2) Extend DatabaseUpgradePathSqlTests: compare a per-table checksum of the unchanged columns before and after the upgrade (rows are kept but values must not change); name table and migration. 3) Guideline ch.01, CODE_FIRST_DATABASE.md, README check. Backup and rollback are done by #262 and are not repeated.</t>
        </is>
      </c>
      <c r="J385" s="8" t="inlineStr">
        <is>
          <t>Done when: a scratch migration that nulls or rewrites a populated column fails the checksum check with the table name; one that drops a populated column or deletes rows fails the static guard; an approved destructive migration passes with its marker; a normal additive migration passes; docs updated.</t>
        </is>
      </c>
      <c r="K385" s="8" t="n"/>
      <c r="L385" s="10" t="inlineStr">
        <is>
          <t>M2</t>
        </is>
      </c>
      <c r="M385" s="10" t="inlineStr">
        <is>
          <t>S</t>
        </is>
      </c>
      <c r="N385" s="10" t="inlineStr">
        <is>
          <t>Medium</t>
        </is>
      </c>
      <c r="O385" s="10" t="inlineStr">
        <is>
          <t>#383 #262</t>
        </is>
      </c>
      <c r="P385" s="10" t="n"/>
      <c r="Q385" s="10" t="n"/>
      <c r="R385" s="8" t="inlineStr">
        <is>
          <t>Install &amp; update</t>
        </is>
      </c>
      <c r="S385" s="10" t="inlineStr">
        <is>
          <t>No</t>
        </is>
      </c>
      <c r="T385" s="10" t="n"/>
      <c r="U385" s="10" t="n"/>
    </row>
    <row r="386">
      <c r="A386" s="10" t="n">
        <v>385</v>
      </c>
      <c r="B386" s="10" t="inlineStr">
        <is>
          <t>Claude</t>
        </is>
      </c>
      <c r="C386" s="8" t="inlineStr">
        <is>
          <t>Installation, Deployment &amp; Updates</t>
        </is>
      </c>
      <c r="D386" s="8" t="inlineStr">
        <is>
          <t>After a merge into staging or demo the migration must be proven applied, and a failed start-up migration must not crash the site (post-deploy proof, safe failure mode)</t>
        </is>
      </c>
      <c r="E386" s="10" t="inlineStr">
        <is>
          <t>Tech Debt</t>
        </is>
      </c>
      <c r="F386" s="10" t="inlineStr">
        <is>
          <t>Not Started</t>
        </is>
      </c>
      <c r="G386" s="10" t="inlineStr">
        <is>
          <t>P1</t>
        </is>
      </c>
      <c r="H386" s="8" t="inlineStr">
        <is>
          <t>Owner requirement 2026-10-27: after a merge into staging or demo the migration must really run, otherwise the application crashes. The deploy polls /health/database for UpToDate, and #383 stops a chain that fails on SQL Server before upload, but UpToDate does not prove the newest migration of this commit is applied, a failed start-up migration stops the app, and no tested way back exists. 2026-10-27 after #262 (SCRUM-280, merged): the rollback procedure with the automatic pre-update backup and a restore test now exist (CODE_FIRST_DATABASE.md "Rollback"), so only the proof and the failure mode remain here.</t>
        </is>
      </c>
      <c r="I386" s="8" t="inlineStr">
        <is>
          <t>1) Post-deploy proof: the pipeline compares the newest applied migration id with the newest migration of the deployed commit and fails with both ids. 2) Safe failure mode: a failed or newer-than-build database leaves the app up in a maintenance state (static page, /health/database 503 with state name, failed attempt in DatabaseUpdateRuns); check every migration runs in a transaction and list the exceptions. 3) The pipeline run summary prints the previous good commit and links the #262 rollback steps. 4) Tests, README check.</t>
        </is>
      </c>
      <c r="J386" s="8" t="inlineStr">
        <is>
          <t>Done when: a deploy whose database ends on an older migration than the commit fails the run with both ids; a deliberately failing start-up migration on staging leaves the maintenance page and a 503 health state, not a crash loop, visible in Admin &gt; Database Update; docs updated.</t>
        </is>
      </c>
      <c r="K386" s="8" t="n"/>
      <c r="L386" s="10" t="inlineStr">
        <is>
          <t>M2</t>
        </is>
      </c>
      <c r="M386" s="10" t="inlineStr">
        <is>
          <t>M</t>
        </is>
      </c>
      <c r="N386" s="10" t="inlineStr">
        <is>
          <t>Medium</t>
        </is>
      </c>
      <c r="O386" s="10" t="inlineStr">
        <is>
          <t>#383 #309 #262</t>
        </is>
      </c>
      <c r="P386" s="10" t="n"/>
      <c r="Q386" s="10" t="n"/>
      <c r="R386" s="8" t="inlineStr">
        <is>
          <t>Install &amp; update</t>
        </is>
      </c>
      <c r="S386" s="10" t="inlineStr">
        <is>
          <t>No</t>
        </is>
      </c>
      <c r="T386" s="10" t="n"/>
      <c r="U386" s="10" t="n"/>
    </row>
    <row r="387">
      <c r="A387" s="10" t="n">
        <v>386</v>
      </c>
      <c r="B387" s="10" t="inlineStr">
        <is>
          <t>Claude</t>
        </is>
      </c>
      <c r="C387" s="8" t="inlineStr">
        <is>
          <t>Component Library &amp; Design System</t>
        </is>
      </c>
      <c r="D387" s="8" t="inlineStr">
        <is>
          <t>Translatable text and locale contract for PEMS.UI: every user-visible text is a component input (TranslatableText, JSON map of language slug to text); components hold no literal text; values are formatted by culture, not translated</t>
        </is>
      </c>
      <c r="E387" s="10" t="inlineStr">
        <is>
          <t>Feature</t>
        </is>
      </c>
      <c r="F387" s="10" t="inlineStr">
        <is>
          <t>Not Started</t>
        </is>
      </c>
      <c r="G387" s="10" t="inlineStr">
        <is>
          <t>P0</t>
        </is>
      </c>
      <c r="H387" s="8" t="inlineStr">
        <is>
          <t>Owner requirement 2026-10-27: the texts a component shows (labels, placeholders, help, notes, errors, empty and loading texts) are inputs of the component and later come from the database form tables, one row per form, as JSON that maps a language slug to the text. User-entered data is never translated, only formatted (dates, numbers). Today _PageHeader and _Pagination read PEMS.Web SharedResource, so the library cannot own text.</t>
        </is>
      </c>
      <c r="I387" s="8" t="inlineStr">
        <is>
          <t>1) TranslatableText in PEMS.UI.Abstractions: immutable, JSON {"fa":"..","en":".."}, fallback chain (culture, neutral language, default language, language-neutral, first). 2) IPemsLocale: text resolution plus value formatting by culture (Jalali dates for fa, numbers). 3) Descriptors and every PEMS.UI component take TranslatableText inputs and hold no literal text; a test fails when one is added. 4) JSON round trip of FormDefinition and ViewDescriptor. 5) ADR-0008 and the guideline rule. SCRUM-416.</t>
        </is>
      </c>
      <c r="J387" s="8" t="inlineStr">
        <is>
          <t>Done when: a FormDefinition loaded from JSON renders in fa and en with no text in the component code; a test fails when a literal text is added to a PEMS.UI component; dates and numbers follow the culture; ADR-0008 is accepted.</t>
        </is>
      </c>
      <c r="K387" s="8" t="n"/>
      <c r="L387" s="10" t="inlineStr">
        <is>
          <t>M1</t>
        </is>
      </c>
      <c r="M387" s="10" t="inlineStr">
        <is>
          <t>M</t>
        </is>
      </c>
      <c r="N387" s="10" t="inlineStr">
        <is>
          <t>Sales blocker</t>
        </is>
      </c>
      <c r="O387" s="10" t="inlineStr">
        <is>
          <t>#320 #321</t>
        </is>
      </c>
      <c r="P387" s="10" t="n"/>
      <c r="Q387" s="10" t="n"/>
      <c r="R387" s="8" t="inlineStr">
        <is>
          <t>UI component library</t>
        </is>
      </c>
      <c r="S387" s="10" t="inlineStr">
        <is>
          <t>Yes</t>
        </is>
      </c>
      <c r="T387" s="10" t="inlineStr">
        <is>
          <t>Sprint 1</t>
        </is>
      </c>
      <c r="U387" s="10" t="inlineStr">
        <is>
          <t>Member A</t>
        </is>
      </c>
    </row>
    <row r="388">
      <c r="A388" s="10" t="n">
        <v>387</v>
      </c>
      <c r="B388" s="10" t="inlineStr">
        <is>
          <t>Claude</t>
        </is>
      </c>
      <c r="C388" s="8" t="inlineStr">
        <is>
          <t>Component Library &amp; Design System</t>
        </is>
      </c>
      <c r="D388" s="8" t="inlineStr">
        <is>
          <t>Hydrate the UI descriptors from the database: form table with JSON TranslatableText columns, loader, cache and invalidation, to and from the descriptor contract</t>
        </is>
      </c>
      <c r="E388" s="10" t="inlineStr">
        <is>
          <t>Feature</t>
        </is>
      </c>
      <c r="F388" s="10" t="inlineStr">
        <is>
          <t>Not Started</t>
        </is>
      </c>
      <c r="G388" s="10" t="inlineStr">
        <is>
          <t>P0</t>
        </is>
      </c>
      <c r="H388" s="8" t="inlineStr">
        <is>
          <t>ADR-0008: component texts are inputs. In the dynamic BPMS the form definition and its translations live in the database (one form row, texts as JSON per language slug) and must fill and be written back from the components without component changes. 2026-10-28: the stored shape follows ADR-0011 (UI definition model).</t>
        </is>
      </c>
      <c r="I388" s="8" t="inlineStr">
        <is>
          <t>Design the form, field, option and view tables with the registry (#10); JSON columns typed as TranslatableText; a loader to FormDefinition and ViewDescriptor; cache with invalidation on designer save; a migration (never edit an applied one); central row-level filter. SCRUM-417.</t>
        </is>
      </c>
      <c r="J388" s="8" t="inlineStr">
        <is>
          <t>Done when: a form created in the database renders through PEMS.UI in fa and en with no deploy; a saved translation shows on the next request; tests prove the round trip and the fallback. Reads and writes go through the definition store API (#434) in the shared definition envelope (#430).</t>
        </is>
      </c>
      <c r="K388" s="8" t="n"/>
      <c r="L388" s="10" t="inlineStr">
        <is>
          <t>M2</t>
        </is>
      </c>
      <c r="M388" s="10" t="inlineStr">
        <is>
          <t>L</t>
        </is>
      </c>
      <c r="N388" s="10" t="inlineStr">
        <is>
          <t>Sales blocker</t>
        </is>
      </c>
      <c r="O388" s="10" t="inlineStr">
        <is>
          <t>#386 #10 #334 #430 #434</t>
        </is>
      </c>
      <c r="P388" s="10" t="n"/>
      <c r="Q388" s="10" t="n"/>
      <c r="R388" s="8" t="inlineStr">
        <is>
          <t>UI component library</t>
        </is>
      </c>
      <c r="S388" s="10" t="inlineStr">
        <is>
          <t>No</t>
        </is>
      </c>
      <c r="T388" s="10" t="n"/>
      <c r="U388" s="10" t="n"/>
    </row>
    <row r="389">
      <c r="A389" s="10" t="n">
        <v>388</v>
      </c>
      <c r="B389" s="10" t="inlineStr">
        <is>
          <t>Claude</t>
        </is>
      </c>
      <c r="C389" s="8" t="inlineStr">
        <is>
          <t>Component Library &amp; Design System</t>
        </is>
      </c>
      <c r="D389" s="8" t="inlineStr">
        <is>
          <t>Move _PageHeader and _Pagination into PEMS.UI with their texts as inputs; PEMS.Web supplies the texts (adapter over SharedResource) until the form tables exist</t>
        </is>
      </c>
      <c r="E389" s="10" t="inlineStr">
        <is>
          <t>Tech Debt</t>
        </is>
      </c>
      <c r="F389" s="10" t="inlineStr">
        <is>
          <t>In Progress</t>
        </is>
      </c>
      <c r="G389" s="10" t="inlineStr">
        <is>
          <t>P1</t>
        </is>
      </c>
      <c r="H389" s="8" t="inlineStr">
        <is>
          <t>Step 1 of #320 could not move these partials: they read PEMS.Web SharedResource and PaginationViewModel; _Pagination is used by 54 pages. ADR-0008: the library never looks texts up, the host passes them in.</t>
        </is>
      </c>
      <c r="I389" s="8" t="inlineStr">
        <is>
          <t>Neutral view models and TranslatableText inputs in PEMS.UI; a thin PEMS.Web adapter fills the texts from SharedResource (English text is the key, as today); golden-output tests recorded on the unchanged partials in fa and en; database-free view tests before and after; HTTP smoke tests where SQL Server exists. SCRUM-418.</t>
        </is>
      </c>
      <c r="J389" s="8" t="inlineStr">
        <is>
          <t>Done when: both partials live in PEMS.UI, the 54 pagination pages and every page header render byte-identically in fa and en, and PEMS.Web has no copy.</t>
        </is>
      </c>
      <c r="K389" s="8" t="inlineStr">
        <is>
          <t>Pagination moved in PR atapems-tech/PEMS#51 (merged): footer is the PEMS.UI component _PemsPagination (PaginationModel + PaginationTexts as TranslatableText inputs); _Pagination in PEMS.Web is a thin adapter over SharedResource; the 54 callers are unchanged. 8 golden cases (en/fa) recorded on the unchanged partial are byte-identical; mutation check fails 3. PEMS.UI.Tests 92/92; PEMS.Tests Ui set 30 pass. _PageHeader not moved: no callers, owner decides. QA pending (SQL Server tests, HTTP smoke tests, browser check not done in the cloud container).</t>
        </is>
      </c>
      <c r="L389" s="10" t="inlineStr">
        <is>
          <t>M1</t>
        </is>
      </c>
      <c r="M389" s="10" t="inlineStr">
        <is>
          <t>M</t>
        </is>
      </c>
      <c r="N389" s="10" t="inlineStr">
        <is>
          <t>Medium</t>
        </is>
      </c>
      <c r="O389" s="10" t="inlineStr">
        <is>
          <t>#386 #320</t>
        </is>
      </c>
      <c r="P389" s="10" t="n"/>
      <c r="Q389" s="10" t="n"/>
      <c r="R389" s="8" t="inlineStr">
        <is>
          <t>UI component library</t>
        </is>
      </c>
      <c r="S389" s="10" t="inlineStr">
        <is>
          <t>No</t>
        </is>
      </c>
      <c r="T389" s="10" t="n"/>
      <c r="U389" s="10" t="n"/>
    </row>
    <row r="390">
      <c r="A390" s="10" t="n">
        <v>389</v>
      </c>
      <c r="B390" s="10" t="inlineStr">
        <is>
          <t>Claude</t>
        </is>
      </c>
      <c r="C390" s="8" t="inlineStr">
        <is>
          <t>Component Library &amp; Design System</t>
        </is>
      </c>
      <c r="D390" s="8" t="inlineStr">
        <is>
          <t>Translation completeness and preview in the designers: missing-language report per form, fallback preview, RTL and LTR preview</t>
        </is>
      </c>
      <c r="E390" s="10" t="inlineStr">
        <is>
          <t>Feature</t>
        </is>
      </c>
      <c r="F390" s="10" t="inlineStr">
        <is>
          <t>Not Started</t>
        </is>
      </c>
      <c r="G390" s="10" t="inlineStr">
        <is>
          <t>P2</t>
        </is>
      </c>
      <c r="H390" s="8" t="inlineStr">
        <is>
          <t>With texts stored per language in the database, a designer must see what is missing and what a user sees when a translation is absent.</t>
        </is>
      </c>
      <c r="I390" s="8" t="inlineStr">
        <is>
          <t>Report of missing languages per form and field (TranslatableText.MissingLanguages), fallback preview per language, RTL/LTR preview with the request-free renderer. SCRUM-419.</t>
        </is>
      </c>
      <c r="J390" s="8" t="inlineStr">
        <is>
          <t>Done when: a designer sees every missing translation of a form and the preview in fa and en matches the page.</t>
        </is>
      </c>
      <c r="K390" s="8" t="n"/>
      <c r="L390" s="10" t="inlineStr">
        <is>
          <t>M3</t>
        </is>
      </c>
      <c r="M390" s="10" t="inlineStr">
        <is>
          <t>M</t>
        </is>
      </c>
      <c r="N390" s="10" t="inlineStr">
        <is>
          <t>Medium</t>
        </is>
      </c>
      <c r="O390" s="10" t="inlineStr">
        <is>
          <t>#387 #334</t>
        </is>
      </c>
      <c r="P390" s="10" t="n"/>
      <c r="Q390" s="10" t="n"/>
      <c r="R390" s="8" t="inlineStr">
        <is>
          <t>UI component library</t>
        </is>
      </c>
      <c r="S390" s="10" t="inlineStr">
        <is>
          <t>No</t>
        </is>
      </c>
      <c r="T390" s="10" t="n"/>
      <c r="U390" s="10" t="n"/>
    </row>
    <row r="391">
      <c r="A391" s="10" t="n">
        <v>390</v>
      </c>
      <c r="B391" s="10" t="inlineStr">
        <is>
          <t>Claude</t>
        </is>
      </c>
      <c r="C391" s="8" t="inlineStr">
        <is>
          <t>Component Library &amp; Design System</t>
        </is>
      </c>
      <c r="D391" s="8" t="inlineStr">
        <is>
          <t>Time-zone policy for displayed date-times: convert stored UTC values to the user's time zone in PEMS.UI</t>
        </is>
      </c>
      <c r="E391" s="10" t="inlineStr">
        <is>
          <t>Feature</t>
        </is>
      </c>
      <c r="F391" s="10" t="inlineStr">
        <is>
          <t>Not Started</t>
        </is>
      </c>
      <c r="G391" s="10" t="inlineStr">
        <is>
          <t>P3</t>
        </is>
      </c>
      <c r="H391" s="8" t="inlineStr">
        <is>
          <t>ADR-0008: IPemsLocale.Format shows date-times as given and does not convert time zones; stored values are UTC (Instructions rule 5). Owner decision 2026-10-27: not important now, backlog with the lowest priority.</t>
        </is>
      </c>
      <c r="I391" s="8" t="inlineStr">
        <is>
          <t>Decide the policy (per-user or per-organisation time zone, server default, what a DateTimeOffset shows), add it to IPemsLocale or a companion, test daylight-saving transitions and the Persian and ISO formats; record it in an ADR. SCRUM-420.</t>
        </is>
      </c>
      <c r="J391" s="8" t="inlineStr">
        <is>
          <t>Done when: a UTC date-time stored in the database is shown in the configured time zone in tables and read-only fields, in fa and en, and the policy is recorded in an ADR.</t>
        </is>
      </c>
      <c r="K391" s="8" t="n"/>
      <c r="L391" s="10" t="inlineStr">
        <is>
          <t>M6</t>
        </is>
      </c>
      <c r="M391" s="10" t="inlineStr">
        <is>
          <t>S</t>
        </is>
      </c>
      <c r="N391" s="10" t="inlineStr">
        <is>
          <t>Low</t>
        </is>
      </c>
      <c r="O391" s="10" t="inlineStr">
        <is>
          <t>#386</t>
        </is>
      </c>
      <c r="P391" s="10" t="n"/>
      <c r="Q391" s="10" t="n"/>
      <c r="R391" s="8" t="inlineStr">
        <is>
          <t>UI component library</t>
        </is>
      </c>
      <c r="S391" s="10" t="inlineStr">
        <is>
          <t>Yes</t>
        </is>
      </c>
      <c r="T391" s="10" t="n"/>
      <c r="U391" s="10" t="n"/>
    </row>
    <row r="392">
      <c r="A392" s="10" t="n">
        <v>391</v>
      </c>
      <c r="B392" s="10" t="inlineStr">
        <is>
          <t>Claude</t>
        </is>
      </c>
      <c r="C392" s="8" t="inlineStr">
        <is>
          <t>Component Library &amp; Design System</t>
        </is>
      </c>
      <c r="D392" s="8" t="inlineStr">
        <is>
          <t>Persian pages reject decimal numbers from number inputs (12.5) and typed Persian digits; the fa culture expects the separator U+066B and Latin digits</t>
        </is>
      </c>
      <c r="E392" s="10" t="inlineStr">
        <is>
          <t>Bug Fix</t>
        </is>
      </c>
      <c r="F392" s="10" t="inlineStr">
        <is>
          <t>In Progress</t>
        </is>
      </c>
      <c r="G392" s="10" t="inlineStr">
        <is>
          <t>P1</t>
        </is>
      </c>
      <c r="H392" s="8" t="inlineStr">
        <is>
          <t>Found 2026-10-27 by the data-entry check of SCRUM-416 (PEMS.UI.Tests DataEntryUnaffectedTests): a number input posts 12.5, the fa culture decimal separator is U+066B, so the binder rejects 12.5 while 12 binds; typed Persian digits are rejected. Dates are safe because PEMS.Web keeps the Gregorian calendar on fa (Program.cs).</t>
        </is>
      </c>
      <c r="I392" s="8" t="inlineStr">
        <is>
          <t>One rule for numeric and date input binding: type=number and type=date bind with the invariant culture, and Persian or Arabic-Indic digits and U+066B are normalised to Latin digits and a dot before parsing; implement where the field components live (#322) and apply it to PEMS.Web through one binder. SCRUM-421.</t>
        </is>
      </c>
      <c r="J392" s="8" t="inlineStr">
        <is>
          <t>Done when: on a Persian page 12.5 (and 12٫5) and a date typed with Persian digits are accepted and stored as 12.5 and 2026-10-27; English pages are unchanged; the known-issue tests become regression tests.</t>
        </is>
      </c>
      <c r="K392" s="8" t="inlineStr">
        <is>
          <t>Fixed in PR atapems-tech/PEMS#48 (merged): one model binder (PEMS.UI.Binding, registered once in PEMS.Web) parses numbers with the invariant culture, dates as ISO first, and normalises Persian and Arabic-Indic digits and the Persian decimal mark; empty values, nullable types and MVC error messages unchanged. PEMS.UI.Tests 85/85 (6 failed before the fix); database-free PEMS.Tests set 513 pass, 1 known SQL Server failure. QA pending: SQL Server tests, HTTP smoke tests and manual check M-19 not run in the cloud container.</t>
        </is>
      </c>
      <c r="L392" s="10" t="inlineStr">
        <is>
          <t>M1</t>
        </is>
      </c>
      <c r="M392" s="10" t="inlineStr">
        <is>
          <t>M</t>
        </is>
      </c>
      <c r="N392" s="10" t="inlineStr">
        <is>
          <t>High</t>
        </is>
      </c>
      <c r="O392" s="10" t="inlineStr">
        <is>
          <t>#322</t>
        </is>
      </c>
      <c r="P392" s="10" t="n"/>
      <c r="Q392" s="10" t="n"/>
      <c r="R392" s="8" t="inlineStr">
        <is>
          <t>UI component library</t>
        </is>
      </c>
      <c r="S392" s="10" t="inlineStr">
        <is>
          <t>No</t>
        </is>
      </c>
      <c r="T392" s="10" t="n"/>
      <c r="U392" s="10" t="n"/>
    </row>
    <row r="393">
      <c r="A393" s="10" t="n">
        <v>392</v>
      </c>
      <c r="B393" s="10" t="inlineStr">
        <is>
          <t>Claude</t>
        </is>
      </c>
      <c r="C393" s="8" t="inlineStr">
        <is>
          <t>Component Library &amp; Design System</t>
        </is>
      </c>
      <c r="D393" s="8" t="inlineStr">
        <is>
          <t>The PEMS.UI literal-text gate fails on Windows (CRLF) checkouts: switch labels are read as UI text</t>
        </is>
      </c>
      <c r="E393" s="10" t="inlineStr">
        <is>
          <t>Bug Fix</t>
        </is>
      </c>
      <c r="F393" s="10" t="inlineStr">
        <is>
          <t>In Progress</t>
        </is>
      </c>
      <c r="G393" s="10" t="inlineStr">
        <is>
          <t>P2</t>
        </is>
      </c>
      <c r="H393" s="8" t="inlineStr">
        <is>
          <t>Reported by Saber during SCRUM-337 (2026-10-27): LiteralTextGateTests failed on PemsField.razor on a Windows checkout. In .NET RegexOptions.Multiline, $ matches before \n but not before \r, so case/break lines of an @switch were read as UI text; the gate had only been run on LF.</t>
        </is>
      </c>
      <c r="I393" s="8" t="inlineStr">
        <is>
          <t>Normalise line endings in the scanner before the line-anchored pattern and test both endings. SCRUM-422.</t>
        </is>
      </c>
      <c r="J393" s="8" t="inlineStr">
        <is>
          <t>Done when: the gate passes on LF and on CRLF files and a test covers both endings.</t>
        </is>
      </c>
      <c r="K393" s="8" t="inlineStr">
        <is>
          <t>Fixed in PR atapems-tech/PEMS#44 (merged): scanner normalises CRLF; Theory with LF and CRLF; verified on CRLF-converted library files; PEMS.UI.Tests 70/70. Recorded retroactively as its own issue; QA pending (SQL Server tests, HTTP smoke tests and a Windows run not done in the cloud container).</t>
        </is>
      </c>
      <c r="L393" s="10" t="inlineStr">
        <is>
          <t>M1</t>
        </is>
      </c>
      <c r="M393" s="10" t="inlineStr">
        <is>
          <t>S</t>
        </is>
      </c>
      <c r="N393" s="10" t="inlineStr">
        <is>
          <t>Low</t>
        </is>
      </c>
      <c r="O393" s="10" t="inlineStr">
        <is>
          <t>#386</t>
        </is>
      </c>
      <c r="P393" s="10" t="n"/>
      <c r="Q393" s="10" t="n"/>
      <c r="R393" s="8" t="inlineStr">
        <is>
          <t>UI component library</t>
        </is>
      </c>
      <c r="S393" s="10" t="inlineStr">
        <is>
          <t>Yes</t>
        </is>
      </c>
      <c r="T393" s="10" t="inlineStr">
        <is>
          <t>Sprint 1</t>
        </is>
      </c>
      <c r="U393" s="10" t="inlineStr">
        <is>
          <t>Member A</t>
        </is>
      </c>
    </row>
    <row r="394">
      <c r="A394" s="10" t="n">
        <v>393</v>
      </c>
      <c r="B394" s="10" t="inlineStr">
        <is>
          <t>Claude</t>
        </is>
      </c>
      <c r="C394" s="8" t="inlineStr">
        <is>
          <t>Domain: HR, Projects, Finance &amp; Procurement</t>
        </is>
      </c>
      <c r="D394" s="8" t="inlineStr">
        <is>
          <t>Procurement &amp; supply chain section in the sidebar: purchasing, contracts, vendors and warehouse under one menu (like CMMS)</t>
        </is>
      </c>
      <c r="E394" s="10" t="inlineStr">
        <is>
          <t>Feature</t>
        </is>
      </c>
      <c r="F394" s="10" t="inlineStr">
        <is>
          <t>In Progress</t>
        </is>
      </c>
      <c r="G394" s="10" t="inlineStr">
        <is>
          <t>P1</t>
        </is>
      </c>
      <c r="H394" s="8" t="inlineStr">
        <is>
          <t>Owner request 2026-10-27: procurement pages were spread over Engineering Management (package, tender, MR), Contract Management (contracts, vendors, PO) and Warehouse. Owner decision: the warehouse goes in too. SCRUM-423.</t>
        </is>
      </c>
      <c r="I394" s="8" t="inlineStr">
        <is>
          <t>One section "Procurement &amp; Supply Chain" with sub-headings Purchasing, Contracts and Warehouse (vendors as a direct link) in both sidebars: NavigationMenuDefaults (new keys, old keys retired by the sync, no migration) and the classic _SidebarMenu.cshtml. Each link keeps its former gate plus its former section module, so no role sees more or less.</t>
        </is>
      </c>
      <c r="J394" s="8" t="inlineStr">
        <is>
          <t>Done when: both sidebars show the section in fa and en with the right item active; per-role visibility unchanged (tests); old menu rows deactivated, not deleted; QA in the browser.</t>
        </is>
      </c>
      <c r="K394" s="8" t="inlineStr">
        <is>
          <t>2026-10-27 SCRUM-423: built on feature/SCRUM-423-procurement-menu-saber; DynamicSidebarTests 57/57 (new: former gates kept, retired rows, classic sidebar source); browser check on PEMSDB_QA407, both sidebars, fa and en.</t>
        </is>
      </c>
      <c r="L394" s="10" t="inlineStr">
        <is>
          <t>M1</t>
        </is>
      </c>
      <c r="M394" s="10" t="inlineStr">
        <is>
          <t>S</t>
        </is>
      </c>
      <c r="N394" s="10" t="inlineStr">
        <is>
          <t>Medium</t>
        </is>
      </c>
      <c r="O394" s="10" t="inlineStr">
        <is>
          <t>-</t>
        </is>
      </c>
      <c r="P394" s="10" t="n"/>
      <c r="Q394" s="10" t="n"/>
      <c r="R394" s="8" t="inlineStr">
        <is>
          <t>Domain modules</t>
        </is>
      </c>
      <c r="S394" s="10" t="inlineStr">
        <is>
          <t>Yes</t>
        </is>
      </c>
      <c r="T394" s="10" t="inlineStr">
        <is>
          <t>Sprint 1</t>
        </is>
      </c>
      <c r="U394" s="10" t="inlineStr">
        <is>
          <t>Member A</t>
        </is>
      </c>
    </row>
    <row r="395">
      <c r="A395" s="10" t="n">
        <v>424</v>
      </c>
      <c r="B395" s="10" t="inlineStr">
        <is>
          <t>Claude</t>
        </is>
      </c>
      <c r="C395" s="8" t="inlineStr">
        <is>
          <t>Component Library &amp; Design System</t>
        </is>
      </c>
      <c r="D395" s="8" t="inlineStr">
        <is>
          <t>Unified loading, empty and error states: PemsEmptyState, PemsErrorState and PemsLoadingState in PEMS.UI, one look and one accessibility contract, texts as inputs</t>
        </is>
      </c>
      <c r="E395" s="10" t="inlineStr">
        <is>
          <t>Tech Debt</t>
        </is>
      </c>
      <c r="F395" s="10" t="inlineStr">
        <is>
          <t>In Progress</t>
        </is>
      </c>
      <c r="G395" s="10" t="inlineStr">
        <is>
          <t>P1</t>
        </is>
      </c>
      <c r="H395" s="8" t="inlineStr">
        <is>
          <t>Today only 8 of 303 pages have an empty state and 3 a loading state (see #323). #323 (Saber, In Progress) is not touched; this carves out only the three state components.</t>
        </is>
      </c>
      <c r="I395" s="8" t="n"/>
      <c r="J395" s="8" t="inlineStr">
        <is>
          <t>Three components, a partial facade, golden tests en/fa, registry and guideline; no page changes.</t>
        </is>
      </c>
      <c r="K395" s="8" t="inlineStr">
        <is>
          <t>Built in PR atapems-tech/PEMS#56 (merged): PemsEmptyState, PemsErrorState, PemsLoadingState + _PemsState partial, CSS, registry keys; texts are TranslatableText inputs; no page changed. Owner request in the same PR: component inputs are named-property objects (not positional), shared property-name table in guideline chapter 02. PEMS.UI.Tests 98/98, 6 new golden cases en/fa, all 17 SharedPartialsGoldenTests identical. QA pending (SQL Server tests, HTTP smoke tests, browser check; Titan name list from owner).</t>
        </is>
      </c>
      <c r="L395" s="10" t="inlineStr">
        <is>
          <t>M1</t>
        </is>
      </c>
      <c r="M395" s="10" t="inlineStr">
        <is>
          <t>M</t>
        </is>
      </c>
      <c r="N395" s="10" t="inlineStr">
        <is>
          <t>Medium</t>
        </is>
      </c>
      <c r="O395" s="10" t="inlineStr">
        <is>
          <t>#386 #320</t>
        </is>
      </c>
      <c r="P395" s="10" t="n"/>
      <c r="Q395" s="10" t="n"/>
      <c r="R395" s="8" t="inlineStr">
        <is>
          <t>UI component library</t>
        </is>
      </c>
      <c r="S395" s="10" t="inlineStr">
        <is>
          <t>No</t>
        </is>
      </c>
      <c r="T395" s="10" t="n"/>
      <c r="U395" s="10" t="n"/>
    </row>
    <row r="396">
      <c r="A396" s="10" t="n">
        <v>425</v>
      </c>
      <c r="B396" s="10" t="inlineStr">
        <is>
          <t>Claude</t>
        </is>
      </c>
      <c r="C396" s="8" t="inlineStr">
        <is>
          <t>Component Library &amp; Design System</t>
        </is>
      </c>
      <c r="D396" s="8" t="inlineStr">
        <is>
          <t>Page header component: give _PageHeader its first callers, then move it into PEMS.UI with its texts as inputs</t>
        </is>
      </c>
      <c r="E396" s="10" t="inlineStr">
        <is>
          <t>Tech Debt</t>
        </is>
      </c>
      <c r="F396" s="10" t="inlineStr">
        <is>
          <t>In Progress</t>
        </is>
      </c>
      <c r="G396" s="10" t="inlineStr">
        <is>
          <t>P2</t>
        </is>
      </c>
      <c r="H396" s="8" t="inlineStr">
        <is>
          <t>Found in #388: _PageHeader has no callers, so it could not be moved with a golden proof. Owner decision 2026-10-27: give it callers, then componentize.</t>
        </is>
      </c>
      <c r="I396" s="8" t="n"/>
      <c r="J396" s="8" t="inlineStr">
        <is>
          <t>PemsPageHeader in PEMS.UI, an approved first wave of pages calls it, goldens identical before and after.</t>
        </is>
      </c>
      <c r="K396" s="8" t="inlineStr">
        <is>
          <t>Part 1 in PR atapems-tech/PEMS#60 (merged): title row moved to PEMS.UI _PemsPageHeader, _PageHeader stays as adapter, 7 golden cases byte-identical. Part 2 (owner delegated the choice to Claude, 2026-10-28): evaluated the 48 views that set a title; five show no heading at all and now call the row: Finding/Index, ImportCenter/Index, ShiftHandover/Create, CriticalityAssessment/Create, Barcode/Verify (render test + source guard, mutation check fails 2). Other pages unchanged. QA pending (SQL Server tests, HTTP smoke tests, browser check of the five pages in en/fa, desktop and 375 px).</t>
        </is>
      </c>
      <c r="L396" s="10" t="inlineStr">
        <is>
          <t>M1</t>
        </is>
      </c>
      <c r="M396" s="10" t="inlineStr">
        <is>
          <t>M</t>
        </is>
      </c>
      <c r="N396" s="10" t="inlineStr">
        <is>
          <t>Medium</t>
        </is>
      </c>
      <c r="O396" s="10" t="inlineStr">
        <is>
          <t>#388 #424</t>
        </is>
      </c>
      <c r="P396" s="10" t="n"/>
      <c r="Q396" s="10" t="n"/>
      <c r="R396" s="8" t="inlineStr">
        <is>
          <t>UI component library</t>
        </is>
      </c>
      <c r="S396" s="10" t="inlineStr">
        <is>
          <t>No</t>
        </is>
      </c>
      <c r="T396" s="10" t="n"/>
      <c r="U396" s="10" t="n"/>
    </row>
    <row r="397">
      <c r="A397" s="10" t="n">
        <v>426</v>
      </c>
      <c r="B397" s="10" t="inlineStr">
        <is>
          <t>Claude</t>
        </is>
      </c>
      <c r="C397" s="8" t="inlineStr">
        <is>
          <t>Component Library &amp; Design System</t>
        </is>
      </c>
      <c r="D397" s="8" t="inlineStr">
        <is>
          <t>Persian digits in pagination counts: range text and page numbers use the locale digits in Persian, Latin in English</t>
        </is>
      </c>
      <c r="E397" s="10" t="inlineStr">
        <is>
          <t>Tech Debt</t>
        </is>
      </c>
      <c r="F397" s="10" t="inlineStr">
        <is>
          <t>In Progress</t>
        </is>
      </c>
      <c r="G397" s="10" t="inlineStr">
        <is>
          <t>P2</t>
        </is>
      </c>
      <c r="H397" s="8" t="inlineStr">
        <is>
          <t>The pagination move (#388) kept Latin digits to stay byte-identical; owner asked for Persian digits as a separate task (2026-10-27, ADR-0008).</t>
        </is>
      </c>
      <c r="I397" s="8" t="n"/>
      <c r="J397" s="8" t="inlineStr">
        <is>
          <t>Persian pages show Persian digits in the footer text and numbers; English byte-identical; links and page parameters unchanged.</t>
        </is>
      </c>
      <c r="K397" s="8" t="inlineStr">
        <is>
          <t>Done in PR atapems-tech/PEMS#61 (merged): new IPemsLocale.Digits (digit swap, no reformatting; Format not used because it adds thousands separators); _PemsPagination shows Persian digits in the range text, page numbers and page-size buttons; hrefs and aria-labels stay Latin; English goldens byte-identical, 3 Persian goldens re-recorded and diffed (digits only). PEMS.UI.Tests 99/99, PEMS.Tests.Ui 25/25, mutation check fails 4. QA pending (SQL Server tests, HTTP smoke tests incl. clicking a Persian page link, browser check).</t>
        </is>
      </c>
      <c r="L397" s="10" t="inlineStr">
        <is>
          <t>M1</t>
        </is>
      </c>
      <c r="M397" s="10" t="inlineStr">
        <is>
          <t>S</t>
        </is>
      </c>
      <c r="N397" s="10" t="inlineStr">
        <is>
          <t>Medium</t>
        </is>
      </c>
      <c r="O397" s="10" t="inlineStr">
        <is>
          <t>#388 #386</t>
        </is>
      </c>
      <c r="P397" s="10" t="n"/>
      <c r="Q397" s="10" t="n"/>
      <c r="R397" s="8" t="inlineStr">
        <is>
          <t>UI component library</t>
        </is>
      </c>
      <c r="S397" s="10" t="inlineStr">
        <is>
          <t>No</t>
        </is>
      </c>
      <c r="T397" s="10" t="n"/>
      <c r="U397" s="10" t="n"/>
    </row>
    <row r="398">
      <c r="A398" s="10" t="n">
        <v>427</v>
      </c>
      <c r="B398" s="10" t="inlineStr">
        <is>
          <t>Claude</t>
        </is>
      </c>
      <c r="C398" s="8" t="inlineStr">
        <is>
          <t>Domain: HR, Projects, Finance &amp; Procurement</t>
        </is>
      </c>
      <c r="D398" s="8" t="inlineStr">
        <is>
          <t>Procurement gap analysis: PEMS against international procurement practice (EPC/oil &amp; gas, CIPS, PMI, ISO 20400) with proposed tickets</t>
        </is>
      </c>
      <c r="E398" s="10" t="inlineStr">
        <is>
          <t>Research</t>
        </is>
      </c>
      <c r="F398" s="10" t="inlineStr">
        <is>
          <t>In Progress</t>
        </is>
      </c>
      <c r="G398" s="10" t="inlineStr">
        <is>
          <t>P1</t>
        </is>
      </c>
      <c r="H398" s="8" t="inlineStr">
        <is>
          <t>Owner request 2026-10-27 (compare PEMS procurement with world standards; check indent). SCRUM-427; first of the approved batch SCRUM-427, SCRUM-40, SCRUM-57, SCRUM-428, SCRUM-429.</t>
        </is>
      </c>
      <c r="I398" s="8" t="inlineStr">
        <is>
          <t>Inventory of PEMS procurement (entities, workflows, SoD, numbering), reference lifecycle and controls, gap matrix present/partial/missing with evidence, proposed tickets by value. No code.</t>
        </is>
      </c>
      <c r="J398" s="8" t="inlineStr">
        <is>
          <t>Done when: docs/procurement/PROCUREMENT_STANDARDS_GAP_ANALYSIS.md is merged and the owner reviewed the proposed tickets.</t>
        </is>
      </c>
      <c r="K398" s="8" t="inlineStr">
        <is>
          <t>2026-10-27 SCRUM-427: gap analysis written (32 stages/controls: 5 present, 15 partial, 12 missing; PO row corrected: manual PO starts Draft); indent = Store Requisition (exists), missing link shortage -&gt; MR; 11 follow-up proposals, PO lines + approval first.</t>
        </is>
      </c>
      <c r="L398" s="10" t="inlineStr">
        <is>
          <t>M1</t>
        </is>
      </c>
      <c r="M398" s="10" t="inlineStr">
        <is>
          <t>S</t>
        </is>
      </c>
      <c r="N398" s="10" t="inlineStr">
        <is>
          <t>High</t>
        </is>
      </c>
      <c r="O398" s="10" t="inlineStr">
        <is>
          <t>-</t>
        </is>
      </c>
      <c r="P398" s="10" t="n"/>
      <c r="Q398" s="10" t="n"/>
      <c r="R398" s="8" t="inlineStr">
        <is>
          <t>Domain modules</t>
        </is>
      </c>
      <c r="S398" s="10" t="inlineStr">
        <is>
          <t>Yes</t>
        </is>
      </c>
      <c r="T398" s="10" t="inlineStr">
        <is>
          <t>Sprint 1</t>
        </is>
      </c>
      <c r="U398" s="10" t="inlineStr">
        <is>
          <t>Member A</t>
        </is>
      </c>
    </row>
    <row r="399">
      <c r="A399" s="10" t="n">
        <v>430</v>
      </c>
      <c r="B399" s="10" t="inlineStr">
        <is>
          <t>Claude</t>
        </is>
      </c>
      <c r="C399" s="8" t="inlineStr">
        <is>
          <t>Foundation, Architecture Decisions &amp; Baseline</t>
        </is>
      </c>
      <c r="D399" s="8" t="inlineStr">
        <is>
          <t>ADR: UI definition model - one versioned envelope for pages, layouts, component instances, forms, views, menus, themes, data sources and actions, stored in the database and edited from the UI</t>
        </is>
      </c>
      <c r="E399" s="10" t="inlineStr">
        <is>
          <t>Docs</t>
        </is>
      </c>
      <c r="F399" s="10" t="inlineStr">
        <is>
          <t>Not Started</t>
        </is>
      </c>
      <c r="G399" s="10" t="inlineStr">
        <is>
          <t>P0</t>
        </is>
      </c>
      <c r="H399" s="8" t="inlineStr">
        <is>
          <t>Plan audit 2026-10-28: docs/audits/2026-10-28-dynamic-restful-audit.md. The backlog designs forms (#44), views (#57), dashboards (#58), reports (#59), menus (#20) and workflows (#67) one by one, each with its own storage idea, and nothing defines a page or a component instance. 'All pages, components and forms creatable and editable from the UI' needs one shared definition model first.</t>
        </is>
      </c>
      <c r="I399" s="8" t="inlineStr">
        <is>
          <t>1) List the definition kinds and their relations (Page, Layout, Region, ComponentInstance, DataSource, Action, Form, View, Dashboard, Report, Menu, Theme). 2) One envelope and one version/publish/rollback rule for all of them, reusing the registry (#338). 3) Component instance = component key + options JSON that validates against the component manifest (#433). 4) Static-to-dynamic coexistence: a database definition may override or extend a code default; rollback = delete the override. 5) Cache, invalidation, size limits, security (who can publish). 6) Write plan/adr/NNNN and update the registry design.</t>
        </is>
      </c>
      <c r="J399" s="8" t="inlineStr">
        <is>
          <t>Done when: the ADR is accepted (storage, envelope, draft/publish/rollback, how a static page and a database page coexist, cache and invalidation, size and security limits); rows #338, #387, #44, #57 and #20 reference it; open questions have an owner.</t>
        </is>
      </c>
      <c r="K399" s="8" t="inlineStr">
        <is>
          <t>Written together with #338: ADR-0011 (status Proposed): page, layout, component instance, data source and action definitions in the same envelope, coexistence with static pages by override and reset, PageHost runtime and publish-time validation, installations identical by migration (owner decision 2026-10-28). Rows #338, #387, #44, #57 and #20 reference it. QA pending: owner acceptance.</t>
        </is>
      </c>
      <c r="L399" s="10" t="inlineStr">
        <is>
          <t>M0</t>
        </is>
      </c>
      <c r="M399" s="10" t="inlineStr">
        <is>
          <t>M</t>
        </is>
      </c>
      <c r="N399" s="10" t="inlineStr">
        <is>
          <t>Sales blocker</t>
        </is>
      </c>
      <c r="O399" s="10" t="inlineStr">
        <is>
          <t>#338</t>
        </is>
      </c>
      <c r="P399" s="10" t="n"/>
      <c r="Q399" s="10" t="n"/>
      <c r="R399" s="8" t="inlineStr">
        <is>
          <t>Foundation &amp; decisions</t>
        </is>
      </c>
      <c r="S399" s="10" t="inlineStr">
        <is>
          <t>No</t>
        </is>
      </c>
      <c r="T399" s="10" t="n"/>
      <c r="U399" s="10" t="n"/>
    </row>
    <row r="400">
      <c r="A400" s="10" t="n">
        <v>431</v>
      </c>
      <c r="B400" s="10" t="inlineStr">
        <is>
          <t>Claude</t>
        </is>
      </c>
      <c r="C400" s="8" t="inlineStr">
        <is>
          <t>Foundation, Architecture Decisions &amp; Baseline</t>
        </is>
      </c>
      <c r="D400" s="8" t="inlineStr">
        <is>
          <t>ADR: REST API standard - resource-oriented routes, HTTP semantics, ETag/If-Match, RFC 9457 errors, paging/filter/sort, versioning, OpenAPI 3.1 contract, plus a guideline chapter</t>
        </is>
      </c>
      <c r="E400" s="10" t="inlineStr">
        <is>
          <t>Docs</t>
        </is>
      </c>
      <c r="F400" s="10" t="inlineStr">
        <is>
          <t>Not Started</t>
        </is>
      </c>
      <c r="G400" s="10" t="inlineStr">
        <is>
          <t>P0</t>
        </is>
      </c>
      <c r="H400" s="8" t="inlineStr">
        <is>
          <t>Plan audit 2026-10-28: docs/audits/2026-10-28-dynamic-restful-audit.md. Today there is no REST surface: 147 controllers, none marked [ApiController], 163 GET and 668 POST actions, no PUT/PATCH/DELETE, no OpenAPI, no ProblemDetails, no API versioning; 22 controller files return ad hoc JSON. Row #12 plans /api/d/{entity} without a standard to follow.</t>
        </is>
      </c>
      <c r="I400" s="8" t="inlineStr">
        <is>
          <t>1) Resource naming and URL rules (plural nouns, nested only for ownership, actions as POST sub-resources, e.g. POST /work-orders/{id}/actions/approve). 2) Verbs and status codes (200/201+Location/204/202, 400/401/403/404/409/412/422/428/429). 3) Query contract for paging, sorting, filtering, search, field selection (offset vs cursor decision). 4) Concurrency (ETag/If-Match, 412/428) and idempotency (Idempotency-Key). 5) Errors: RFC 9457 with the field-error list of #363. 6) Versioning and deprecation. 7) i18n: Accept-Language, TranslatableText JSON shape, UTC/ISO dates. 8) Allowed-actions and permission hints for dynamic UIs. 9) Browser auth (cookie plus antiforgery) vs integration auth (token). 10) Write the ADR and the guideline chapter.</t>
        </is>
      </c>
      <c r="J400" s="8" t="inlineStr">
        <is>
          <t>Done when: the ADR is accepted and a short guideline chapter (docs/guidelines) lists the rules with one good and one bad example each; rows #12, #195, #363, #18, #28 and #387 reference it; the open questions have an owner.</t>
        </is>
      </c>
      <c r="K400" s="8" t="inlineStr">
        <is>
          <t>Written in PR (this branch): ADR-0009 (status Proposed, owner review) and guideline chapter 08 with a good and a bad example per rule; paging decision recorded (offset for grids, cursor for exports and very large tables, one implementation); rows #12, #195, #387 already reference #431, #363, #18 and #28 now do. QA pending: owner acceptance of the ADR.</t>
        </is>
      </c>
      <c r="L400" s="10" t="inlineStr">
        <is>
          <t>M0</t>
        </is>
      </c>
      <c r="M400" s="10" t="inlineStr">
        <is>
          <t>M</t>
        </is>
      </c>
      <c r="N400" s="10" t="inlineStr">
        <is>
          <t>Sales blocker</t>
        </is>
      </c>
      <c r="O400" s="10" t="inlineStr">
        <is>
          <t>#3</t>
        </is>
      </c>
      <c r="P400" s="10" t="n"/>
      <c r="Q400" s="10" t="n"/>
      <c r="R400" s="8" t="inlineStr">
        <is>
          <t>Foundation &amp; decisions</t>
        </is>
      </c>
      <c r="S400" s="10" t="inlineStr">
        <is>
          <t>No</t>
        </is>
      </c>
      <c r="T400" s="10" t="n"/>
      <c r="U400" s="10" t="n"/>
    </row>
    <row r="401">
      <c r="A401" s="10" t="n">
        <v>432</v>
      </c>
      <c r="B401" s="10" t="inlineStr">
        <is>
          <t>Claude</t>
        </is>
      </c>
      <c r="C401" s="8" t="inlineStr">
        <is>
          <t>Foundation, Architecture Decisions &amp; Baseline</t>
        </is>
      </c>
      <c r="D401" s="8" t="inlineStr">
        <is>
          <t>REST inventory of the 147 controllers and 1,062 actions: classify (view-only MVC, form post, JSON endpoint, API candidate) and map each to a target resource</t>
        </is>
      </c>
      <c r="E401" s="10" t="inlineStr">
        <is>
          <t>Research</t>
        </is>
      </c>
      <c r="F401" s="10" t="inlineStr">
        <is>
          <t>Not Started</t>
        </is>
      </c>
      <c r="G401" s="10" t="inlineStr">
        <is>
          <t>P1</t>
        </is>
      </c>
      <c r="H401" s="8" t="inlineStr">
        <is>
          <t>Plan audit 2026-10-28: docs/audits/2026-10-28-dynamic-restful-audit.md. Needed to plan the strangler for the API the same way #85 plans it for modules; without it the API work cannot be sized.</t>
        </is>
      </c>
      <c r="I401" s="8" t="inlineStr">
        <is>
          <t>Script the inventory (routes, verbs, return types, [Authorize] policies, antiforgery) with Roslyn or reflection; classify by hand the heaviest 30 controllers; list verbs-in-URL, state-changing GETs and missing authorization; propose the target resource names per #431.</t>
        </is>
      </c>
      <c r="J401" s="8" t="inlineStr">
        <is>
          <t>Done when: a table (controller, actions, kind, target resource, wave, owner) is committed under docs/audits; the 22 JSON-returning controllers each have a target shape; rows #85 and #12 reference it.</t>
        </is>
      </c>
      <c r="K401" s="8" t="inlineStr">
        <is>
          <t>Done in the PR of branch feature/SCRUM-432-rest-inventory-hamid: tools/rest-inventory/rest_inventory.py (static scan, matches the attribute counts 163 GET / 668 POST exactly), docs/audits/rest-inventory.csv (1,062 actions with verb, kind, permission signal, target resource, wave) and REST_INVENTORY_2026-10-28.md (totals, findings, 30 heaviest controllers classified by hand, target shape of every JSON endpoint: 170 actions in 57 controllers, covering the 22 earlier counted). Findings: 0 PUT/PATCH/DELETE, 476 verb-named actions, 2 preference changes via GET, 269 actions without a permission signal beyond sign-in (security review list, not proof of a hole). QA pending: owner review of the permission-signal list.</t>
        </is>
      </c>
      <c r="L401" s="10" t="inlineStr">
        <is>
          <t>M0</t>
        </is>
      </c>
      <c r="M401" s="10" t="inlineStr">
        <is>
          <t>M</t>
        </is>
      </c>
      <c r="N401" s="10" t="inlineStr">
        <is>
          <t>High</t>
        </is>
      </c>
      <c r="O401" s="10" t="inlineStr">
        <is>
          <t>#431</t>
        </is>
      </c>
      <c r="P401" s="10" t="n"/>
      <c r="Q401" s="10" t="n"/>
      <c r="R401" s="8" t="inlineStr">
        <is>
          <t>Foundation &amp; decisions</t>
        </is>
      </c>
      <c r="S401" s="10" t="inlineStr">
        <is>
          <t>No</t>
        </is>
      </c>
      <c r="T401" s="10" t="n"/>
      <c r="U401" s="10" t="n"/>
    </row>
    <row r="402">
      <c r="A402" s="10" t="n">
        <v>433</v>
      </c>
      <c r="B402" s="10" t="inlineStr">
        <is>
          <t>Claude</t>
        </is>
      </c>
      <c r="C402" s="8" t="inlineStr">
        <is>
          <t>Component Library &amp; Design System</t>
        </is>
      </c>
      <c r="D402" s="8" t="inlineStr">
        <is>
          <t>Component manifest: every PEMS.UI component publishes its key, options JSON Schema (generated from the options records), slots, events and samples to drive designers and validate stored JSON</t>
        </is>
      </c>
      <c r="E402" s="10" t="inlineStr">
        <is>
          <t>Feature</t>
        </is>
      </c>
      <c r="F402" s="10" t="inlineStr">
        <is>
          <t>Not Started</t>
        </is>
      </c>
      <c r="G402" s="10" t="inlineStr">
        <is>
          <t>P0</t>
        </is>
      </c>
      <c r="H402" s="8" t="inlineStr">
        <is>
          <t>Plan audit 2026-10-28: docs/audits/2026-10-28-dynamic-restful-audit.md. Options are now named-property records with required/optional members (SCRUM-424), so a schema can be generated rather than written. A designer cannot offer 'add a component to a page' without knowing each component's inputs.</t>
        </is>
      </c>
      <c r="I402" s="8" t="inlineStr">
        <is>
          <t>Generate JSON Schema (System.Text.Json schema exporter or NJsonSchema, licence recorded) from the options types; add [PemsComponent] metadata (category, icon key, TranslatableText name/description); expose through the definition store (#434) and the catalog (#326); add the completeness test.</t>
        </is>
      </c>
      <c r="J402" s="8" t="inlineStr">
        <is>
          <t>Done when: a generator produces one JSON manifest per component from the code (no hand-written schema); a stored options JSON that violates the schema is rejected with a field error list; the manifest of Button, Badge, Field, Table, Form, Empty/Error/Loading state exists and a test fails when a component has no manifest.</t>
        </is>
      </c>
      <c r="K402" s="8" t="inlineStr">
        <is>
          <t>Done in the PR of branch feature/SCRUM-433-component-manifest-hamid: [PemsComponent] now carries Category and Icon and is on all nine registered components (button, badge, skeleton, field, table, form, empty-state, error-state, loading-state); ComponentManifestGenerator builds one manifest per component from the code with the built-in JsonSchemaExporter (TranslatableText as string or language map, unknown properties rejected, required from C# required/EditorRequired); ComponentManifestCatalog validates stored options JSON with LateApexEarlySpeed.Json.Schema (BSD-3-Clause) and returns a field error list (JSON Pointer, constraint code, message key) and converts valid options to component parameters; approved snapshots in PEMS.UI.Tests/Manifests. PEMS.UI.Tests 124/124 (25 new); mutation checks: removing the attribute fails 3, making Label optional fails 3. QA pending: owner confirms the library licence choice.</t>
        </is>
      </c>
      <c r="L402" s="10" t="inlineStr">
        <is>
          <t>M1</t>
        </is>
      </c>
      <c r="M402" s="10" t="inlineStr">
        <is>
          <t>M</t>
        </is>
      </c>
      <c r="N402" s="10" t="inlineStr">
        <is>
          <t>Sales blocker</t>
        </is>
      </c>
      <c r="O402" s="10" t="inlineStr">
        <is>
          <t>#321 #430</t>
        </is>
      </c>
      <c r="P402" s="10" t="n"/>
      <c r="Q402" s="10" t="n"/>
      <c r="R402" s="8" t="inlineStr">
        <is>
          <t>UI component library</t>
        </is>
      </c>
      <c r="S402" s="10" t="inlineStr">
        <is>
          <t>No</t>
        </is>
      </c>
      <c r="T402" s="10" t="n"/>
      <c r="U402" s="10" t="n"/>
    </row>
    <row r="403">
      <c r="A403" s="10" t="n">
        <v>434</v>
      </c>
      <c r="B403" s="10" t="inlineStr">
        <is>
          <t>Claude</t>
        </is>
      </c>
      <c r="C403" s="8" t="inlineStr">
        <is>
          <t>Metadata Core &amp; Dynamic Platform</t>
        </is>
      </c>
      <c r="D403" s="8" t="inlineStr">
        <is>
          <t>Definition store REST API: create, edit (If-Match), publish, roll back, export and import of UI definitions under /api/v1/definitions; the designers are ordinary clients of it</t>
        </is>
      </c>
      <c r="E403" s="10" t="inlineStr">
        <is>
          <t>Feature</t>
        </is>
      </c>
      <c r="F403" s="10" t="inlineStr">
        <is>
          <t>Not Started</t>
        </is>
      </c>
      <c r="G403" s="10" t="inlineStr">
        <is>
          <t>P0</t>
        </is>
      </c>
      <c r="H403" s="8" t="inlineStr">
        <is>
          <t>Plan audit 2026-10-28: docs/audits/2026-10-28-dynamic-restful-audit.md. The designers (#44, #57, #20, #56) otherwise each invent their own save path. One REST surface also proves the REST standard (#431) on real data and is the first step to a separable front end.</t>
        </is>
      </c>
      <c r="I403" s="8" t="inlineStr">
        <is>
          <t>Tables and EF entities per #430; controller(s) per #431; optimistic concurrency with row version as ETag; publish creates an immutable version; rollback = republish an older version; import/export uses the signed package of #23; reuse #387 hydration for the read path; new migration (never edit an applied one).</t>
        </is>
      </c>
      <c r="J403" s="8" t="inlineStr">
        <is>
          <t>Done when: a form definition can be created as a draft, edited with If-Match, published and rolled back through the API only; two concurrent edits give 412 for the second; every call is authorized and audited; the OpenAPI document lists the operations; tests cover all of it.</t>
        </is>
      </c>
      <c r="K403" s="8" t="n"/>
      <c r="L403" s="10" t="inlineStr">
        <is>
          <t>M1</t>
        </is>
      </c>
      <c r="M403" s="10" t="inlineStr">
        <is>
          <t>L</t>
        </is>
      </c>
      <c r="N403" s="10" t="inlineStr">
        <is>
          <t>Sales blocker</t>
        </is>
      </c>
      <c r="O403" s="10" t="inlineStr">
        <is>
          <t>#430 #431 #338</t>
        </is>
      </c>
      <c r="P403" s="10" t="n"/>
      <c r="Q403" s="10" t="n"/>
      <c r="R403" s="8" t="inlineStr">
        <is>
          <t>Dynamic data core</t>
        </is>
      </c>
      <c r="S403" s="10" t="inlineStr">
        <is>
          <t>No</t>
        </is>
      </c>
      <c r="T403" s="10" t="n"/>
      <c r="U403" s="10" t="n"/>
    </row>
    <row r="404">
      <c r="A404" s="10" t="n">
        <v>435</v>
      </c>
      <c r="B404" s="10" t="inlineStr">
        <is>
          <t>Claude</t>
        </is>
      </c>
      <c r="C404" s="8" t="inlineStr">
        <is>
          <t>Integration, Events &amp; API</t>
        </is>
      </c>
      <c r="D404" s="8" t="inlineStr">
        <is>
          <t>API walking skeleton in the current app: /api/v1 with OpenAPI 3.1, ProblemDetails, versioning, authorization on every endpoint, RLS, ETag and one pilot resource</t>
        </is>
      </c>
      <c r="E404" s="10" t="inlineStr">
        <is>
          <t>Feature</t>
        </is>
      </c>
      <c r="F404" s="10" t="inlineStr">
        <is>
          <t>Not Started</t>
        </is>
      </c>
      <c r="G404" s="10" t="inlineStr">
        <is>
          <t>P0</t>
        </is>
      </c>
      <c r="H404" s="8" t="inlineStr">
        <is>
          <t>Plan audit 2026-10-28: docs/audits/2026-10-28-dynamic-restful-audit.md. Proves the standard end to end before 147 controllers are touched and gives the front/back separation spike (#441) something real to measure.</t>
        </is>
      </c>
      <c r="I404" s="8" t="inlineStr">
        <is>
          <t>Use the built-in Microsoft.AspNetCore.OpenApi (no CDN, offline docs UI only if packaged locally); ProblemDetails middleware; API versioning package (licence recorded) or route-based; filter that requires an authorization policy; pilot = a base-data entity from migration wave 1 (#87) or the definition store (#434); keep MVC and API in one deployable.</t>
        </is>
      </c>
      <c r="J404" s="8" t="inlineStr">
        <is>
          <t>Done when: GET/POST/PUT/PATCH/DELETE on the pilot resource follow #431 and are covered by tests; the OpenAPI document is served offline and lints clean; an endpoint without authorization fails a test; the browser and an integration token can both call it.</t>
        </is>
      </c>
      <c r="K404" s="8" t="inlineStr">
        <is>
          <t>Done in the PR of branch feature/SCRUM-435-api-skeleton-hamid: PEMS.Web/Api with RFC 9457 problem+json (errors list), ETag/If-Match (412/428), Idempotency-Key (in memory), list contract (sort, filter[f], q, fields, offset paging capped at 10,000 rows), allowedActions, [ApiPermission(module, action)] policies over the permission matrix, 401/403 problems for /api, OpenAPI 3.1 at /api/v1/openapi.json (Microsoft.AspNetCore.OpenApi, MIT, signed-in users only, approved snapshot). Pilot resource /api/v1/disciplines: GET list/one, POST 201+Location, PUT, PATCH (merge patch), DELETE (409 when in use) on the same service as the master-data page; migration DisciplineRowVersion. 46 new tests (contract, policy gate, antiforgery gate, OpenAPI snapshot); unsafe verbs validate the X-CSRF-TOKEN antiforgery header. NOT done / QA pending: integration bearer token (issuing and validation stays with #195), durable Idempotency-Key store (#434), cursor paging (first export endpoint), SQL Server run of the row-version concurrency and the DELETE 409 path, a request through the real pipeline (cookie + antiforgery header) in a browser, external OpenAPI lint (Spectral) not available offline.</t>
        </is>
      </c>
      <c r="L404" s="10" t="inlineStr">
        <is>
          <t>M1</t>
        </is>
      </c>
      <c r="M404" s="10" t="inlineStr">
        <is>
          <t>L</t>
        </is>
      </c>
      <c r="N404" s="10" t="inlineStr">
        <is>
          <t>Sales blocker</t>
        </is>
      </c>
      <c r="O404" s="10" t="inlineStr">
        <is>
          <t>#431</t>
        </is>
      </c>
      <c r="P404" s="10" t="n"/>
      <c r="Q404" s="10" t="n"/>
      <c r="R404" s="8" t="inlineStr">
        <is>
          <t>Integration &amp; API</t>
        </is>
      </c>
      <c r="S404" s="10" t="inlineStr">
        <is>
          <t>No</t>
        </is>
      </c>
      <c r="T404" s="10" t="n"/>
      <c r="U404" s="10" t="n"/>
    </row>
    <row r="405">
      <c r="A405" s="10" t="n">
        <v>436</v>
      </c>
      <c r="B405" s="10" t="inlineStr">
        <is>
          <t>Claude</t>
        </is>
      </c>
      <c r="C405" s="8" t="inlineStr">
        <is>
          <t>Integration, Events &amp; API</t>
        </is>
      </c>
      <c r="D405" s="8" t="inlineStr">
        <is>
          <t>API quality gates in CI: OpenAPI lint, REST conformance tests, OpenAPI snapshot test and an API performance baseline</t>
        </is>
      </c>
      <c r="E405" s="10" t="inlineStr">
        <is>
          <t>Feature</t>
        </is>
      </c>
      <c r="F405" s="10" t="inlineStr">
        <is>
          <t>Not Started</t>
        </is>
      </c>
      <c r="G405" s="10" t="inlineStr">
        <is>
          <t>P1</t>
        </is>
      </c>
      <c r="H405" s="8" t="inlineStr">
        <is>
          <t>Plan audit 2026-10-28: docs/audits/2026-10-28-dynamic-restful-audit.md. Without gates a REST standard decays within weeks (see the literal-text and component gates already used for PEMS.UI).</t>
        </is>
      </c>
      <c r="I405" s="8" t="inlineStr">
        <is>
          <t>Spectral ruleset in the repo (offline); xUnit conformance suite using WebApplicationFactory; OpenAPI snapshot approval file; extend #202 with API scenarios; document how to update the snapshot.</t>
        </is>
      </c>
      <c r="J405" s="8" t="inlineStr">
        <is>
          <t>Done when: CI fails on a new endpoint that breaks a rule or changes the OpenAPI document without an approved snapshot update; the k6 API baseline (p95 latency, error rate) is stored; the rules are listed in the guideline chapter.</t>
        </is>
      </c>
      <c r="K405" s="8" t="n"/>
      <c r="L405" s="10" t="inlineStr">
        <is>
          <t>M1</t>
        </is>
      </c>
      <c r="M405" s="10" t="inlineStr">
        <is>
          <t>M</t>
        </is>
      </c>
      <c r="N405" s="10" t="inlineStr">
        <is>
          <t>High</t>
        </is>
      </c>
      <c r="O405" s="10" t="inlineStr">
        <is>
          <t>#435</t>
        </is>
      </c>
      <c r="P405" s="10" t="n"/>
      <c r="Q405" s="10" t="n"/>
      <c r="R405" s="8" t="inlineStr">
        <is>
          <t>Integration &amp; API</t>
        </is>
      </c>
      <c r="S405" s="10" t="inlineStr">
        <is>
          <t>No</t>
        </is>
      </c>
      <c r="T405" s="10" t="n"/>
      <c r="U405" s="10" t="n"/>
    </row>
    <row r="406">
      <c r="A406" s="10" t="n">
        <v>437</v>
      </c>
      <c r="B406" s="10" t="inlineStr">
        <is>
          <t>Claude</t>
        </is>
      </c>
      <c r="C406" s="8" t="inlineStr">
        <is>
          <t>Dynamic Module Builder</t>
        </is>
      </c>
      <c r="D406" s="8" t="inlineStr">
        <is>
          <t>Declarative data-source and action bindings: components bind to queries, views and endpoints, and their actions are stored data, not code</t>
        </is>
      </c>
      <c r="E406" s="10" t="inlineStr">
        <is>
          <t>Feature</t>
        </is>
      </c>
      <c r="F406" s="10" t="inlineStr">
        <is>
          <t>Not Started</t>
        </is>
      </c>
      <c r="G406" s="10" t="inlineStr">
        <is>
          <t>P0</t>
        </is>
      </c>
      <c r="H406" s="8" t="inlineStr">
        <is>
          <t>Plan audit 2026-10-28: docs/audits/2026-10-28-dynamic-restful-audit.md. A page made of components is useless until the components can be wired to data and behaviour without code.</t>
        </is>
      </c>
      <c r="I406" s="8" t="inlineStr">
        <is>
          <t>Define DataSource (kind, entity/view/endpoint, parameters, paging, filters) and Action (kind, target, confirmation, permission) definitions per #430; resolve them on the server through the REST API (#431/#12) with RLS; component options reference them by key; use the PemsEmptyState/ErrorState/LoadingState for the three result states.</t>
        </is>
      </c>
      <c r="J406" s="8" t="inlineStr">
        <is>
          <t>Done when: a list component and a button on a database page load data and trigger a workflow action using only stored definitions; a user without permission sees neither the data nor the action; the binding model is validated against the manifests (#433).</t>
        </is>
      </c>
      <c r="K406" s="8" t="n"/>
      <c r="L406" s="10" t="inlineStr">
        <is>
          <t>M2</t>
        </is>
      </c>
      <c r="M406" s="10" t="inlineStr">
        <is>
          <t>L</t>
        </is>
      </c>
      <c r="N406" s="10" t="inlineStr">
        <is>
          <t>Sales blocker</t>
        </is>
      </c>
      <c r="O406" s="10" t="inlineStr">
        <is>
          <t>#430 #434 #12</t>
        </is>
      </c>
      <c r="P406" s="10" t="n"/>
      <c r="Q406" s="10" t="n"/>
      <c r="R406" s="8" t="inlineStr">
        <is>
          <t>Module builder</t>
        </is>
      </c>
      <c r="S406" s="10" t="inlineStr">
        <is>
          <t>No</t>
        </is>
      </c>
      <c r="T406" s="10" t="n"/>
      <c r="U406" s="10" t="n"/>
    </row>
    <row r="407">
      <c r="A407" s="10" t="n">
        <v>438</v>
      </c>
      <c r="B407" s="10" t="inlineStr">
        <is>
          <t>Claude</t>
        </is>
      </c>
      <c r="C407" s="8" t="inlineStr">
        <is>
          <t>Dynamic Module Builder</t>
        </is>
      </c>
      <c r="D407" s="8" t="inlineStr">
        <is>
          <t>Page definition and PageHost runtime: a page is a stored layout of component instances rendered by one generic host in fa and en, with cache, permissions and a static fallback</t>
        </is>
      </c>
      <c r="E407" s="10" t="inlineStr">
        <is>
          <t>Feature</t>
        </is>
      </c>
      <c r="F407" s="10" t="inlineStr">
        <is>
          <t>Not Started</t>
        </is>
      </c>
      <c r="G407" s="10" t="inlineStr">
        <is>
          <t>P0</t>
        </is>
      </c>
      <c r="H407" s="8" t="inlineStr">
        <is>
          <t>Plan audit 2026-10-28: docs/audits/2026-10-28-dynamic-restful-audit.md. Today 303 pages are hand-written views; this is the runtime that makes a page data.</t>
        </is>
      </c>
      <c r="I407" s="8" t="inlineStr">
        <is>
          <t>PageHost controller/view that loads the definition, resolves layout and regions, renders each instance through the component renderer (PEMS.UI) with its manifest-validated options; cache per definition version with invalidation on publish; routing for database pages; visibility rules from the expression engine (#15).</t>
        </is>
      </c>
      <c r="J407" s="8" t="inlineStr">
        <is>
          <t>Done when: a page created only in the database renders at its route in fa and en with no deploy; a published change shows on the next request; an unauthorized user gets 403 and a missing page 404; a static page keeps working when its override is removed; render time is within the budget set in #319.</t>
        </is>
      </c>
      <c r="K407" s="8" t="n"/>
      <c r="L407" s="10" t="inlineStr">
        <is>
          <t>M2</t>
        </is>
      </c>
      <c r="M407" s="10" t="inlineStr">
        <is>
          <t>L</t>
        </is>
      </c>
      <c r="N407" s="10" t="inlineStr">
        <is>
          <t>Sales blocker</t>
        </is>
      </c>
      <c r="O407" s="10" t="inlineStr">
        <is>
          <t>#430 #433 #434 #437 #325</t>
        </is>
      </c>
      <c r="P407" s="10" t="n"/>
      <c r="Q407" s="10" t="n"/>
      <c r="R407" s="8" t="inlineStr">
        <is>
          <t>Module builder</t>
        </is>
      </c>
      <c r="S407" s="10" t="inlineStr">
        <is>
          <t>No</t>
        </is>
      </c>
      <c r="T407" s="10" t="n"/>
      <c r="U407" s="10" t="n"/>
    </row>
    <row r="408">
      <c r="A408" s="10" t="n">
        <v>439</v>
      </c>
      <c r="B408" s="10" t="inlineStr">
        <is>
          <t>Claude</t>
        </is>
      </c>
      <c r="C408" s="8" t="inlineStr">
        <is>
          <t>Dynamic Module Builder</t>
        </is>
      </c>
      <c r="D408" s="8" t="inlineStr">
        <is>
          <t>Page designer: build, preview, publish and roll back a page from the UI (layouts, drag-and-drop component instances, generated property panels, bindings, visibility)</t>
        </is>
      </c>
      <c r="E408" s="10" t="inlineStr">
        <is>
          <t>Feature</t>
        </is>
      </c>
      <c r="F408" s="10" t="inlineStr">
        <is>
          <t>Not Started</t>
        </is>
      </c>
      <c r="G408" s="10" t="inlineStr">
        <is>
          <t>P0</t>
        </is>
      </c>
      <c r="H408" s="8" t="inlineStr">
        <is>
          <t>Plan audit 2026-10-28: docs/audits/2026-10-28-dynamic-restful-audit.md. This is the user-facing half of 'all pages and components editable by the UI'.</t>
        </is>
      </c>
      <c r="I408" s="8" t="inlineStr">
        <is>
          <t>Embedded JavaScript component per ADR-0002 (library choice recorded, offline); property panels generated from the component manifests; undo/redo; autosave to draft; uses the definition store API only (no direct DB); share the preview with the PageHost renderer.</t>
        </is>
      </c>
      <c r="J408" s="8" t="inlineStr">
        <is>
          <t>Done when: a non-developer builds a list-plus-detail page and a form page with the designer, previews it in both directions, publishes it and rolls it back; every save goes through the definition store API (#434); the designer is keyboard accessible.</t>
        </is>
      </c>
      <c r="K408" s="8" t="n"/>
      <c r="L408" s="10" t="inlineStr">
        <is>
          <t>M2</t>
        </is>
      </c>
      <c r="M408" s="10" t="inlineStr">
        <is>
          <t>XL</t>
        </is>
      </c>
      <c r="N408" s="10" t="inlineStr">
        <is>
          <t>Sales blocker</t>
        </is>
      </c>
      <c r="O408" s="10" t="inlineStr">
        <is>
          <t>#438 #433</t>
        </is>
      </c>
      <c r="P408" s="10" t="n"/>
      <c r="Q408" s="10" t="n"/>
      <c r="R408" s="8" t="inlineStr">
        <is>
          <t>Module builder</t>
        </is>
      </c>
      <c r="S408" s="10" t="inlineStr">
        <is>
          <t>No</t>
        </is>
      </c>
      <c r="T408" s="10" t="n"/>
      <c r="U408" s="10" t="n"/>
    </row>
    <row r="409">
      <c r="A409" s="10" t="n">
        <v>440</v>
      </c>
      <c r="B409" s="10" t="inlineStr">
        <is>
          <t>Claude</t>
        </is>
      </c>
      <c r="C409" s="8" t="inlineStr">
        <is>
          <t>Dynamic Module Builder</t>
        </is>
      </c>
      <c r="D409" s="8" t="inlineStr">
        <is>
          <t>Design-time governance: design roles, field-level audit of definition changes, system-page protection and reset, approval for critical pages</t>
        </is>
      </c>
      <c r="E409" s="10" t="inlineStr">
        <is>
          <t>Feature</t>
        </is>
      </c>
      <c r="F409" s="10" t="inlineStr">
        <is>
          <t>Not Started</t>
        </is>
      </c>
      <c r="G409" s="10" t="inlineStr">
        <is>
          <t>P1</t>
        </is>
      </c>
      <c r="H409" s="8" t="inlineStr">
        <is>
          <t>Plan audit 2026-10-28: docs/audits/2026-10-28-dynamic-restful-audit.md. Editable-by-UI without governance means any admin can break a production page; the audit and rollback must exist before the designers ship.</t>
        </is>
      </c>
      <c r="I409" s="8" t="inlineStr">
        <is>
          <t>Design permissions in the access matrix (#60/#178); reuse the generic audit (#17) for definition tables; 'system' flag on shipped definitions with reset; optional two-person publish rule through the workflow platform.</t>
        </is>
      </c>
      <c r="J409" s="8" t="inlineStr">
        <is>
          <t>Done when: a user without the design role cannot change or publish a definition (API and UI); every definition change is in the audit trail with who/what/when and a diff; resetting a system page returns the shipped default; a publish on a protected page needs a second approver.</t>
        </is>
      </c>
      <c r="K409" s="8" t="n"/>
      <c r="L409" s="10" t="inlineStr">
        <is>
          <t>M2</t>
        </is>
      </c>
      <c r="M409" s="10" t="inlineStr">
        <is>
          <t>M</t>
        </is>
      </c>
      <c r="N409" s="10" t="inlineStr">
        <is>
          <t>High</t>
        </is>
      </c>
      <c r="O409" s="10" t="inlineStr">
        <is>
          <t>#434 #17 #178</t>
        </is>
      </c>
      <c r="P409" s="10" t="n"/>
      <c r="Q409" s="10" t="n"/>
      <c r="R409" s="8" t="inlineStr">
        <is>
          <t>Module builder</t>
        </is>
      </c>
      <c r="S409" s="10" t="inlineStr">
        <is>
          <t>No</t>
        </is>
      </c>
      <c r="T409" s="10" t="n"/>
      <c r="U409" s="10" t="n"/>
    </row>
    <row r="410">
      <c r="A410" s="10" t="n">
        <v>441</v>
      </c>
      <c r="B410" s="10" t="inlineStr">
        <is>
          <t>Claude</t>
        </is>
      </c>
      <c r="C410" s="8" t="inlineStr">
        <is>
          <t>Foundation, Architecture Decisions &amp; Baseline</t>
        </is>
      </c>
      <c r="D410" s="8" t="inlineStr">
        <is>
          <t>Frontend and backend separation: measured spike and ADR comparing Razor + PEMS.UI, Razor + public REST API, a separate SPA and a BFF</t>
        </is>
      </c>
      <c r="E410" s="10" t="inlineStr">
        <is>
          <t>Decision Needed</t>
        </is>
      </c>
      <c r="F410" s="10" t="inlineStr">
        <is>
          <t>Not Started</t>
        </is>
      </c>
      <c r="G410" s="10" t="inlineStr">
        <is>
          <t>P1</t>
        </is>
      </c>
      <c r="H410" s="8" t="inlineStr">
        <is>
          <t>Plan audit 2026-10-28: docs/audits/2026-10-28-dynamic-restful-audit.md. The owner wants to separate backend and frontend if there is no performance issue. The product installs on customer servers, works offline and ships no readable source of record, so the decision needs measurements, not preference. Recommendation until then: API-first (#431, #435), no front-end split yet.</t>
        </is>
      </c>
      <c r="I410" s="8" t="inlineStr">
        <is>
          <t>Build the same list and form twice (Razor/PEMS.UI vs a small SPA on the walking-skeleton API); measure with the k6/Playwright setups (#202, #41); record bundle size, TTFB/TTI, memory, build and install impact, licence-protection impact (#96), RTL/i18n effort; write plan/adr/NNNN with the decision and what would change it.</t>
        </is>
      </c>
      <c r="J410" s="8" t="inlineStr">
        <is>
          <t>Done when: the spike measures time to first byte, time to interactive, payload size and server cost for one real list and one form in options A and C on the same data; the ADR records the scores, the decision and the revisit trigger; if C is chosen a migration path from the API of #435 is listed.</t>
        </is>
      </c>
      <c r="K410" s="8" t="n"/>
      <c r="L410" s="10" t="inlineStr">
        <is>
          <t>M2</t>
        </is>
      </c>
      <c r="M410" s="10" t="inlineStr">
        <is>
          <t>L</t>
        </is>
      </c>
      <c r="N410" s="10" t="inlineStr">
        <is>
          <t>High</t>
        </is>
      </c>
      <c r="O410" s="10" t="inlineStr">
        <is>
          <t>#435 #319 #202</t>
        </is>
      </c>
      <c r="P410" s="10" t="n"/>
      <c r="Q410" s="10" t="n"/>
      <c r="R410" s="8" t="inlineStr">
        <is>
          <t>Foundation &amp; decisions</t>
        </is>
      </c>
      <c r="S410" s="10" t="inlineStr">
        <is>
          <t>No</t>
        </is>
      </c>
      <c r="T410" s="10" t="n"/>
      <c r="U410" s="10" t="n"/>
    </row>
    <row r="411">
      <c r="A411" s="10" t="n">
        <v>442</v>
      </c>
      <c r="B411" s="10" t="inlineStr">
        <is>
          <t>Claude</t>
        </is>
      </c>
      <c r="C411" s="8" t="inlineStr">
        <is>
          <t>Persian Localization, RTL &amp; Jalali Calendar</t>
        </is>
      </c>
      <c r="D411" s="8" t="inlineStr">
        <is>
          <t>Site-wide digits: Persian digits for numbers, counts and dates shown to Persian users on every page and in scripts, Latin in English; display only, never in links, ids, posted values or exports</t>
        </is>
      </c>
      <c r="E411" s="10" t="inlineStr">
        <is>
          <t>Feature</t>
        </is>
      </c>
      <c r="F411" s="10" t="inlineStr">
        <is>
          <t>Not Started</t>
        </is>
      </c>
      <c r="G411" s="10" t="inlineStr">
        <is>
          <t>P1</t>
        </is>
      </c>
      <c r="H411" s="8" t="inlineStr">
        <is>
          <t>Plan audit follow-up, owner request 2026-10-28 (after SCRUM-426 did the pagination footer). Measured: 168 views call ToString(format) (243 ISO dates, 112 date-times, 92 N0, 35 N1, 32 N3, 14 0.###, 11 0.0), about 156 views print counts, quantities or amounts, 3 script files format numbers (toFixed, Intl.NumberFormat). .NET never swaps digits itself, so a Persian page prints Latin digits today. IPemsLocale.Digits and Format exist (SCRUM-426, ADR-0008). Calendar choice (Jalali for fa) is NOT part of this task; see #367, #208 and the dates decision in ADR-0008.</t>
        </is>
      </c>
      <c r="I411" s="8" t="inlineStr">
        <is>
          <t>1) Design first (small PR): one view helper and one script helper over IPemsLocale (number, integer, percent, decimal, date, date-time, count) with explicit raw escape hatch for attributes and values; decide how pages opt in (HtmlHelper or Tag Helper) and how scripts get the locale (data attribute). 2) Codemod the repeated patterns (ToString N0/N1/N3/0.###/0.0, yyyy-MM-dd, yyyy-MM-dd HH:mm) in waves by area with golden or render proof per wave (en byte-identical, fa digits only). 3) Scripts: replace toFixed and Intl.NumberFormat without a locale by the shared helper. 4) Ratchet test like the component raw-markup ratchet (#327): count of raw ToString format calls in views may only go down. 5) Exports (Excel, CSV, PDF) are covered by #371, not here. 6) Document in guideline chapter 02 what is display and what is data.</t>
        </is>
      </c>
      <c r="J411" s="8" t="inlineStr">
        <is>
          <t>Done when: a Persian user sees Persian digits in every displayed number and date on the migrated pages and in the scripts that draw numbers, an English user sees Latin digits exactly as today; links, ids, form values, CSV/Excel exports and API output stay Latin; a ratchet test fails when a view formats a number or date for display without the shared helper; every wave has before/after golden or render proof.</t>
        </is>
      </c>
      <c r="K411" s="8" t="n"/>
      <c r="L411" s="10" t="inlineStr">
        <is>
          <t>M2</t>
        </is>
      </c>
      <c r="M411" s="10" t="inlineStr">
        <is>
          <t>XL</t>
        </is>
      </c>
      <c r="N411" s="10" t="inlineStr">
        <is>
          <t>High</t>
        </is>
      </c>
      <c r="O411" s="10" t="inlineStr">
        <is>
          <t>#426 #367 #386</t>
        </is>
      </c>
      <c r="P411" s="10" t="n"/>
      <c r="Q411" s="10" t="n"/>
      <c r="R411" s="8" t="inlineStr">
        <is>
          <t>Persian localization</t>
        </is>
      </c>
      <c r="S411" s="10" t="inlineStr">
        <is>
          <t>No</t>
        </is>
      </c>
      <c r="T411" s="10" t="n"/>
      <c r="U411" s="10" t="n"/>
    </row>
    <row r="412">
      <c r="A412" s="10" t="n">
        <v>443</v>
      </c>
      <c r="B412" s="10" t="inlineStr">
        <is>
          <t>User</t>
        </is>
      </c>
      <c r="C412" s="8" t="inlineStr">
        <is>
          <t>Component Library &amp; Design System</t>
        </is>
      </c>
      <c r="D412" s="8" t="inlineStr">
        <is>
          <t>Component naming table vs the reference library's component names: owner supplies the list, then the shared property and key names in guideline chapter 02 are aligned or the differences are justified</t>
        </is>
      </c>
      <c r="E412" s="10" t="inlineStr">
        <is>
          <t>Research</t>
        </is>
      </c>
      <c r="F412" s="10" t="inlineStr">
        <is>
          <t>Not Started</t>
        </is>
      </c>
      <c r="G412" s="10" t="inlineStr">
        <is>
          <t>P2</t>
        </is>
      </c>
      <c r="H412" s="8" t="inlineStr">
        <is>
          <t>Owner request 2026-10-28. The naming table in guideline chapter 02 (Label, Title, Description, Detail, Icon, Action, Href, Tone, Size, Kind, Name/Key/Id; kebab-case registry keys) was written from common practice because the reference library's names are not in this repository. See the Reference column.</t>
        </is>
      </c>
      <c r="I412" s="8" t="inlineStr">
        <is>
          <t>1) Owner supplies the reference list (names of components, their options, keys). 2) Compare with the table and the registry keys. 3) Rename in code where cheap (options records are named-property objects, registry keys are strings) and update goldens; otherwise record why. 4) Update guideline chapter 02.</t>
        </is>
      </c>
      <c r="J412" s="8" t="inlineStr">
        <is>
          <t>Done when: the reference component and property names are in the repository docs (owner supplies them); every difference from the table in guideline chapter 02 is either aligned in code or recorded with a reason; the table and the component registry keys agree.</t>
        </is>
      </c>
      <c r="K412" s="8" t="n"/>
      <c r="L412" s="10" t="inlineStr">
        <is>
          <t>M2</t>
        </is>
      </c>
      <c r="M412" s="10" t="inlineStr">
        <is>
          <t>S</t>
        </is>
      </c>
      <c r="N412" s="10" t="inlineStr">
        <is>
          <t>Medium</t>
        </is>
      </c>
      <c r="O412" s="10" t="n"/>
      <c r="P412" s="10" t="inlineStr">
        <is>
          <t>Titan component names (owner list)</t>
        </is>
      </c>
      <c r="Q412" s="10" t="n"/>
      <c r="R412" s="8" t="inlineStr">
        <is>
          <t>UI component library</t>
        </is>
      </c>
      <c r="S412" s="10" t="inlineStr">
        <is>
          <t>No</t>
        </is>
      </c>
      <c r="T412" s="10" t="n"/>
      <c r="U412" s="10" t="inlineStr">
        <is>
          <t>Hamid</t>
        </is>
      </c>
    </row>
    <row r="413">
      <c r="A413" s="10" t="n">
        <v>444</v>
      </c>
      <c r="B413" s="10" t="inlineStr">
        <is>
          <t>User</t>
        </is>
      </c>
      <c r="C413" s="8" t="inlineStr">
        <is>
          <t>Component Library &amp; Design System</t>
        </is>
      </c>
      <c r="D413" s="8" t="inlineStr">
        <is>
          <t>Page titles review: check every page title and module label (English and Persian), which pages should show the title row, and whether the default of no global header still serves users</t>
        </is>
      </c>
      <c r="E413" s="10" t="inlineStr">
        <is>
          <t>Research</t>
        </is>
      </c>
      <c r="F413" s="10" t="inlineStr">
        <is>
          <t>Not Started</t>
        </is>
      </c>
      <c r="G413" s="10" t="inlineStr">
        <is>
          <t>P3</t>
        </is>
      </c>
      <c r="H413" s="8" t="inlineStr">
        <is>
          <t>SCRUM-425 gave five pages the shared title row by code evaluation only; the owner asked for a later look at the real pages. Titles come from controllers as English literals and are localized in one place (_PageHeader); untranslated titles show English.</t>
        </is>
      </c>
      <c r="I413" s="8" t="inlineStr">
        <is>
          <t>1) Walk the sidebar pages in en and fa on desktop and 375 px. 2) Note missing, duplicate, untranslated or misleading titles. 3) Decide per page: add the row, remove it, or translate the title (SharedResource.fa.resx). 4) Create follow-up tasks or small PRs.</t>
        </is>
      </c>
      <c r="J413" s="8" t="inlineStr">
        <is>
          <t>Done when: the owner has walked the main pages in English and Persian; a list names pages that need the title row (added through the _PageHeader call), pages whose title is missing or untranslated, and pages where the row should go; follow-up tasks exist for the findings.</t>
        </is>
      </c>
      <c r="K413" s="8" t="n"/>
      <c r="L413" s="10" t="inlineStr">
        <is>
          <t>M3</t>
        </is>
      </c>
      <c r="M413" s="10" t="inlineStr">
        <is>
          <t>M</t>
        </is>
      </c>
      <c r="N413" s="10" t="inlineStr">
        <is>
          <t>Medium</t>
        </is>
      </c>
      <c r="O413" s="10" t="n"/>
      <c r="P413" s="10" t="n"/>
      <c r="Q413" s="10" t="n"/>
      <c r="R413" s="8" t="inlineStr">
        <is>
          <t>UI component library</t>
        </is>
      </c>
      <c r="S413" s="10" t="inlineStr">
        <is>
          <t>No</t>
        </is>
      </c>
      <c r="T413" s="10" t="n"/>
      <c r="U413" s="10" t="inlineStr">
        <is>
          <t>Hamid</t>
        </is>
      </c>
    </row>
  </sheetData>
  <autoFilter ref="A1:U350"/>
  <conditionalFormatting sqref="F2:F350">
    <cfRule type="cellIs" priority="1" operator="equal" dxfId="0">
      <formula>"Done"</formula>
    </cfRule>
    <cfRule type="cellIs" priority="2" operator="equal" dxfId="1">
      <formula>"Partial"</formula>
    </cfRule>
    <cfRule type="cellIs" priority="3" operator="equal" dxfId="2">
      <formula>"In Progress"</formula>
    </cfRule>
    <cfRule type="cellIs" priority="4" operator="equal" dxfId="3">
      <formula>"Hold"</formula>
    </cfRule>
    <cfRule type="cellIs" priority="5" operator="equal" dxfId="4">
      <formula>"Later"</formula>
    </cfRule>
    <cfRule type="cellIs" priority="6" operator="equal" dxfId="5">
      <formula>"Cancelled"</formula>
    </cfRule>
    <cfRule type="cellIs" priority="7" operator="equal" dxfId="5">
      <formula>"Obsolete"</formula>
    </cfRule>
  </conditionalFormatting>
  <conditionalFormatting sqref="G2:G350">
    <cfRule type="cellIs" priority="8" operator="equal" dxfId="6">
      <formula>"P0"</formula>
    </cfRule>
    <cfRule type="cellIs" priority="9" operator="equal" dxfId="7">
      <formula>"P1"</formula>
    </cfRule>
  </conditionalFormatting>
  <conditionalFormatting sqref="S2:S350">
    <cfRule type="cellIs" priority="10" operator="equal" dxfId="8">
      <formula>"Yes"</formula>
    </cfRule>
  </conditionalFormatting>
  <conditionalFormatting sqref="N2:N350">
    <cfRule type="cellIs" priority="11" operator="equal" dxfId="6">
      <formula>"Sales blocker"</formula>
    </cfRule>
  </conditionalFormatting>
  <dataValidations count="4">
    <dataValidation sqref="F2:F350" showDropDown="0" showInputMessage="0" showErrorMessage="0" allowBlank="0" type="list">
      <formula1>"Not Started,In Progress,Partial,Done,Hold,Later,Cancelled,Obsolete"</formula1>
    </dataValidation>
    <dataValidation sqref="G2:G350" showDropDown="0" showInputMessage="0" showErrorMessage="0" allowBlank="0" type="list">
      <formula1>"P0,P1,P2,P3"</formula1>
    </dataValidation>
    <dataValidation sqref="B2:B350" showDropDown="0" showInputMessage="0" showErrorMessage="0" allowBlank="0" type="list">
      <formula1>"Claude,User,N/A"</formula1>
    </dataValidation>
    <dataValidation sqref="S2:S350"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showGridLines="0" workbookViewId="0">
      <pane ySplit="1" topLeftCell="A2" activePane="bottomLeft" state="frozen"/>
      <selection pane="bottomLeft" activeCell="A1" sqref="A1"/>
    </sheetView>
  </sheetViews>
  <sheetFormatPr baseColWidth="8" defaultRowHeight="15"/>
  <cols>
    <col width="5" customWidth="1" min="1" max="1"/>
    <col width="10" customWidth="1" min="2" max="2"/>
    <col width="28" customWidth="1" min="3" max="3"/>
    <col width="34" customWidth="1" min="4" max="4"/>
    <col width="36" customWidth="1" min="5" max="5"/>
    <col width="74" customWidth="1" min="6" max="6"/>
    <col width="40" customWidth="1" min="7" max="7"/>
    <col width="12" customWidth="1" min="8" max="8"/>
  </cols>
  <sheetData>
    <row r="1">
      <c r="A1" s="7" t="inlineStr">
        <is>
          <t>#</t>
        </is>
      </c>
      <c r="B1" s="7" t="inlineStr">
        <is>
          <t>Backlog row</t>
        </is>
      </c>
      <c r="C1" s="7" t="inlineStr">
        <is>
          <t>Area</t>
        </is>
      </c>
      <c r="D1" s="7" t="inlineStr">
        <is>
          <t>Feature</t>
        </is>
      </c>
      <c r="E1" s="7" t="inlineStr">
        <is>
          <t>Precondition</t>
        </is>
      </c>
      <c r="F1" s="7" t="inlineStr">
        <is>
          <t>Test steps (with expected result)</t>
        </is>
      </c>
      <c r="G1" s="7" t="inlineStr">
        <is>
          <t>Risk if it fails</t>
        </is>
      </c>
      <c r="H1" s="7" t="inlineStr">
        <is>
          <t>QA Status</t>
        </is>
      </c>
    </row>
    <row r="2">
      <c r="A2" s="10" t="n">
        <v>1</v>
      </c>
      <c r="B2" s="10" t="n">
        <v>104</v>
      </c>
      <c r="C2" s="8" t="inlineStr">
        <is>
          <t>Licensing &amp; Protection</t>
        </is>
      </c>
      <c r="D2" s="8" t="inlineStr">
        <is>
          <t>Full image restored on different hardware</t>
        </is>
      </c>
      <c r="E2" s="8" t="inlineStr">
        <is>
          <t>Active install with a valid licence on machine A; machine B with different hardware</t>
        </is>
      </c>
      <c r="F2" s="8" t="inlineStr">
        <is>
          <t>1) Take a full disk image of machine A. 2) Restore and boot it on B. 3) Open the app. Expected: 'activation required' state, no domain module opens, a suspicious-event record is logged.</t>
        </is>
      </c>
      <c r="G2" s="8" t="inlineStr">
        <is>
          <t>Risk if it fails: If it opens, copy protection is worthless and on-prem sales are unprotected.</t>
        </is>
      </c>
      <c r="H2" s="10" t="inlineStr">
        <is>
          <t>Needs QA</t>
        </is>
      </c>
    </row>
    <row r="3">
      <c r="A3" s="10" t="n">
        <v>2</v>
      </c>
      <c r="B3" s="10" t="n">
        <v>100</v>
      </c>
      <c r="C3" s="8" t="inlineStr">
        <is>
          <t>Licensing &amp; Protection</t>
        </is>
      </c>
      <c r="D3" s="8" t="inlineStr">
        <is>
          <t>Full request-to-licence cycle</t>
        </is>
      </c>
      <c r="E3" s="8" t="inlineStr">
        <is>
          <t>Fresh install with no licence</t>
        </is>
      </c>
      <c r="F3" s="8" t="inlineStr">
        <is>
          <t>1) Open the licence page and download the .pemsreq. 2) Issue a term licence with the vendor tool. 3) Upload it. Expected: activates with the right edition/modules. 4) Upload the same licence on a second install: it must be rejected.</t>
        </is>
      </c>
      <c r="G3" s="8" t="inlineStr">
        <is>
          <t>Risk if it fails: A transferable licence means lost revenue.</t>
        </is>
      </c>
      <c r="H3" s="10" t="inlineStr">
        <is>
          <t>Needs QA</t>
        </is>
      </c>
    </row>
    <row r="4">
      <c r="A4" s="10" t="n">
        <v>3</v>
      </c>
      <c r="B4" s="10" t="n">
        <v>105</v>
      </c>
      <c r="C4" s="8" t="inlineStr">
        <is>
          <t>Licensing &amp; Protection</t>
        </is>
      </c>
      <c r="D4" s="8" t="inlineStr">
        <is>
          <t>Setting the clock back</t>
        </is>
      </c>
      <c r="E4" s="8" t="inlineStr">
        <is>
          <t>A 30-day licence with 20 days consumed</t>
        </is>
      </c>
      <c r="F4" s="8" t="inlineStr">
        <is>
          <t>Set the system clock back 20 days and start the app. Expected: soft lock/clock-tamper warning; consumed days are not restored.</t>
        </is>
      </c>
      <c r="G4" s="8" t="inlineStr">
        <is>
          <t>Risk if it fails: Unlimited free renewal.</t>
        </is>
      </c>
      <c r="H4" s="10" t="inlineStr">
        <is>
          <t>Needs QA</t>
        </is>
      </c>
    </row>
    <row r="5">
      <c r="A5" s="10" t="n">
        <v>4</v>
      </c>
      <c r="B5" s="10" t="n">
        <v>102</v>
      </c>
      <c r="C5" s="8" t="inlineStr">
        <is>
          <t>Licensing &amp; Protection</t>
        </is>
      </c>
      <c r="D5" s="8" t="inlineStr">
        <is>
          <t>Licence type boundaries</t>
        </is>
      </c>
      <c r="E5" s="8" t="inlineStr">
        <is>
          <t>A term licence expiring tonight; a lifetime licence; a trial licence</t>
        </is>
      </c>
      <c r="F5" s="8" t="inlineStr">
        <is>
          <t>1) Let the term licence reach its end date: the app drops to restricted mode. 2) Check expiry at Jalali midnight. 3) A lifetime licence shows no expiry warning. 4) Renew a term licence before and after expiry.</t>
        </is>
      </c>
      <c r="G5" s="8" t="inlineStr">
        <is>
          <t>Risk if it fails: An off-by-one error locks a legitimate customer.</t>
        </is>
      </c>
      <c r="H5" s="10" t="inlineStr">
        <is>
          <t>Needs QA</t>
        </is>
      </c>
    </row>
    <row r="6">
      <c r="A6" s="10" t="n">
        <v>5</v>
      </c>
      <c r="B6" s="10" t="n">
        <v>116</v>
      </c>
      <c r="C6" s="8" t="inlineStr">
        <is>
          <t>Licensing &amp; Protection</t>
        </is>
      </c>
      <c r="D6" s="8" t="inlineStr">
        <is>
          <t>Hardware replacement</t>
        </is>
      </c>
      <c r="E6" s="8" t="inlineStr">
        <is>
          <t>Active install</t>
        </is>
      </c>
      <c r="F6" s="8" t="inlineStr">
        <is>
          <t>Request a re-host, vendor approves, new licence; the old licence is disabled on the old machine. Exceeding the cap requires manual approval.</t>
        </is>
      </c>
      <c r="G6" s="8" t="inlineStr">
        <is>
          <t>Risk if it fails: A legitimate customer stays down after a server failure.</t>
        </is>
      </c>
      <c r="H6" s="10" t="inlineStr">
        <is>
          <t>Needs QA</t>
        </is>
      </c>
    </row>
    <row r="7">
      <c r="A7" s="10" t="n">
        <v>6</v>
      </c>
      <c r="B7" s="10" t="n">
        <v>110</v>
      </c>
      <c r="C7" s="8" t="inlineStr">
        <is>
          <t>Licensing &amp; Protection</t>
        </is>
      </c>
      <c r="D7" s="8" t="inlineStr">
        <is>
          <t>No bypass present</t>
        </is>
      </c>
      <c r="E7" s="8" t="inlineStr">
        <is>
          <t>Final release package</t>
        </is>
      </c>
      <c r="F7" s="8" t="inlineStr">
        <is>
          <t>Scan the package for bypass flags; boot without a licence in dev/staging/prod: all three lock. The allowlisted surfaces stay open.</t>
        </is>
      </c>
      <c r="G7" s="8" t="inlineStr">
        <is>
          <t>Risk if it fails: Selling an unlocked package.</t>
        </is>
      </c>
      <c r="H7" s="10" t="inlineStr">
        <is>
          <t>Needs QA</t>
        </is>
      </c>
    </row>
    <row r="8">
      <c r="A8" s="10" t="n">
        <v>7</v>
      </c>
      <c r="B8" s="10" t="n">
        <v>106</v>
      </c>
      <c r="C8" s="8" t="inlineStr">
        <is>
          <t>Licensing &amp; Protection</t>
        </is>
      </c>
      <c r="D8" s="8" t="inlineStr">
        <is>
          <t>Issuing tool only at the vendor</t>
        </is>
      </c>
      <c r="E8" s="8" t="inlineStr">
        <is>
          <t>Customer package</t>
        </is>
      </c>
      <c r="F8" s="8" t="inlineStr">
        <is>
          <t>Open the customer package: no issuing tool and no private key exist.</t>
        </is>
      </c>
      <c r="G8" s="8" t="inlineStr">
        <is>
          <t>Risk if it fails: Exposure of licence issuing.</t>
        </is>
      </c>
      <c r="H8" s="10" t="inlineStr">
        <is>
          <t>Needs QA</t>
        </is>
      </c>
    </row>
    <row r="9">
      <c r="A9" s="10" t="n">
        <v>8</v>
      </c>
      <c r="B9" s="10" t="n">
        <v>10</v>
      </c>
      <c r="C9" s="8" t="inlineStr">
        <is>
          <t>Metadata Core &amp; Dynamic Platform</t>
        </is>
      </c>
      <c r="D9" s="8" t="inlineStr">
        <is>
          <t>Create an entity purely with metadata</t>
        </is>
      </c>
      <c r="E9" s="8" t="inlineStr">
        <is>
          <t>Clean instance</t>
        </is>
      </c>
      <c r="F9" s="8" t="inlineStr">
        <is>
          <t>Create a 'lab sample' entity with 10 fields in the UI, publish, create/edit/delete a record with no deploy. Expected: list, form, search, export and audit work.</t>
        </is>
      </c>
      <c r="G9" s="8" t="inlineStr">
        <is>
          <t>Risk if it fails: The core of dynamism does not work.</t>
        </is>
      </c>
      <c r="H9" s="10" t="inlineStr">
        <is>
          <t>Needs QA</t>
        </is>
      </c>
    </row>
    <row r="10">
      <c r="A10" s="10" t="n">
        <v>9</v>
      </c>
      <c r="B10" s="10" t="n">
        <v>13</v>
      </c>
      <c r="C10" s="8" t="inlineStr">
        <is>
          <t>Metadata Core &amp; Dynamic Platform</t>
        </is>
      </c>
      <c r="D10" s="8" t="inlineStr">
        <is>
          <t>Field type change with data</t>
        </is>
      </c>
      <c r="E10" s="8" t="inlineStr">
        <is>
          <t>Entity with 100k records</t>
        </is>
      </c>
      <c r="F10" s="8" t="inlineStr">
        <is>
          <t>Change a field from text to number: risk preview, two-step approval, backup; then roll back. Expected: data returns intact.</t>
        </is>
      </c>
      <c r="G10" s="8" t="inlineStr">
        <is>
          <t>Risk if it fails: Loss of customer data.</t>
        </is>
      </c>
      <c r="H10" s="10" t="inlineStr">
        <is>
          <t>Needs QA</t>
        </is>
      </c>
    </row>
    <row r="11">
      <c r="A11" s="10" t="n">
        <v>10</v>
      </c>
      <c r="B11" s="10" t="n">
        <v>12</v>
      </c>
      <c r="C11" s="8" t="inlineStr">
        <is>
          <t>Metadata Core &amp; Dynamic Platform</t>
        </is>
      </c>
      <c r="D11" s="8" t="inlineStr">
        <is>
          <t>Server-side paging/filter</t>
        </is>
      </c>
      <c r="E11" s="8" t="inlineStr">
        <is>
          <t>500k records</t>
        </is>
      </c>
      <c r="F11" s="8" t="inlineStr">
        <is>
          <t>Filter and sort the list; response under 500 ms. The total count respects RLS.</t>
        </is>
      </c>
      <c r="G11" s="8" t="inlineStr">
        <is>
          <t>Risk if it fails: Repeat of a known paging regression.</t>
        </is>
      </c>
      <c r="H11" s="10" t="inlineStr">
        <is>
          <t>Needs QA</t>
        </is>
      </c>
    </row>
    <row r="12">
      <c r="A12" s="10" t="n">
        <v>11</v>
      </c>
      <c r="B12" s="10" t="n">
        <v>178</v>
      </c>
      <c r="C12" s="8" t="inlineStr">
        <is>
          <t>Access, RLS, Sessions &amp; Security</t>
        </is>
      </c>
      <c r="D12" s="8" t="inlineStr">
        <is>
          <t>Data leakage</t>
        </is>
      </c>
      <c r="E12" s="8" t="inlineStr">
        <is>
          <t>Two users with different scope</t>
        </is>
      </c>
      <c r="F12" s="8" t="inlineStr">
        <is>
          <t>Read user A's record as user B through list, search, export, report, API and AI: it must never appear.</t>
        </is>
      </c>
      <c r="G12" s="8" t="inlineStr">
        <is>
          <t>Risk if it fails: Leak of customer confidential information.</t>
        </is>
      </c>
      <c r="H12" s="10" t="inlineStr">
        <is>
          <t>Needs QA</t>
        </is>
      </c>
    </row>
    <row r="13">
      <c r="A13" s="10" t="n">
        <v>12</v>
      </c>
      <c r="B13" s="10" t="n">
        <v>44</v>
      </c>
      <c r="C13" s="8" t="inlineStr">
        <is>
          <t>Dynamic Form Builder</t>
        </is>
      </c>
      <c r="D13" s="8" t="inlineStr">
        <is>
          <t>Build an inspection form</t>
        </is>
      </c>
      <c r="E13" s="8" t="inlineStr">
        <is>
          <t>Builder role</t>
        </is>
      </c>
      <c r="F13" s="8" t="inlineStr">
        <is>
          <t>Build a 20-field form with 2 tabs, a child table and conditions; preview as different roles; publish. Create a second version: old records stay intact.</t>
        </is>
      </c>
      <c r="G13" s="8" t="inlineStr">
        <is>
          <t>Risk if it fails: A failed form builder means a failed product.</t>
        </is>
      </c>
      <c r="H13" s="10" t="inlineStr">
        <is>
          <t>Needs QA</t>
        </is>
      </c>
    </row>
    <row r="14">
      <c r="A14" s="10" t="n">
        <v>13</v>
      </c>
      <c r="B14" s="10" t="n">
        <v>67</v>
      </c>
      <c r="C14" s="8" t="inlineStr">
        <is>
          <t>Workflow Studio &amp; BPMS</t>
        </is>
      </c>
      <c r="D14" s="8" t="inlineStr">
        <is>
          <t>Build a workflow</t>
        </is>
      </c>
      <c r="E14" s="8" t="inlineStr">
        <is>
          <t>Builder role</t>
        </is>
      </c>
      <c r="F14" s="8" t="inlineStr">
        <is>
          <t>Build a 5-stage approval flow with parallel branches and SLA; the simulator reports no errors; publish; run an instance; let a deadline pass: escalation is recorded.</t>
        </is>
      </c>
      <c r="G14" s="8" t="inlineStr">
        <is>
          <t>Risk if it fails: A fragile production workflow.</t>
        </is>
      </c>
      <c r="H14" s="10" t="inlineStr">
        <is>
          <t>Needs QA</t>
        </is>
      </c>
    </row>
    <row r="15">
      <c r="A15" s="10" t="n">
        <v>14</v>
      </c>
      <c r="B15" s="10" t="n">
        <v>69</v>
      </c>
      <c r="C15" s="8" t="inlineStr">
        <is>
          <t>Workflow Studio &amp; BPMS</t>
        </is>
      </c>
      <c r="D15" s="8" t="inlineStr">
        <is>
          <t>Publish a new process version</t>
        </is>
      </c>
      <c r="E15" s="8" t="inlineStr">
        <is>
          <t>5 in-flight instances</t>
        </is>
      </c>
      <c r="F15" s="8" t="inlineStr">
        <is>
          <t>Publish a new version: active instances continue or migrate per policy, with no errors.</t>
        </is>
      </c>
      <c r="G15" s="8" t="inlineStr">
        <is>
          <t>Risk if it fails: Breaking in-flight processes.</t>
        </is>
      </c>
      <c r="H15" s="10" t="inlineStr">
        <is>
          <t>Needs QA</t>
        </is>
      </c>
    </row>
    <row r="16">
      <c r="A16" s="10" t="n">
        <v>15</v>
      </c>
      <c r="B16" s="10" t="n">
        <v>87</v>
      </c>
      <c r="C16" s="8" t="inlineStr">
        <is>
          <t>Static-to-Dynamic Module Migration</t>
        </is>
      </c>
      <c r="D16" s="8" t="inlineStr">
        <is>
          <t>Wave 1 parity gate</t>
        </is>
      </c>
      <c r="E16" s="8" t="inlineStr">
        <is>
          <t>Old and new modules of wave 1</t>
        </is>
      </c>
      <c r="F16" s="8" t="inlineStr">
        <is>
          <t>Run the same scenarios on old and new: output and permissions are identical; then the static version is removed.</t>
        </is>
      </c>
      <c r="G16" s="8" t="inlineStr">
        <is>
          <t>Risk if it fails: Regression after migration.</t>
        </is>
      </c>
      <c r="H16" s="10" t="inlineStr">
        <is>
          <t>Needs QA</t>
        </is>
      </c>
    </row>
    <row r="17">
      <c r="A17" s="10" t="n">
        <v>16</v>
      </c>
      <c r="B17" s="10" t="n">
        <v>170</v>
      </c>
      <c r="C17" s="8" t="inlineStr">
        <is>
          <t>Installation, Deployment &amp; Updates</t>
        </is>
      </c>
      <c r="D17" s="8" t="inlineStr">
        <is>
          <t>Signed update and rollback</t>
        </is>
      </c>
      <c r="E17" s="8" t="inlineStr">
        <is>
          <t>Install of version N</t>
        </is>
      </c>
      <c r="F17" s="8" t="inlineStr">
        <is>
          <t>Apply package N+1; a tampered package is rejected; roll back to N.</t>
        </is>
      </c>
      <c r="G17" s="8" t="inlineStr">
        <is>
          <t>Risk if it fails: A bad update locks the customer.</t>
        </is>
      </c>
      <c r="H17" s="10" t="inlineStr">
        <is>
          <t>Needs QA</t>
        </is>
      </c>
    </row>
    <row r="18">
      <c r="A18" s="10" t="n">
        <v>17</v>
      </c>
      <c r="B18" s="10" t="n">
        <v>167</v>
      </c>
      <c r="C18" s="8" t="inlineStr">
        <is>
          <t>Installation, Deployment &amp; Updates</t>
        </is>
      </c>
      <c r="D18" s="8" t="inlineStr">
        <is>
          <t>Fresh install</t>
        </is>
      </c>
      <c r="E18" s="8" t="inlineStr">
        <is>
          <t>Clean Windows Server</t>
        </is>
      </c>
      <c r="F18" s="8" t="inlineStr">
        <is>
          <t>Run the installer, validator, first-run wizard and admin login in under 30 minutes.</t>
        </is>
      </c>
      <c r="G18" s="8" t="inlineStr">
        <is>
          <t>Risk if it fails: Customers will not install without support.</t>
        </is>
      </c>
      <c r="H18" s="10" t="inlineStr">
        <is>
          <t>Needs QA</t>
        </is>
      </c>
    </row>
    <row r="19">
      <c r="A19" s="10" t="n">
        <v>18</v>
      </c>
      <c r="B19" s="10" t="n">
        <v>141</v>
      </c>
      <c r="C19" s="8" t="inlineStr">
        <is>
          <t>Online Demo</t>
        </is>
      </c>
      <c r="D19" s="8" t="inlineStr">
        <is>
          <t>Demo reset</t>
        </is>
      </c>
      <c r="E19" s="8" t="inlineStr">
        <is>
          <t>Demo with visitor changes</t>
        </is>
      </c>
      <c r="F19" s="8" t="inlineStr">
        <is>
          <t>Run the nightly reset: data exactly matches the sample pack; the demo licence expires.</t>
        </is>
      </c>
      <c r="G19" s="8" t="inlineStr">
        <is>
          <t>Risk if it fails: A broken demo loses sales.</t>
        </is>
      </c>
      <c r="H19" s="10" t="inlineStr">
        <is>
          <t>Needs QA</t>
        </is>
      </c>
    </row>
    <row r="20">
      <c r="A20" s="10" t="n">
        <v>19</v>
      </c>
      <c r="B20" s="10" t="n">
        <v>206</v>
      </c>
      <c r="C20" s="8" t="inlineStr">
        <is>
          <t>Persian Localization, RTL &amp; Jalali Calendar</t>
        </is>
      </c>
      <c r="D20" s="8" t="inlineStr">
        <is>
          <t>Jalali calendar</t>
        </is>
      </c>
      <c r="E20" s="8" t="inlineStr">
        <is>
          <t>Persian user</t>
        </is>
      </c>
      <c r="F20" s="8" t="inlineStr">
        <is>
          <t>Dates in list/form/report are Jalali; stored Gregorian; range filter correct; leap years 1403 and 1407 correct.</t>
        </is>
      </c>
      <c r="G20" s="8" t="inlineStr">
        <is>
          <t>Risk if it fails: Wrong dates in reports.</t>
        </is>
      </c>
      <c r="H20" s="10" t="inlineStr">
        <is>
          <t>Needs QA</t>
        </is>
      </c>
    </row>
    <row r="21">
      <c r="A21" s="10" t="n">
        <v>20</v>
      </c>
      <c r="B21" s="10" t="n">
        <v>243</v>
      </c>
      <c r="C21" s="8" t="inlineStr">
        <is>
          <t>Existing PEMS Capabilities (estimated from code)</t>
        </is>
      </c>
      <c r="D21" s="8" t="inlineStr">
        <is>
          <t>Existing workflow runtime</t>
        </is>
      </c>
      <c r="E21" s="8" t="inlineStr">
        <is>
          <t>Existing sample</t>
        </is>
      </c>
      <c r="F21" s="8" t="inlineStr">
        <is>
          <t>Run the document-approval workflow (parallel and sequential) and check the history.</t>
        </is>
      </c>
      <c r="G21" s="8" t="inlineStr">
        <is>
          <t>Risk if it fails: Everything else relies on the runtime without QA.</t>
        </is>
      </c>
      <c r="H21" s="10" t="inlineStr">
        <is>
          <t>Needs QA</t>
        </is>
      </c>
    </row>
    <row r="22">
      <c r="A22" s="10" t="n">
        <v>21</v>
      </c>
      <c r="B22" s="10" t="n">
        <v>242</v>
      </c>
      <c r="C22" s="8" t="inlineStr">
        <is>
          <t>Existing PEMS Capabilities (estimated from code)</t>
        </is>
      </c>
      <c r="D22" s="8" t="inlineStr">
        <is>
          <t>Authorization and SoD</t>
        </is>
      </c>
      <c r="E22" s="8" t="inlineStr">
        <is>
          <t>Sample roles</t>
        </is>
      </c>
      <c r="F22" s="8" t="inlineStr">
        <is>
          <t>Trigger SoD, enter an out-of-scope record, check AuthorizationAuditLog.</t>
        </is>
      </c>
      <c r="G22" s="8" t="inlineStr">
        <is>
          <t>Risk if it fails: Foundation of RLS.</t>
        </is>
      </c>
      <c r="H22" s="10" t="inlineStr">
        <is>
          <t>Needs QA</t>
        </is>
      </c>
    </row>
    <row r="23">
      <c r="A23" s="10" t="n">
        <v>22</v>
      </c>
      <c r="B23" s="10" t="n">
        <v>240</v>
      </c>
      <c r="C23" s="8" t="inlineStr">
        <is>
          <t>Existing PEMS Capabilities (estimated from code)</t>
        </is>
      </c>
      <c r="D23" s="8" t="inlineStr">
        <is>
          <t>Authentication and FIDO</t>
        </is>
      </c>
      <c r="E23" s="8" t="inlineStr">
        <is>
          <t>User with a security key</t>
        </is>
      </c>
      <c r="F23" s="8" t="inlineStr">
        <is>
          <t>Login, lockout after 5 attempts, step-up.</t>
        </is>
      </c>
      <c r="G23" s="8" t="inlineStr">
        <is>
          <t>Risk if it fails: Baseline security.</t>
        </is>
      </c>
      <c r="H23" s="10" t="inlineStr">
        <is>
          <t>Needs QA</t>
        </is>
      </c>
    </row>
    <row r="24">
      <c r="A24" s="10" t="n">
        <v>23</v>
      </c>
      <c r="B24" s="10" t="n">
        <v>309</v>
      </c>
      <c r="C24" s="8" t="inlineStr">
        <is>
          <t>Installation, Deployment &amp; Updates</t>
        </is>
      </c>
      <c r="D24" s="8" t="inlineStr">
        <is>
          <t>Fresh install on an empty database</t>
        </is>
      </c>
      <c r="E24" s="8" t="inlineStr">
        <is>
          <t>SQL Server login with an empty (or non-existent) database; no manual SQL run.</t>
        </is>
      </c>
      <c r="F24" s="8" t="inlineStr">
        <is>
          <t>1) Start the app with Database settings at default. 2) Wait for startup. 3) Open /health/database and Admin &gt; Database Update. Expected: database created if allowed, all migrations applied, health = 200 UpToDate, one FirstRun/Startup row in the history, seeders succeeded.</t>
        </is>
      </c>
      <c r="G24" s="8" t="inlineStr">
        <is>
          <t>Risk if it fails: New customers and the demo cannot start without a DBA.</t>
        </is>
      </c>
      <c r="H24" s="10" t="inlineStr">
        <is>
          <t>Needs QA</t>
        </is>
      </c>
    </row>
    <row r="25">
      <c r="A25" s="10" t="n">
        <v>24</v>
      </c>
      <c r="B25" s="10" t="n">
        <v>309</v>
      </c>
      <c r="C25" s="8" t="inlineStr">
        <is>
          <t>Installation, Deployment &amp; Updates</t>
        </is>
      </c>
      <c r="D25" s="8" t="inlineStr">
        <is>
          <t>Update to a release with new migrations</t>
        </is>
      </c>
      <c r="E25" s="8" t="inlineStr">
        <is>
          <t>A database installed by the previous release; the new release adds at least one migration.</t>
        </is>
      </c>
      <c r="F25" s="8" t="inlineStr">
        <is>
          <t>1) Deploy the new build. 2) Start it. Expected: only the new migrations are applied, history shows one Update row, data is unchanged. Repeat with Database__MigrateOnStartup=false: the page shows UpdateAvailable and Apply performs the update.</t>
        </is>
      </c>
      <c r="G25" s="8" t="inlineStr">
        <is>
          <t>Risk if it fails: Updates need manual SQL or lose data.</t>
        </is>
      </c>
      <c r="H25" s="10" t="inlineStr">
        <is>
          <t>Needs QA</t>
        </is>
      </c>
    </row>
    <row r="26">
      <c r="A26" s="10" t="n">
        <v>25</v>
      </c>
      <c r="B26" s="10" t="n">
        <v>310</v>
      </c>
      <c r="C26" s="8" t="inlineStr">
        <is>
          <t>Installation, Deployment &amp; Updates</t>
        </is>
      </c>
      <c r="D26" s="8" t="inlineStr">
        <is>
          <t>Schema without migration history is left alone</t>
        </is>
      </c>
      <c r="E26" s="8" t="inlineStr">
        <is>
          <t>A database with tables but no __EFMigrationsHistory (restored from an old script).</t>
        </is>
      </c>
      <c r="F26" s="8" t="inlineStr">
        <is>
          <t>Start the app. Expected: warning in the log, the page shows Unmanaged schema, Apply is not offered, no table is changed.</t>
        </is>
      </c>
      <c r="G26" s="8" t="inlineStr">
        <is>
          <t>Risk if it fails: A restored database is corrupted by a second install.</t>
        </is>
      </c>
      <c r="H26" s="10" t="inlineStr">
        <is>
          <t>Needs QA</t>
        </is>
      </c>
    </row>
    <row r="27">
      <c r="A27" s="10" t="n">
        <v>26</v>
      </c>
      <c r="B27" s="10" t="n">
        <v>310</v>
      </c>
      <c r="C27" s="8" t="inlineStr">
        <is>
          <t>Installation, Deployment &amp; Updates</t>
        </is>
      </c>
      <c r="D27" s="8" t="inlineStr">
        <is>
          <t>Database Update page access and apply</t>
        </is>
      </c>
      <c r="E27" s="8" t="inlineStr">
        <is>
          <t>Users with and without the SystemAdmin role.</t>
        </is>
      </c>
      <c r="F27" s="8" t="inlineStr">
        <is>
          <t>1) Anonymous and a normal user cannot open /Admin/DatabaseUpdate. 2) SystemAdmin sees state, pending list and history. 3) Apply without the backup checkbox is refused; with it, applies.</t>
        </is>
      </c>
      <c r="G27" s="8" t="inlineStr">
        <is>
          <t>Risk if it fails: Anyone could change the schema, or admins cannot update.</t>
        </is>
      </c>
      <c r="H27" s="10" t="inlineStr">
        <is>
          <t>Needs QA</t>
        </is>
      </c>
    </row>
    <row r="28">
      <c r="A28" s="10" t="n">
        <v>27</v>
      </c>
      <c r="B28" s="10" t="n">
        <v>312</v>
      </c>
      <c r="C28" s="8" t="inlineStr">
        <is>
          <t>Online Demo</t>
        </is>
      </c>
      <c r="D28" s="8" t="inlineStr">
        <is>
          <t>Demo pipeline deploys and migrates</t>
        </is>
      </c>
      <c r="E28" s="8" t="inlineStr">
        <is>
          <t>GitHub secrets set (FTP, SQL connection string, DEMO_SITE_URL); empty demo database; SQL Server Full-Text installed.</t>
        </is>
      </c>
      <c r="F28" s="8" t="inlineStr">
        <is>
          <t>Push to the demo branch. Expected: drift gate and tests pass, files uploaded, the post-deploy step reports UpToDate, the demo site opens. Push a change with a new migration: the next run updates.</t>
        </is>
      </c>
      <c r="G28" s="8" t="inlineStr">
        <is>
          <t>Risk if it fails: The demo is stale or broken after a push.</t>
        </is>
      </c>
      <c r="H28" s="10" t="inlineStr">
        <is>
          <t>Needs QA</t>
        </is>
      </c>
    </row>
    <row r="29">
      <c r="A29" s="10" t="n">
        <v>28</v>
      </c>
      <c r="B29" s="10" t="n">
        <v>314</v>
      </c>
      <c r="C29" s="8" t="inlineStr">
        <is>
          <t>Company, Brand &amp; Commercial Packaging</t>
        </is>
      </c>
      <c r="D29" s="8" t="inlineStr">
        <is>
          <t>What's new panel on the login page</t>
        </is>
      </c>
      <c r="E29" s="8" t="inlineStr">
        <is>
          <t>An installed release with notes in Persian and English; no internet access.</t>
        </is>
      </c>
      <c r="F29" s="8" t="inlineStr">
        <is>
          <t>1) Open the login page signed out, in Persian and in English. 2) Disconnect the network and reload. 3) Check keyboard navigation, RTL layout and a phone-width screen. Expected: the installed release's notes show, nothing is fetched externally, no internal data is exposed.</t>
        </is>
      </c>
      <c r="G29" s="8" t="inlineStr">
        <is>
          <t>Risk if it fails: Customers cannot see what changed, or the page leaks internal information.</t>
        </is>
      </c>
      <c r="H29" s="10" t="inlineStr">
        <is>
          <t>Needs QA</t>
        </is>
      </c>
    </row>
    <row r="30">
      <c r="A30" s="10" t="n">
        <v>29</v>
      </c>
      <c r="B30" s="10" t="n">
        <v>315</v>
      </c>
      <c r="C30" s="8" t="inlineStr">
        <is>
          <t>Installation, Deployment &amp; Updates</t>
        </is>
      </c>
      <c r="D30" s="8" t="inlineStr">
        <is>
          <t>App starts from the env files alone</t>
        </is>
      </c>
      <c r="E30" s="8" t="inlineStr">
        <is>
          <t>env/local.env and env/local.secrets.env; no environment variables; an empty database.</t>
        </is>
      </c>
      <c r="F30" s="8" t="inlineStr">
        <is>
          <t>Start the app. Expected: 'Settings loaded for environment local' in the log, database installed, the administrator from Seed:Admin:* signs in with the secrets-file password.</t>
        </is>
      </c>
      <c r="G30" s="8" t="inlineStr">
        <is>
          <t>Risk if it fails: Developers and customers cannot start the product.</t>
        </is>
      </c>
      <c r="H30" s="10" t="inlineStr">
        <is>
          <t>Needs QA</t>
        </is>
      </c>
    </row>
    <row r="31">
      <c r="A31" s="10" t="n">
        <v>30</v>
      </c>
      <c r="B31" s="10" t="n">
        <v>315</v>
      </c>
      <c r="C31" s="8" t="inlineStr">
        <is>
          <t>Installation, Deployment &amp; Updates</t>
        </is>
      </c>
      <c r="D31" s="8" t="inlineStr">
        <is>
          <t>Missing settings fail fast</t>
        </is>
      </c>
      <c r="E31" s="8" t="inlineStr">
        <is>
          <t>Remove one required key (for example Fido2__ServerDomain) or set PEMS_ENV to an unknown name.</t>
        </is>
      </c>
      <c r="F31" s="8" t="inlineStr">
        <is>
          <t>Start the app. Expected: it stops with a message naming the missing key or file, never with a silent default.</t>
        </is>
      </c>
      <c r="G31" s="8" t="inlineStr">
        <is>
          <t>Risk if it fails: A mis-configured server runs with wrong defaults.</t>
        </is>
      </c>
      <c r="H31" s="10" t="inlineStr">
        <is>
          <t>Needs QA</t>
        </is>
      </c>
    </row>
    <row r="32">
      <c r="A32" s="10" t="n">
        <v>31</v>
      </c>
      <c r="B32" s="10" t="n">
        <v>315</v>
      </c>
      <c r="C32" s="8" t="inlineStr">
        <is>
          <t>Installation, Deployment &amp; Updates</t>
        </is>
      </c>
      <c r="D32" s="8" t="inlineStr">
        <is>
          <t>Secrets never ship</t>
        </is>
      </c>
      <c r="E32" s="8" t="inlineStr">
        <is>
          <t>A release package, a docker image and the demo upload.</t>
        </is>
      </c>
      <c r="F32" s="8" t="inlineStr">
        <is>
          <t>Inspect each: only env/&lt;name&gt;.env is present; env/*.secrets.env appears only where the pipeline or operator placed it; the repository has no secrets file.</t>
        </is>
      </c>
      <c r="G32" s="8" t="inlineStr">
        <is>
          <t>Risk if it fails: Credentials leak through a package or the repository.</t>
        </is>
      </c>
      <c r="H32" s="10" t="inlineStr">
        <is>
          <t>Needs QA</t>
        </is>
      </c>
    </row>
    <row r="33">
      <c r="A33" s="10" t="n">
        <v>32</v>
      </c>
      <c r="B33" s="10" t="n">
        <v>326</v>
      </c>
      <c r="C33" s="8" t="inlineStr">
        <is>
          <t>Component Library &amp; Design System</t>
        </is>
      </c>
      <c r="D33" s="8" t="inlineStr">
        <is>
          <t>Component catalog covers every component</t>
        </is>
      </c>
      <c r="E33" s="8" t="inlineStr">
        <is>
          <t>PEMS.UI built; catalog enabled.</t>
        </is>
      </c>
      <c r="F33" s="8" t="inlineStr">
        <is>
          <t>Open /ui-catalog; for each component check all states, the RTL/LTR toggle, themes, sample code. Expected: no component without a page; no console errors.</t>
        </is>
      </c>
      <c r="G33" s="8" t="inlineStr">
        <is>
          <t>Risk if it fails: Developers copy markup instead of using components.</t>
        </is>
      </c>
      <c r="H33" s="10" t="inlineStr">
        <is>
          <t>Needs QA</t>
        </is>
      </c>
    </row>
    <row r="34">
      <c r="A34" s="10" t="n">
        <v>33</v>
      </c>
      <c r="B34" s="10" t="n">
        <v>336</v>
      </c>
      <c r="C34" s="8" t="inlineStr">
        <is>
          <t>DevOps, Source Control &amp; Release Management</t>
        </is>
      </c>
      <c r="D34" s="8" t="inlineStr">
        <is>
          <t>plan-sync keeps plan and the issue tracker consistent</t>
        </is>
      </c>
      <c r="E34" s="8" t="inlineStr">
        <is>
          <t>A tracker project with the Plan ID field and CI secrets.</t>
        </is>
      </c>
      <c r="F34" s="8" t="inlineStr">
        <is>
          <t>Run export and push; change a status in the issue tracker; run pull and check. Expected: workbook status follows the issue tracker, check passes; a duplicate Plan ID or Done row without evidence fails.</t>
        </is>
      </c>
      <c r="G34" s="8" t="inlineStr">
        <is>
          <t>Risk if it fails: The plan file and the issue tracker disagree and developers lose trust in one of them.</t>
        </is>
      </c>
      <c r="H34" s="10" t="inlineStr">
        <is>
          <t>Needs QA</t>
        </is>
      </c>
    </row>
  </sheetData>
  <autoFilter ref="A1:H34"/>
  <dataValidations count="1">
    <dataValidation sqref="H2:H34" showDropDown="0" showInputMessage="0" showErrorMessage="0" allowBlank="0" type="list">
      <formula1>"Needs QA,Pass,Fail,Blocked"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showGridLines="0" workbookViewId="0">
      <pane ySplit="1" topLeftCell="A2" activePane="bottomLeft" state="frozen"/>
      <selection pane="bottomLeft" activeCell="A1" sqref="A1"/>
    </sheetView>
  </sheetViews>
  <sheetFormatPr baseColWidth="8" defaultRowHeight="15"/>
  <cols>
    <col width="44" customWidth="1" min="1" max="1"/>
    <col width="8" customWidth="1" min="2" max="2"/>
    <col width="9" customWidth="1" min="3" max="3"/>
    <col width="40" customWidth="1" min="4" max="4"/>
    <col width="100" customWidth="1" min="5" max="5"/>
    <col width="9" customWidth="1" min="6" max="6"/>
  </cols>
  <sheetData>
    <row r="1">
      <c r="A1" s="7" t="inlineStr">
        <is>
          <t>Epic / Milestone</t>
        </is>
      </c>
      <c r="B1" s="7" t="inlineStr">
        <is>
          <t>When</t>
        </is>
      </c>
      <c r="C1" s="7" t="inlineStr">
        <is>
          <t>Priority</t>
        </is>
      </c>
      <c r="D1" s="7" t="inlineStr">
        <is>
          <t>Areas Involved</t>
        </is>
      </c>
      <c r="E1" s="7" t="inlineStr">
        <is>
          <t>Rationale</t>
        </is>
      </c>
      <c r="F1" s="7" t="inlineStr">
        <is>
          <t>Tasks</t>
        </is>
      </c>
    </row>
    <row r="2">
      <c r="A2" s="8" t="inlineStr">
        <is>
          <t>M0 - Baseline and foundation decisions</t>
        </is>
      </c>
      <c r="B2" s="10" t="inlineStr">
        <is>
          <t>Now</t>
        </is>
      </c>
      <c r="C2" s="10" t="inlineStr">
        <is>
          <t>P0</t>
        </is>
      </c>
      <c r="D2" s="8" t="inlineStr">
        <is>
          <t>FND, LIC, BRD, DEM, WEB, MIG, CMP, QA</t>
        </is>
      </c>
      <c r="E2" s="8" t="inlineStr">
        <is>
          <t>Without the decisions on storage, UI technology, libraries, the licensing threat model and editions nothing later is stable. Decisions are cheap and unblock everything. In parallel run a real build/test and clean secrets from the repo.</t>
        </is>
      </c>
      <c r="F2" s="10">
        <f>COUNTIF(Backlog!$L$2:$L$350,"M0")</f>
        <v/>
      </c>
    </row>
    <row r="3">
      <c r="A3" s="8" t="inlineStr">
        <is>
          <t>M1 - Dynamic core, components and licensing (Alpha)</t>
        </is>
      </c>
      <c r="B3" s="10" t="inlineStr">
        <is>
          <t>Now</t>
        </is>
      </c>
      <c r="C3" s="10" t="inlineStr">
        <is>
          <t>P0</t>
        </is>
      </c>
      <c r="D3" s="8" t="inlineStr">
        <is>
          <t>DYN, CMP, LIC, SEC, LOC</t>
        </is>
      </c>
      <c r="E3" s="8" t="inlineStr">
        <is>
          <t>These block everything else: metadata registry, dynamic API with RLS, safe schema change, grid/form, Persian/Jalali, and the whole licence chain (fingerprint, install seal, request file, signed licence, vendor tool, anti-clone). Selling without a licence and without dynamism is meaningless.</t>
        </is>
      </c>
      <c r="F3" s="10">
        <f>COUNTIF(Backlog!$L$2:$L$350,"M1")</f>
        <v/>
      </c>
    </row>
    <row r="4">
      <c r="A4" s="8" t="inlineStr">
        <is>
          <t>M2 - Builders, demo and install (Beta)</t>
        </is>
      </c>
      <c r="B4" s="10" t="inlineStr">
        <is>
          <t>Next</t>
        </is>
      </c>
      <c r="C4" s="10" t="inlineStr">
        <is>
          <t>P0</t>
        </is>
      </c>
      <c r="D4" s="8" t="inlineStr">
        <is>
          <t>FRM, MOD, WFL, MIG, DEM, INS, BRD</t>
        </is>
      </c>
      <c r="E4" s="8" t="inlineStr">
        <is>
          <t>The form, module and workflow builders plus the first migration wave (wave 1) prove the engine works. The demo and the installer with signed updates allow sales to begin.</t>
        </is>
      </c>
      <c r="F4" s="10">
        <f>COUNTIF(Backlog!$L$2:$L$350,"M2")</f>
        <v/>
      </c>
    </row>
    <row r="5">
      <c r="A5" s="8" t="inlineStr">
        <is>
          <t>M3 - Commercial release 1.0: demo, website, brand and legal</t>
        </is>
      </c>
      <c r="B5" s="10" t="inlineStr">
        <is>
          <t>Next</t>
        </is>
      </c>
      <c r="C5" s="10" t="inlineStr">
        <is>
          <t>P1</t>
        </is>
      </c>
      <c r="D5" s="8" t="inlineStr">
        <is>
          <t>LIC, BRD, DEM, WEB, INS, DEV, CVM, HST</t>
        </is>
      </c>
      <c r="E5" s="8" t="inlineStr">
        <is>
          <t>Sellable packaging: licence activation portal, website, sales material, pilot customer, licence upgrade/transfer/renewal and support, plus the customer registry and release process needed before the first customer is live.</t>
        </is>
      </c>
      <c r="F5" s="10">
        <f>COUNTIF(Backlog!$L$2:$L$350,"M3")</f>
        <v/>
      </c>
    </row>
    <row r="6">
      <c r="A6" s="8" t="inlineStr">
        <is>
          <t>M4 - Platform completion and module migration</t>
        </is>
      </c>
      <c r="B6" s="10" t="inlineStr">
        <is>
          <t>Next</t>
        </is>
      </c>
      <c r="C6" s="10" t="inlineStr">
        <is>
          <t>P1</t>
        </is>
      </c>
      <c r="D6" s="8" t="inlineStr">
        <is>
          <t>DYN, CMP, FRM, MOD, WFL, MIG, SEC, INT, QA, LOC, RPT, AI, OPS, EDM, EAM</t>
        </is>
      </c>
      <c r="E6" s="8" t="inlineStr">
        <is>
          <t>Release 1.0 must be able to host every wave: the rest of the platform P1 work, wave 2, mobile, SSO, security and the report builder.</t>
        </is>
      </c>
      <c r="F6" s="10">
        <f>COUNTIF(Backlog!$L$2:$L$350,"M4")</f>
        <v/>
      </c>
    </row>
    <row r="7">
      <c r="A7" s="8" t="inlineStr">
        <is>
          <t>M5 - Competitive features (P2)</t>
        </is>
      </c>
      <c r="B7" s="10" t="inlineStr">
        <is>
          <t>Later</t>
        </is>
      </c>
      <c r="C7" s="10" t="inlineStr">
        <is>
          <t>P2</t>
        </is>
      </c>
      <c r="D7" s="8" t="inlineStr">
        <is>
          <t>All</t>
        </is>
      </c>
      <c r="E7" s="8" t="inlineStr">
        <is>
          <t>Capabilities that make selling easier but do not block 1.0.</t>
        </is>
      </c>
      <c r="F7" s="10">
        <f>COUNTIF(Backlog!$L$2:$L$350,"M5")</f>
        <v/>
      </c>
    </row>
    <row r="8">
      <c r="A8" s="8" t="inlineStr">
        <is>
          <t>M6 - Later (P3)</t>
        </is>
      </c>
      <c r="B8" s="10" t="inlineStr">
        <is>
          <t>Later</t>
        </is>
      </c>
      <c r="C8" s="10" t="inlineStr">
        <is>
          <t>P3</t>
        </is>
      </c>
      <c r="D8" s="8" t="inlineStr">
        <is>
          <t>All</t>
        </is>
      </c>
      <c r="E8" s="8" t="inlineStr">
        <is>
          <t>Highest uncertainty and lowest sales impact.</t>
        </is>
      </c>
      <c r="F8" s="10">
        <f>COUNTIF(Backlog!$L$2:$L$350,"M6")</f>
        <v/>
      </c>
    </row>
    <row r="10">
      <c r="A10" s="6" t="inlineStr">
        <is>
          <t>Suggested order for the first 60 days (after owner approval)</t>
        </is>
      </c>
    </row>
    <row r="11" ht="32" customHeight="1">
      <c r="A11" s="2" t="inlineStr">
        <is>
          <t>Week 1: F_BASE (real build/test), F_SECRET (repo secrets), F_ADR, and the F_STORE / F_UI / F_LIBS decisions with small prototypes.</t>
        </is>
      </c>
    </row>
    <row r="12" ht="32" customHeight="1">
      <c r="A12" s="2" t="inlineStr">
        <is>
          <t>Weeks 1-2: owner decisions: VM/container policy (L_TIMES), edition matrix (L_EDITION), pricing (B_PRICE), legal structure (B_ENTITY).</t>
        </is>
      </c>
    </row>
    <row r="13" ht="32" customHeight="1">
      <c r="A13" s="2" t="inlineStr">
        <is>
          <t>Weeks 2-4: L_MODEL (threat model) and L_FP + L_INSTALLID (proof: an image on other hardware does not run); C_AUDIT; M_AUDIT.</t>
        </is>
      </c>
    </row>
    <row r="14" ht="32" customHeight="1">
      <c r="A14" s="2" t="inlineStr">
        <is>
          <t>Weeks 3-8: vertical slice: D_OBJ + D_API + C_GRID + FRM_RUN on one sample entity (migration wave 1 pilot); S_RLS in parallel.</t>
        </is>
      </c>
    </row>
    <row r="15" ht="32" customHeight="1">
      <c r="A15" s="2" t="inlineStr">
        <is>
          <t>Weeks 5-8: L_REQ -&gt; L_LICFMT -&gt; L_VENDOR -&gt; L_UI -&gt; L_FIRSTRUN (the complete licence chain) and LOC_DEFAULT / LOC_CAL.</t>
        </is>
      </c>
    </row>
    <row r="16" ht="32" customHeight="1">
      <c r="A16" s="2" t="inlineStr">
        <is>
          <t>End of 60 days: an internal demo of 'build a module in the UI and run it' with the machine-locked licence working; then M2.</t>
        </is>
      </c>
    </row>
  </sheetData>
  <autoFilter ref="A1:F8"/>
  <mergeCells count="6">
    <mergeCell ref="A12:E12"/>
    <mergeCell ref="A16:E16"/>
    <mergeCell ref="A15:E15"/>
    <mergeCell ref="A11:E11"/>
    <mergeCell ref="A13:E13"/>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pane ySplit="10" topLeftCell="A11" activePane="bottomLeft" state="frozen"/>
      <selection pane="bottomLeft" activeCell="A1" sqref="A1"/>
    </sheetView>
  </sheetViews>
  <sheetFormatPr baseColWidth="8" defaultRowHeight="15"/>
  <cols>
    <col width="16" customWidth="1" min="1" max="1"/>
    <col width="70" customWidth="1" min="2" max="2"/>
    <col width="12" customWidth="1" min="3" max="3"/>
    <col width="9" customWidth="1" min="4" max="4"/>
    <col width="8" customWidth="1" min="5" max="5"/>
    <col width="9" customWidth="1" min="6" max="6"/>
    <col width="14" customWidth="1" min="7" max="7"/>
    <col width="90" customWidth="1" min="8" max="8"/>
  </cols>
  <sheetData>
    <row r="1">
      <c r="A1" s="7" t="inlineStr">
        <is>
          <t>Sprint 1 - commercial and dynamic-BPMS foundation</t>
        </is>
      </c>
    </row>
    <row r="2">
      <c r="A2" s="8" t="inlineStr">
        <is>
          <t>Dates</t>
        </is>
      </c>
      <c r="B2" s="15" t="inlineStr">
        <is>
          <t>2026-10-26 to 2026-11-06 (two weeks; adjust at import)</t>
        </is>
      </c>
    </row>
    <row r="3">
      <c r="A3" s="8" t="inlineStr">
        <is>
          <t>Team</t>
        </is>
      </c>
      <c r="B3" s="15" t="inlineStr">
        <is>
          <t>Member A (product owner: decisions, business, approvals), Member B (developer: reviews and merges), the AI assistant (does most Claude-doer rows under their review)</t>
        </is>
      </c>
    </row>
    <row r="4">
      <c r="A4" s="8" t="inlineStr">
        <is>
          <t>Goal</t>
        </is>
      </c>
      <c r="B4" s="15" t="inlineStr">
        <is>
          <t>Record the foundation decisions, prove the component technology, start the licensing and metadata-registry designs, make the build and the demo pipeline trustworthy, and protect the source and the signing key.</t>
        </is>
      </c>
    </row>
    <row r="5">
      <c r="A5" s="8" t="inlineStr">
        <is>
          <t>Why now</t>
        </is>
      </c>
      <c r="B5" s="15" t="inlineStr">
        <is>
          <t>Commercial release needs licensing and a demo; the dynamic BPMS needs the metadata registry and the component library. Both start with decisions and designs that unblock the large XL rows.</t>
        </is>
      </c>
    </row>
    <row r="6">
      <c r="A6" s="8" t="inlineStr">
        <is>
          <t>Capacity rule</t>
        </is>
      </c>
      <c r="B6" s="15" t="inlineStr">
        <is>
          <t>About 11 person-weeks nominal; 11 of 16 items are doable by the assistant, so humans mainly decide, review and merge. Stretch items start only when all committed items are in review.</t>
        </is>
      </c>
    </row>
    <row r="7">
      <c r="A7" s="8" t="inlineStr">
        <is>
          <t>Definition of done</t>
        </is>
      </c>
      <c r="B7" s="15" t="inlineStr">
        <is>
          <t>The row's 'Done when' text is met, evidence is written in the Report column, tests/CHANGELOG/Supportability Matrix updated (Instructions rule 22), changes merged by pull request.</t>
        </is>
      </c>
    </row>
    <row r="8">
      <c r="A8" s="8" t="inlineStr">
        <is>
          <t>Out of scope</t>
        </is>
      </c>
      <c r="B8" s="15" t="inlineStr">
        <is>
          <t>Implementation of the registry (#10), the licence code (#98+), the component library build (#322+) and page migration waves: they start after these designs and the spike.</t>
        </is>
      </c>
    </row>
    <row r="10">
      <c r="A10" s="7" t="inlineStr">
        <is>
          <t>Plan ID</t>
        </is>
      </c>
      <c r="B10" s="7" t="inlineStr">
        <is>
          <t>Task</t>
        </is>
      </c>
      <c r="C10" s="7" t="inlineStr">
        <is>
          <t>Owner</t>
        </is>
      </c>
      <c r="D10" s="7" t="inlineStr">
        <is>
          <t>Doer</t>
        </is>
      </c>
      <c r="E10" s="7" t="inlineStr">
        <is>
          <t>Effort</t>
        </is>
      </c>
      <c r="F10" s="7" t="inlineStr">
        <is>
          <t>Priority</t>
        </is>
      </c>
      <c r="G10" s="7" t="inlineStr">
        <is>
          <t>Committed / stretch</t>
        </is>
      </c>
      <c r="H10" s="7" t="inlineStr">
        <is>
          <t>Done when</t>
        </is>
      </c>
    </row>
    <row r="11">
      <c r="A11" s="15" t="n">
        <v>2</v>
      </c>
      <c r="B11" s="15" t="inlineStr">
        <is>
          <t>Create the architecture decision record (ADR) log in plan/adr and record the decisions already taken</t>
        </is>
      </c>
      <c r="C11" s="15" t="inlineStr">
        <is>
          <t>Member A</t>
        </is>
      </c>
      <c r="D11" s="15" t="inlineStr">
        <is>
          <t>Claude</t>
        </is>
      </c>
      <c r="E11" s="15" t="inlineStr">
        <is>
          <t>S</t>
        </is>
      </c>
      <c r="F11" s="15" t="inlineStr">
        <is>
          <t>P0</t>
        </is>
      </c>
      <c r="G11" s="15" t="inlineStr">
        <is>
          <t>Committed</t>
        </is>
      </c>
      <c r="H11" s="15" t="inlineStr">
        <is>
          <t>Done when: plan/adr contains the template and six ADRs approved by Member A; every backlog row marked decided points to its ADR.</t>
        </is>
      </c>
    </row>
    <row r="12">
      <c r="A12" s="15" t="n">
        <v>3</v>
      </c>
      <c r="B12" s="15" t="inlineStr">
        <is>
          <t>Write the one-page platform operating model: what is the dynamic engine, what are Domain Packs, what stays static</t>
        </is>
      </c>
      <c r="C12" s="15" t="inlineStr">
        <is>
          <t>Member A</t>
        </is>
      </c>
      <c r="D12" s="15" t="inlineStr">
        <is>
          <t>Claude</t>
        </is>
      </c>
      <c r="E12" s="15" t="inlineStr">
        <is>
          <t>M</t>
        </is>
      </c>
      <c r="F12" s="15" t="inlineStr">
        <is>
          <t>P0</t>
        </is>
      </c>
      <c r="G12" s="15" t="inlineStr">
        <is>
          <t>Committed</t>
        </is>
      </c>
      <c r="H12" s="15" t="inlineStr">
        <is>
          <t>Done when: Member A approved the document; every module appears in exactly one class; rows #10, #85 and #94 reference it.</t>
        </is>
      </c>
    </row>
    <row r="13">
      <c r="A13" s="15" t="n">
        <v>107</v>
      </c>
      <c r="B13" s="15" t="inlineStr">
        <is>
          <t>Define and perform the licence signing-key procedure (create keys offline, storage, backup, rotation, compromise plan)</t>
        </is>
      </c>
      <c r="C13" s="15" t="inlineStr">
        <is>
          <t>Member A</t>
        </is>
      </c>
      <c r="D13" s="15" t="inlineStr">
        <is>
          <t>User</t>
        </is>
      </c>
      <c r="E13" s="15" t="inlineStr">
        <is>
          <t>M</t>
        </is>
      </c>
      <c r="F13" s="15" t="inlineStr">
        <is>
          <t>P0</t>
        </is>
      </c>
      <c r="G13" s="15" t="inlineStr">
        <is>
          <t>Committed</t>
        </is>
      </c>
      <c r="H13" s="15" t="inlineStr">
        <is>
          <t>Done when: the procedure is approved and followed; the public key is in the repository; a test signature verifies; the private key is not on any development machine.</t>
        </is>
      </c>
    </row>
    <row r="14">
      <c r="A14" s="15" t="n">
        <v>257</v>
      </c>
      <c r="B14" s="15" t="inlineStr">
        <is>
          <t>Move the source code to a private company-owned GitHub organization with access control, branch protection and a backup</t>
        </is>
      </c>
      <c r="C14" s="15" t="inlineStr">
        <is>
          <t>Member A</t>
        </is>
      </c>
      <c r="D14" s="15" t="inlineStr">
        <is>
          <t>User</t>
        </is>
      </c>
      <c r="E14" s="15" t="inlineStr">
        <is>
          <t>M</t>
        </is>
      </c>
      <c r="F14" s="15" t="inlineStr">
        <is>
          <t>P0</t>
        </is>
      </c>
      <c r="G14" s="15" t="inlineStr">
        <is>
          <t>Committed</t>
        </is>
      </c>
      <c r="H14" s="15" t="inlineStr">
        <is>
          <t>Done when: the repository is private; branch protection and 2FA are on; a backup job ran once; the member list with roles is recorded.</t>
        </is>
      </c>
    </row>
    <row r="15">
      <c r="A15" s="15" t="n">
        <v>337</v>
      </c>
      <c r="B15" s="15" t="inlineStr">
        <is>
          <t>Finish the issue-tracker setup: board columns, Plan ID field, and the API token stored as a CI secret</t>
        </is>
      </c>
      <c r="C15" s="15" t="inlineStr">
        <is>
          <t>Member A</t>
        </is>
      </c>
      <c r="D15" s="15" t="inlineStr">
        <is>
          <t>User</t>
        </is>
      </c>
      <c r="E15" s="15" t="inlineStr">
        <is>
          <t>S</t>
        </is>
      </c>
      <c r="F15" s="15" t="inlineStr">
        <is>
          <t>P0</t>
        </is>
      </c>
      <c r="G15" s="15" t="inlineStr">
        <is>
          <t>Committed</t>
        </is>
      </c>
      <c r="H15" s="15" t="inlineStr">
        <is>
          <t>Done when: a test import of the generated import file (python tools/plan-sync/plan_sync.py export) creates the epics and issues with Plan IDs and the Sprint 1 items; the bot token works from CI.</t>
        </is>
      </c>
    </row>
    <row r="16">
      <c r="A16" s="15" t="n">
        <v>338</v>
      </c>
      <c r="B16" s="15" t="inlineStr">
        <is>
          <t>Design the metadata registry (apps, modules, entities, fields, relations, versions) and write the ADR</t>
        </is>
      </c>
      <c r="C16" s="15" t="inlineStr">
        <is>
          <t>Member A</t>
        </is>
      </c>
      <c r="D16" s="15" t="inlineStr">
        <is>
          <t>Claude</t>
        </is>
      </c>
      <c r="E16" s="15" t="inlineStr">
        <is>
          <t>M</t>
        </is>
      </c>
      <c r="F16" s="15" t="inlineStr">
        <is>
          <t>P0</t>
        </is>
      </c>
      <c r="G16" s="15" t="inlineStr">
        <is>
          <t>Committed</t>
        </is>
      </c>
      <c r="H16" s="15" t="inlineStr">
        <is>
          <t>Done when: the design document and ADR exist; Member A and Member B have reviewed them; the sketched classes compile; open questions are listed with an owner; rows #10, #11, #13 and #28 reference the document.</t>
        </is>
      </c>
    </row>
    <row r="17">
      <c r="A17" s="15" t="n">
        <v>339</v>
      </c>
      <c r="B17" s="15" t="inlineStr">
        <is>
          <t>Write the licensing technical design: machine fingerprint signals, install seal, request and licence file formats, verification points, vendor tool</t>
        </is>
      </c>
      <c r="C17" s="15" t="inlineStr">
        <is>
          <t>Member A</t>
        </is>
      </c>
      <c r="D17" s="15" t="inlineStr">
        <is>
          <t>Claude</t>
        </is>
      </c>
      <c r="E17" s="15" t="inlineStr">
        <is>
          <t>M</t>
        </is>
      </c>
      <c r="F17" s="15" t="inlineStr">
        <is>
          <t>P0</t>
        </is>
      </c>
      <c r="G17" s="15" t="inlineStr">
        <is>
          <t>Committed</t>
        </is>
      </c>
      <c r="H17" s="15" t="inlineStr">
        <is>
          <t>Done when: the document covers rows #98-#106 with data formats and a sequence for first activation, renewal and restore-from-image; Member A approved it; each open risk names the contractual answer (EULA, #120).</t>
        </is>
      </c>
    </row>
    <row r="18">
      <c r="A18" s="15" t="n">
        <v>1</v>
      </c>
      <c r="B18" s="15" t="inlineStr">
        <is>
          <t>Run the build and test suite once and store a baseline report (counts, duration, environment, every failing test)</t>
        </is>
      </c>
      <c r="C18" s="15" t="inlineStr">
        <is>
          <t>Member B</t>
        </is>
      </c>
      <c r="D18" s="15" t="inlineStr">
        <is>
          <t>Claude</t>
        </is>
      </c>
      <c r="E18" s="15" t="inlineStr">
        <is>
          <t>S</t>
        </is>
      </c>
      <c r="F18" s="15" t="inlineStr">
        <is>
          <t>P0</t>
        </is>
      </c>
      <c r="G18" s="15" t="inlineStr">
        <is>
          <t>Committed</t>
        </is>
      </c>
      <c r="H18" s="15" t="inlineStr">
        <is>
          <t>Done when: plan/baseline/&lt;date&gt;.md exists with the numbers above; each failing test is listed with a cause; each real defect has its own backlog row. Known today (not yet in a report): LinuxDeploymentArtifactsTests LF check, a SQLEXPRESS-only sidebar test and ImportCenterNavigationTests (LetterCompose) fail on a clean main.</t>
        </is>
      </c>
    </row>
    <row r="19">
      <c r="A19" s="15" t="n">
        <v>7</v>
      </c>
      <c r="B19" s="15" t="inlineStr">
        <is>
          <t>Make the build workflow fail on red tests and publish a versioned artifact on version tags</t>
        </is>
      </c>
      <c r="C19" s="15" t="inlineStr">
        <is>
          <t>Member B</t>
        </is>
      </c>
      <c r="D19" s="15" t="inlineStr">
        <is>
          <t>Claude</t>
        </is>
      </c>
      <c r="E19" s="15" t="inlineStr">
        <is>
          <t>M</t>
        </is>
      </c>
      <c r="F19" s="15" t="inlineStr">
        <is>
          <t>P0</t>
        </is>
      </c>
      <c r="G19" s="15" t="inlineStr">
        <is>
          <t>Committed</t>
        </is>
      </c>
      <c r="H19" s="15" t="inlineStr">
        <is>
          <t>Done when: a red test fails the workflow; a tag produces a release artifact with version, commit and build number; no secret is stored in the repository.</t>
        </is>
      </c>
    </row>
    <row r="20">
      <c r="A20" s="15" t="n">
        <v>9</v>
      </c>
      <c r="B20" s="15" t="inlineStr">
        <is>
          <t>Audit the repository, history and container files for secrets and unsafe defaults, and fix what remains</t>
        </is>
      </c>
      <c r="C20" s="15" t="inlineStr">
        <is>
          <t>Member B</t>
        </is>
      </c>
      <c r="D20" s="15" t="inlineStr">
        <is>
          <t>Claude</t>
        </is>
      </c>
      <c r="E20" s="15" t="inlineStr">
        <is>
          <t>S</t>
        </is>
      </c>
      <c r="F20" s="15" t="inlineStr">
        <is>
          <t>P0</t>
        </is>
      </c>
      <c r="G20" s="15" t="inlineStr">
        <is>
          <t>Committed</t>
        </is>
      </c>
      <c r="H20" s="15" t="inlineStr">
        <is>
          <t>Done when: the report exists; HEAD is clean; every historical finding has a decision and an owner.</t>
        </is>
      </c>
    </row>
    <row r="21">
      <c r="A21" s="15" t="n">
        <v>29</v>
      </c>
      <c r="B21" s="15" t="inlineStr">
        <is>
          <t>Finish the UI pattern audit: review the 30 heaviest pages by hand and compute the convertible percentage per migration wave</t>
        </is>
      </c>
      <c r="C21" s="15" t="inlineStr">
        <is>
          <t>Member B</t>
        </is>
      </c>
      <c r="D21" s="15" t="inlineStr">
        <is>
          <t>Claude</t>
        </is>
      </c>
      <c r="E21" s="15" t="inlineStr">
        <is>
          <t>M</t>
        </is>
      </c>
      <c r="F21" s="15" t="inlineStr">
        <is>
          <t>P0</t>
        </is>
      </c>
      <c r="G21" s="15" t="inlineStr">
        <is>
          <t>Committed</t>
        </is>
      </c>
      <c r="H21" s="15" t="inlineStr">
        <is>
          <t>Done when: the audit document lists A/B/C for 30 pages and the percentage per wave W1-W5; the list of missing components feeds rows #322-#325.</t>
        </is>
      </c>
    </row>
    <row r="22">
      <c r="A22" s="15" t="n">
        <v>30</v>
      </c>
      <c r="B22" s="15" t="inlineStr">
        <is>
          <t>Consolidate the design tokens into one file and remove hard-coded colours from the shared CSS</t>
        </is>
      </c>
      <c r="C22" s="15" t="inlineStr">
        <is>
          <t>Member B</t>
        </is>
      </c>
      <c r="D22" s="15" t="inlineStr">
        <is>
          <t>Claude</t>
        </is>
      </c>
      <c r="E22" s="15" t="inlineStr">
        <is>
          <t>M</t>
        </is>
      </c>
      <c r="F22" s="15" t="inlineStr">
        <is>
          <t>P0</t>
        </is>
      </c>
      <c r="G22" s="15" t="inlineStr">
        <is>
          <t>Committed</t>
        </is>
      </c>
      <c r="H22" s="15" t="inlineStr">
        <is>
          <t>Done when: the four listed CSS files contain no hex colours and no physical left/right rules; screenshots show no visible change; the token file is documented in docs/design/WORKSPACE_DESIGN_SYSTEM.md.</t>
        </is>
      </c>
    </row>
    <row r="23">
      <c r="A23" s="15" t="n">
        <v>42</v>
      </c>
      <c r="B23" s="15" t="inlineStr">
        <is>
          <t>Make the UI fully offline: replace the cdnjs pdf.js references with a local copy and add a check that fails on external URLs in views</t>
        </is>
      </c>
      <c r="C23" s="15" t="inlineStr">
        <is>
          <t>Member B</t>
        </is>
      </c>
      <c r="D23" s="15" t="inlineStr">
        <is>
          <t>Claude</t>
        </is>
      </c>
      <c r="E23" s="15" t="inlineStr">
        <is>
          <t>S</t>
        </is>
      </c>
      <c r="F23" s="15" t="inlineStr">
        <is>
          <t>P0</t>
        </is>
      </c>
      <c r="G23" s="15" t="inlineStr">
        <is>
          <t>Committed</t>
        </is>
      </c>
      <c r="H23" s="15" t="inlineStr">
        <is>
          <t>Done when: no .cshtml references an external host; the PDF preview works offline in both viewers; the audit check runs in CI (#327 will reuse it).</t>
        </is>
      </c>
    </row>
    <row r="24">
      <c r="A24" s="15" t="n">
        <v>319</v>
      </c>
      <c r="B24" s="15" t="inlineStr">
        <is>
          <t>Run the one-week component technology spike and write the ADR (static Razor components with an MVC Tag Helper facade vs View Components)</t>
        </is>
      </c>
      <c r="C24" s="15" t="inlineStr">
        <is>
          <t>Member B</t>
        </is>
      </c>
      <c r="D24" s="15" t="inlineStr">
        <is>
          <t>Claude</t>
        </is>
      </c>
      <c r="E24" s="15" t="inlineStr">
        <is>
          <t>M</t>
        </is>
      </c>
      <c r="F24" s="15" t="inlineStr">
        <is>
          <t>P0</t>
        </is>
      </c>
      <c r="G24" s="15" t="inlineStr">
        <is>
          <t>Committed</t>
        </is>
      </c>
      <c r="H24" s="15" t="inlineStr">
        <is>
          <t>Done when: the ADR exists with the measured table and a clear decision; the contract classes compile; the decision is recorded in #5 and #320 can start. If static Razor components fail a criterion, the ADR names the fallback per component class.</t>
        </is>
      </c>
    </row>
    <row r="25">
      <c r="A25" s="15" t="n">
        <v>130</v>
      </c>
      <c r="B25" s="15" t="inlineStr">
        <is>
          <t>Set price list v1 and proposal template (model decided: perpetual licence + annual maintenance)</t>
        </is>
      </c>
      <c r="C25" s="15" t="inlineStr">
        <is>
          <t>Member A</t>
        </is>
      </c>
      <c r="D25" s="15" t="inlineStr">
        <is>
          <t>User</t>
        </is>
      </c>
      <c r="E25" s="15" t="inlineStr">
        <is>
          <t>M</t>
        </is>
      </c>
      <c r="F25" s="15" t="inlineStr">
        <is>
          <t>P0</t>
        </is>
      </c>
      <c r="G25" s="15" t="inlineStr">
        <is>
          <t>Stretch</t>
        </is>
      </c>
      <c r="H25" s="15" t="inlineStr">
        <is>
          <t>Done when: Member A approved the price list and the template; the module names in the price list match the module catalogue of #112.</t>
        </is>
      </c>
    </row>
    <row r="26">
      <c r="A26" s="15" t="n">
        <v>320</v>
      </c>
      <c r="B26" s="15" t="inlineStr">
        <is>
          <t>Create the PEMS.UI Razor Class Library: structure, namespaces, bundled offline assets (tokens, CSS, JS), localization resources, packaging rules; PEMS.Web consumes it</t>
        </is>
      </c>
      <c r="C26" s="15" t="inlineStr">
        <is>
          <t>Member B</t>
        </is>
      </c>
      <c r="D26" s="15" t="inlineStr">
        <is>
          <t>Claude</t>
        </is>
      </c>
      <c r="E26" s="15" t="inlineStr">
        <is>
          <t>M</t>
        </is>
      </c>
      <c r="F26" s="15" t="inlineStr">
        <is>
          <t>P0</t>
        </is>
      </c>
      <c r="G26" s="15" t="inlineStr">
        <is>
          <t>Stretch</t>
        </is>
      </c>
      <c r="H26" s="15" t="inlineStr">
        <is>
          <t>Done when: the solution builds and the tests pass; the HTTP smoke tests still pass; PEMS.Web renders the same pages with its assets served from PEMS.UI.</t>
        </is>
      </c>
    </row>
    <row r="27">
      <c r="A27" s="15" t="n">
        <v>340</v>
      </c>
      <c r="B27" s="15" t="inlineStr">
        <is>
          <t>Make the demo site start: issue the TLS certificate and diagnose why the application does not answer after the first deploy</t>
        </is>
      </c>
      <c r="C27" s="15" t="inlineStr">
        <is>
          <t>Member B</t>
        </is>
      </c>
      <c r="D27" s="15" t="inlineStr">
        <is>
          <t>Claude</t>
        </is>
      </c>
      <c r="E27" s="15" t="inlineStr">
        <is>
          <t>M</t>
        </is>
      </c>
      <c r="F27" s="15" t="inlineStr">
        <is>
          <t>P0</t>
        </is>
      </c>
      <c r="G27" s="15" t="inlineStr">
        <is>
          <t>Committed</t>
        </is>
      </c>
      <c r="H27" s="15" t="inlineStr">
        <is>
          <t>Done when: https://demo.parmisata.ir opens with a valid certificate; /health/database returns UpToDate; the demo workflow run is green end to end; the cause and fix are written in docs/deployment/DEMO_DEPLOYMENT.md.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8" customWidth="1" min="1" max="1"/>
    <col width="40" customWidth="1" min="2" max="2"/>
    <col width="100" customWidth="1" min="3" max="3"/>
    <col width="30" customWidth="1" min="4" max="4"/>
    <col width="24" customWidth="1" min="5" max="5"/>
  </cols>
  <sheetData>
    <row r="1">
      <c r="A1" s="4" t="inlineStr">
        <is>
          <t>PEMS licensing design - machine and install-time locked (on-prem, offline)</t>
        </is>
      </c>
    </row>
    <row r="2" ht="48" customHeight="1">
      <c r="A2" s="2" t="inlineStr">
        <is>
          <t>Owner need: even if a whole machine is imaged and deployed elsewhere it must not work; a file is generated on the customer server, returned to us, and we deliver the real licence; lifetime or timed. Limits: no offline scheme is unbreakable - the goal is to defeat casual copying and add contractual backing.</t>
        </is>
      </c>
    </row>
    <row r="4">
      <c r="A4" s="7" t="inlineStr">
        <is>
          <t>Step</t>
        </is>
      </c>
      <c r="B4" s="7" t="inlineStr">
        <is>
          <t>Stage</t>
        </is>
      </c>
      <c r="C4" s="7" t="inlineStr">
        <is>
          <t>Description</t>
        </is>
      </c>
      <c r="D4" s="7" t="inlineStr">
        <is>
          <t>Backlog rows</t>
        </is>
      </c>
    </row>
    <row r="5">
      <c r="A5" s="10" t="inlineStr">
        <is>
          <t>1</t>
        </is>
      </c>
      <c r="B5" s="8" t="inlineStr">
        <is>
          <t>Install</t>
        </is>
      </c>
      <c r="C5" s="8" t="inlineStr">
        <is>
          <t>The installer runs; first start creates a random Install ID and a key pair; the private key is made non-exportable with DPAPI/TPM; install time and a monotonic counter are written to the 'install seal' (DB + an independent file).</t>
        </is>
      </c>
      <c r="D5" s="10" t="inlineStr">
        <is>
          <t>#99</t>
        </is>
      </c>
    </row>
    <row r="6">
      <c r="A6" s="10" t="inlineStr">
        <is>
          <t>2</t>
        </is>
      </c>
      <c r="B6" s="8" t="inlineStr">
        <is>
          <t>Request</t>
        </is>
      </c>
      <c r="C6" s="8" t="inlineStr">
        <is>
          <t>Without a licence the system starts in 'activation required' mode and creates a .pemsreq file: hashed fingerprint, Install ID, install time, version, customer id, nonce, install-key signature.</t>
        </is>
      </c>
      <c r="D6" s="10" t="inlineStr">
        <is>
          <t>#98 #100 #108</t>
        </is>
      </c>
    </row>
    <row r="7">
      <c r="A7" s="10" t="inlineStr">
        <is>
          <t>3</t>
        </is>
      </c>
      <c r="B7" s="8" t="inlineStr">
        <is>
          <t>Return to vendor</t>
        </is>
      </c>
      <c r="C7" s="8" t="inlineStr">
        <is>
          <t>The customer gives the file to us through the website portal (WEB_ACT) or by hand; the product itself never calls out.</t>
        </is>
      </c>
      <c r="D7" s="10" t="inlineStr">
        <is>
          <t>#161 #123</t>
        </is>
      </c>
    </row>
    <row r="8">
      <c r="A8" s="10" t="inlineStr">
        <is>
          <t>4</t>
        </is>
      </c>
      <c r="B8" s="8" t="inlineStr">
        <is>
          <t>Issue</t>
        </is>
      </c>
      <c r="C8" s="8" t="inlineStr">
        <is>
          <t>The vendor tool (L_VENDOR) validates the signature and structure, selects edition/modules/limits/type (lifetime or term) and signs a .pemslic with the offline private key; the licence is bound to the nonce, Install ID and fingerprint hash of that request.</t>
        </is>
      </c>
      <c r="D8" s="10" t="inlineStr">
        <is>
          <t>#101 #102 #106 #107</t>
        </is>
      </c>
    </row>
    <row r="9">
      <c r="A9" s="10" t="inlineStr">
        <is>
          <t>5</t>
        </is>
      </c>
      <c r="B9" s="8" t="inlineStr">
        <is>
          <t>Activate</t>
        </is>
      </c>
      <c r="C9" s="8" t="inlineStr">
        <is>
          <t>The customer uploads the licence (or a zip); verification: signature, Install ID match, fingerprint, seal, monotonic counter, expiry; then an automatic restart.</t>
        </is>
      </c>
      <c r="D9" s="10" t="inlineStr">
        <is>
          <t>#103 #108</t>
        </is>
      </c>
    </row>
    <row r="10">
      <c r="A10" s="10" t="inlineStr">
        <is>
          <t>6</t>
        </is>
      </c>
      <c r="B10" s="8" t="inlineStr">
        <is>
          <t>Operate</t>
        </is>
      </c>
      <c r="C10" s="8" t="inlineStr">
        <is>
          <t>Multiple checks at startup/periodic/sensitive operations; expiry warnings for term licences; failure means restricted read-only mode, not a crash.</t>
        </is>
      </c>
      <c r="D10" s="10" t="inlineStr">
        <is>
          <t>#103 #105 #115</t>
        </is>
      </c>
    </row>
    <row r="11">
      <c r="A11" s="10" t="inlineStr">
        <is>
          <t>7</t>
        </is>
      </c>
      <c r="B11" s="8" t="inlineStr">
        <is>
          <t>Renew/transfer</t>
        </is>
      </c>
      <c r="C11" s="8" t="inlineStr">
        <is>
          <t>Renewal with a small file; hardware replacement with a new request and revocation of the old licence (re-host) with a cap on count.</t>
        </is>
      </c>
      <c r="D11" s="10" t="inlineStr">
        <is>
          <t>#115 #116 #117</t>
        </is>
      </c>
    </row>
    <row r="13">
      <c r="A13" s="6" t="inlineStr">
        <is>
          <t>Threat and defense table</t>
        </is>
      </c>
    </row>
    <row r="14">
      <c r="A14" s="7" t="inlineStr">
        <is>
          <t>#</t>
        </is>
      </c>
      <c r="B14" s="7" t="inlineStr">
        <is>
          <t>Attack scenario</t>
        </is>
      </c>
      <c r="C14" s="7" t="inlineStr">
        <is>
          <t>Defense</t>
        </is>
      </c>
      <c r="D14" s="7" t="inlineStr">
        <is>
          <t>Residual risk</t>
        </is>
      </c>
      <c r="E14" s="7" t="inlineStr">
        <is>
          <t>Rows</t>
        </is>
      </c>
    </row>
    <row r="15">
      <c r="A15" s="10" t="n">
        <v>1</v>
      </c>
      <c r="B15" s="8" t="inlineStr">
        <is>
          <t>Full machine image on different hardware</t>
        </is>
      </c>
      <c r="C15" s="8" t="inlineStr">
        <is>
          <t>Multi-signal fingerprint plus a non-exportable install key (DPAPI/TPM); the seal cannot be opened</t>
        </is>
      </c>
      <c r="D15" s="8" t="inlineStr">
        <is>
          <t>Low</t>
        </is>
      </c>
      <c r="E15" s="10" t="inlineStr">
        <is>
          <t>#98 #99</t>
        </is>
      </c>
    </row>
    <row r="16">
      <c r="A16" s="10" t="n">
        <v>2</v>
      </c>
      <c r="B16" s="8" t="inlineStr">
        <is>
          <t>VM clone (same virtual hardware appearance)</t>
        </is>
      </c>
      <c r="C16" s="8" t="inlineStr">
        <is>
          <t>VM/container policy (L_TIMES); virtual TPM / hypervisor identifiers; monotonic counter and lifecycle trail</t>
        </is>
      </c>
      <c r="D16" s="8" t="inlineStr">
        <is>
          <t>Medium - needs a commercial decision and contract</t>
        </is>
      </c>
      <c r="E16" s="10" t="inlineStr">
        <is>
          <t>#97 #104 #120</t>
        </is>
      </c>
    </row>
    <row r="17">
      <c r="A17" s="10" t="n">
        <v>3</v>
      </c>
      <c r="B17" s="8" t="inlineStr">
        <is>
          <t>Restoring an old snapshot on the same machine</t>
        </is>
      </c>
      <c r="C17" s="8" t="inlineStr">
        <is>
          <t>Monotonic counter plus audit hash chain; a lower counter is suspicious; re-activation required</t>
        </is>
      </c>
      <c r="D17" s="8" t="inlineStr">
        <is>
          <t>Medium</t>
        </is>
      </c>
      <c r="E17" s="10" t="inlineStr">
        <is>
          <t>#104</t>
        </is>
      </c>
    </row>
    <row r="18">
      <c r="A18" s="10" t="n">
        <v>4</v>
      </c>
      <c r="B18" s="8" t="inlineStr">
        <is>
          <t>Setting the clock back for a term licence</t>
        </is>
      </c>
      <c r="C18" s="8" t="inlineStr">
        <is>
          <t>Sealed last-seen time; a jump back causes a soft lock</t>
        </is>
      </c>
      <c r="D18" s="8" t="inlineStr">
        <is>
          <t>Low</t>
        </is>
      </c>
      <c r="E18" s="10" t="inlineStr">
        <is>
          <t>#105</t>
        </is>
      </c>
    </row>
    <row r="19">
      <c r="A19" s="10" t="n">
        <v>5</v>
      </c>
      <c r="B19" s="8" t="inlineStr">
        <is>
          <t>Binary patch / removing the licence check</t>
        </is>
      </c>
      <c r="C19" s="8" t="inlineStr">
        <is>
          <t>Several independent checks, obfuscation, assembly signing, integrity checks</t>
        </is>
      </c>
      <c r="D19" s="8" t="inlineStr">
        <is>
          <t>Medium (no software defense is absolute)</t>
        </is>
      </c>
      <c r="E19" s="10" t="inlineStr">
        <is>
          <t>#103 #118</t>
        </is>
      </c>
    </row>
    <row r="20">
      <c r="A20" s="10" t="n">
        <v>6</v>
      </c>
      <c r="B20" s="8" t="inlineStr">
        <is>
          <t>Copying or sharing a licence file between customers</t>
        </is>
      </c>
      <c r="C20" s="8" t="inlineStr">
        <is>
          <t>The licence is bound to Install ID + fingerprint + nonce; another install rejects it</t>
        </is>
      </c>
      <c r="D20" s="8" t="inlineStr">
        <is>
          <t>Low</t>
        </is>
      </c>
      <c r="E20" s="10" t="inlineStr">
        <is>
          <t>#101</t>
        </is>
      </c>
    </row>
    <row r="21">
      <c r="A21" s="10" t="n">
        <v>7</v>
      </c>
      <c r="B21" s="8" t="inlineStr">
        <is>
          <t>Leak of the private signing key</t>
        </is>
      </c>
      <c r="C21" s="8" t="inlineStr">
        <is>
          <t>Offline key/HSM, two-person control, public-key rotation via update</t>
        </is>
      </c>
      <c r="D21" s="8" t="inlineStr">
        <is>
          <t>Critical if it happens</t>
        </is>
      </c>
      <c r="E21" s="10" t="inlineStr">
        <is>
          <t>#107</t>
        </is>
      </c>
    </row>
    <row r="22">
      <c r="A22" s="10" t="n">
        <v>8</v>
      </c>
      <c r="B22" s="8" t="inlineStr">
        <is>
          <t>Licence issuing tool inside the customer package</t>
        </is>
      </c>
      <c r="C22" s="8" t="inlineStr">
        <is>
          <t>Two flags (build-time/run-time); package allowlist scan</t>
        </is>
      </c>
      <c r="D22" s="8" t="inlineStr">
        <is>
          <t>Low</t>
        </is>
      </c>
      <c r="E22" s="10" t="inlineStr">
        <is>
          <t>#106 #119</t>
        </is>
      </c>
    </row>
    <row r="23">
      <c r="A23" s="10" t="n">
        <v>9</v>
      </c>
      <c r="B23" s="8" t="inlineStr">
        <is>
          <t>Leftover bypass from development</t>
        </is>
      </c>
      <c r="C23" s="8" t="inlineStr">
        <is>
          <t>No bypass flag; a signed dev licence; release test</t>
        </is>
      </c>
      <c r="D23" s="8" t="inlineStr">
        <is>
          <t>Low</t>
        </is>
      </c>
      <c r="E23" s="10" t="inlineStr">
        <is>
          <t>#110</t>
        </is>
      </c>
    </row>
    <row r="24">
      <c r="A24" s="10" t="n">
        <v>10</v>
      </c>
      <c r="B24" s="8" t="inlineStr">
        <is>
          <t>Recovery after hardware failure (legitimate user, new machine)</t>
        </is>
      </c>
      <c r="C24" s="8" t="inlineStr">
        <is>
          <t>Official re-host path with vendor approval and a cap on count</t>
        </is>
      </c>
      <c r="D24" s="8" t="inlineStr">
        <is>
          <t>Operational</t>
        </is>
      </c>
      <c r="E24" s="10" t="inlineStr">
        <is>
          <t>#116 #171</t>
        </is>
      </c>
    </row>
  </sheetData>
  <mergeCells count="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0"/>
  <sheetViews>
    <sheetView showGridLines="0" workbookViewId="0">
      <pane ySplit="1" topLeftCell="A2" activePane="bottomLeft" state="frozen"/>
      <selection pane="bottomLeft" activeCell="A1" sqref="A1"/>
    </sheetView>
  </sheetViews>
  <sheetFormatPr baseColWidth="8" defaultRowHeight="15"/>
  <cols>
    <col width="5" customWidth="1" min="1" max="1"/>
    <col width="22" customWidth="1" min="2" max="2"/>
    <col width="54" customWidth="1" min="3" max="3"/>
    <col width="24" customWidth="1" min="4" max="4"/>
    <col width="36" customWidth="1" min="5" max="5"/>
    <col width="22" customWidth="1" min="6" max="6"/>
    <col width="26" customWidth="1" min="7" max="7"/>
    <col width="10" customWidth="1" min="8" max="8"/>
  </cols>
  <sheetData>
    <row r="1">
      <c r="A1" s="7" t="inlineStr">
        <is>
          <t>#</t>
        </is>
      </c>
      <c r="B1" s="7" t="inlineStr">
        <is>
          <t>Area</t>
        </is>
      </c>
      <c r="C1" s="7" t="inlineStr">
        <is>
          <t>Capability</t>
        </is>
      </c>
      <c r="D1" s="7" t="inlineStr">
        <is>
          <t>Reference</t>
        </is>
      </c>
      <c r="E1" s="7" t="inlineStr">
        <is>
          <t>PEMS today</t>
        </is>
      </c>
      <c r="F1" s="7" t="inlineStr">
        <is>
          <t>PEMS rows</t>
        </is>
      </c>
      <c r="G1" s="7" t="inlineStr">
        <is>
          <t>Target</t>
        </is>
      </c>
      <c r="H1" s="7" t="inlineStr">
        <is>
          <t>Parity</t>
        </is>
      </c>
    </row>
    <row r="2">
      <c r="A2" s="10" t="n">
        <v>1</v>
      </c>
      <c r="B2" s="8" t="inlineStr">
        <is>
          <t>RBAC and authorization</t>
        </is>
      </c>
      <c r="C2" s="8" t="inlineStr">
        <is>
          <t>One engine for roles/groups/rules/users plus row-level relevance</t>
        </is>
      </c>
      <c r="D2" s="10" t="inlineStr">
        <is>
          <t>Titan #1 #5</t>
        </is>
      </c>
      <c r="E2" s="8" t="inlineStr">
        <is>
          <t>Partial - AccessControlService, RoleAssignment</t>
        </is>
      </c>
      <c r="F2" s="10" t="inlineStr">
        <is>
          <t>#178 #180</t>
        </is>
      </c>
      <c r="G2" s="10" t="inlineStr">
        <is>
          <t>Better</t>
        </is>
      </c>
      <c r="H2" s="10" t="inlineStr">
        <is>
          <t>Open</t>
        </is>
      </c>
    </row>
    <row r="3">
      <c r="A3" s="10" t="n">
        <v>2</v>
      </c>
      <c r="B3" s="8" t="inlineStr">
        <is>
          <t>RBAC and authorization</t>
        </is>
      </c>
      <c r="C3" s="8" t="inlineStr">
        <is>
          <t>Editable permission matrix on unit and user forms</t>
        </is>
      </c>
      <c r="D3" s="10" t="inlineStr">
        <is>
          <t>Titan #3</t>
        </is>
      </c>
      <c r="E3" s="8" t="inlineStr">
        <is>
          <t>Missing</t>
        </is>
      </c>
      <c r="F3" s="10" t="inlineStr">
        <is>
          <t>#60</t>
        </is>
      </c>
      <c r="G3" s="10" t="inlineStr">
        <is>
          <t>Equal</t>
        </is>
      </c>
      <c r="H3" s="10" t="inlineStr">
        <is>
          <t>Open</t>
        </is>
      </c>
    </row>
    <row r="4">
      <c r="A4" s="10" t="n">
        <v>3</v>
      </c>
      <c r="B4" s="8" t="inlineStr">
        <is>
          <t>RBAC and authorization</t>
        </is>
      </c>
      <c r="C4" s="8" t="inlineStr">
        <is>
          <t>Bulk permission operations (clear/add owner)</t>
        </is>
      </c>
      <c r="D4" s="10" t="inlineStr">
        <is>
          <t>Titan #2</t>
        </is>
      </c>
      <c r="E4" s="8" t="inlineStr">
        <is>
          <t>Missing</t>
        </is>
      </c>
      <c r="F4" s="10" t="inlineStr">
        <is>
          <t>#60</t>
        </is>
      </c>
      <c r="G4" s="10" t="inlineStr">
        <is>
          <t>Equal</t>
        </is>
      </c>
      <c r="H4" s="10" t="inlineStr">
        <is>
          <t>Open</t>
        </is>
      </c>
    </row>
    <row r="5">
      <c r="A5" s="10" t="n">
        <v>4</v>
      </c>
      <c r="B5" s="8" t="inlineStr">
        <is>
          <t>Sessions and security</t>
        </is>
      </c>
      <c r="C5" s="8" t="inlineStr">
        <is>
          <t>Session registry, split TTLs, force-logout</t>
        </is>
      </c>
      <c r="D5" s="10" t="inlineStr">
        <is>
          <t>Titan #67 #104</t>
        </is>
      </c>
      <c r="E5" s="8" t="inlineStr">
        <is>
          <t>Missing (plain cookie)</t>
        </is>
      </c>
      <c r="F5" s="10" t="inlineStr">
        <is>
          <t>#182</t>
        </is>
      </c>
      <c r="G5" s="10" t="inlineStr">
        <is>
          <t>Better</t>
        </is>
      </c>
      <c r="H5" s="10" t="inlineStr">
        <is>
          <t>Open</t>
        </is>
      </c>
    </row>
    <row r="6">
      <c r="A6" s="10" t="n">
        <v>5</v>
      </c>
      <c r="B6" s="8" t="inlineStr">
        <is>
          <t>Sessions and security</t>
        </is>
      </c>
      <c r="C6" s="8" t="inlineStr">
        <is>
          <t>Superadmin TOTP</t>
        </is>
      </c>
      <c r="D6" s="10" t="inlineStr">
        <is>
          <t>Titan #67</t>
        </is>
      </c>
      <c r="E6" s="8" t="inlineStr">
        <is>
          <t>FIDO2 (stronger)</t>
        </is>
      </c>
      <c r="F6" s="10" t="inlineStr">
        <is>
          <t>#241</t>
        </is>
      </c>
      <c r="G6" s="10" t="inlineStr">
        <is>
          <t>Better</t>
        </is>
      </c>
      <c r="H6" s="10" t="inlineStr">
        <is>
          <t>Open</t>
        </is>
      </c>
    </row>
    <row r="7">
      <c r="A7" s="10" t="n">
        <v>6</v>
      </c>
      <c r="B7" s="8" t="inlineStr">
        <is>
          <t>Sessions and security</t>
        </is>
      </c>
      <c r="C7" s="8" t="inlineStr">
        <is>
          <t>AES-GCM field encryption with a machine key</t>
        </is>
      </c>
      <c r="D7" s="10" t="inlineStr">
        <is>
          <t>Titan #64</t>
        </is>
      </c>
      <c r="E7" s="8" t="inlineStr">
        <is>
          <t>Missing</t>
        </is>
      </c>
      <c r="F7" s="10" t="inlineStr">
        <is>
          <t>#188</t>
        </is>
      </c>
      <c r="G7" s="10" t="inlineStr">
        <is>
          <t>Equal</t>
        </is>
      </c>
      <c r="H7" s="10" t="inlineStr">
        <is>
          <t>Open</t>
        </is>
      </c>
    </row>
    <row r="8">
      <c r="A8" s="10" t="n">
        <v>7</v>
      </c>
      <c r="B8" s="8" t="inlineStr">
        <is>
          <t>Licensing</t>
        </is>
      </c>
      <c r="C8" s="8" t="inlineStr">
        <is>
          <t>Offline machine-locked Ed25519 licence</t>
        </is>
      </c>
      <c r="D8" s="10" t="inlineStr">
        <is>
          <t>Titan #69 #131</t>
        </is>
      </c>
      <c r="E8" s="8" t="inlineStr">
        <is>
          <t>Missing</t>
        </is>
      </c>
      <c r="F8" s="10" t="inlineStr">
        <is>
          <t>#101 #98</t>
        </is>
      </c>
      <c r="G8" s="10" t="inlineStr">
        <is>
          <t>Better (install seal + anti-clone)</t>
        </is>
      </c>
      <c r="H8" s="10" t="inlineStr">
        <is>
          <t>Open</t>
        </is>
      </c>
    </row>
    <row r="9">
      <c r="A9" s="10" t="n">
        <v>8</v>
      </c>
      <c r="B9" s="8" t="inlineStr">
        <is>
          <t>Licensing</t>
        </is>
      </c>
      <c r="C9" s="8" t="inlineStr">
        <is>
          <t>Model/module-level licence</t>
        </is>
      </c>
      <c r="D9" s="10" t="inlineStr">
        <is>
          <t>Titan #70 #168</t>
        </is>
      </c>
      <c r="E9" s="8" t="inlineStr">
        <is>
          <t>Missing</t>
        </is>
      </c>
      <c r="F9" s="10" t="inlineStr">
        <is>
          <t>#113</t>
        </is>
      </c>
      <c r="G9" s="10" t="inlineStr">
        <is>
          <t>Equal</t>
        </is>
      </c>
      <c r="H9" s="10" t="inlineStr">
        <is>
          <t>Open</t>
        </is>
      </c>
    </row>
    <row r="10">
      <c r="A10" s="10" t="n">
        <v>9</v>
      </c>
      <c r="B10" s="8" t="inlineStr">
        <is>
          <t>Licensing</t>
        </is>
      </c>
      <c r="C10" s="8" t="inlineStr">
        <is>
          <t>Zip upload, fingerprint display, automatic restart</t>
        </is>
      </c>
      <c r="D10" s="10" t="inlineStr">
        <is>
          <t>Titan #140 #141 #146</t>
        </is>
      </c>
      <c r="E10" s="8" t="inlineStr">
        <is>
          <t>Missing</t>
        </is>
      </c>
      <c r="F10" s="10" t="inlineStr">
        <is>
          <t>#108</t>
        </is>
      </c>
      <c r="G10" s="10" t="inlineStr">
        <is>
          <t>Equal</t>
        </is>
      </c>
      <c r="H10" s="10" t="inlineStr">
        <is>
          <t>Open</t>
        </is>
      </c>
    </row>
    <row r="11">
      <c r="A11" s="10" t="n">
        <v>10</v>
      </c>
      <c r="B11" s="8" t="inlineStr">
        <is>
          <t>Licensing</t>
        </is>
      </c>
      <c r="C11" s="8" t="inlineStr">
        <is>
          <t>Web-based superowner issuing tool</t>
        </is>
      </c>
      <c r="D11" s="10" t="inlineStr">
        <is>
          <t>Titan #145</t>
        </is>
      </c>
      <c r="E11" s="8" t="inlineStr">
        <is>
          <t>Missing</t>
        </is>
      </c>
      <c r="F11" s="10" t="inlineStr">
        <is>
          <t>#106</t>
        </is>
      </c>
      <c r="G11" s="10" t="inlineStr">
        <is>
          <t>Equal</t>
        </is>
      </c>
      <c r="H11" s="10" t="inlineStr">
        <is>
          <t>Open</t>
        </is>
      </c>
    </row>
    <row r="12">
      <c r="A12" s="10" t="n">
        <v>11</v>
      </c>
      <c r="B12" s="8" t="inlineStr">
        <is>
          <t>Licensing</t>
        </is>
      </c>
      <c r="C12" s="8" t="inlineStr">
        <is>
          <t>Signed update package and Update page</t>
        </is>
      </c>
      <c r="D12" s="10" t="inlineStr">
        <is>
          <t>Titan #249</t>
        </is>
      </c>
      <c r="E12" s="8" t="inlineStr">
        <is>
          <t>Missing</t>
        </is>
      </c>
      <c r="F12" s="10" t="inlineStr">
        <is>
          <t>#170</t>
        </is>
      </c>
      <c r="G12" s="10" t="inlineStr">
        <is>
          <t>Equal</t>
        </is>
      </c>
      <c r="H12" s="10" t="inlineStr">
        <is>
          <t>Open</t>
        </is>
      </c>
    </row>
    <row r="13">
      <c r="A13" s="10" t="n">
        <v>12</v>
      </c>
      <c r="B13" s="8" t="inlineStr">
        <is>
          <t>Licensing</t>
        </is>
      </c>
      <c r="C13" s="8" t="inlineStr">
        <is>
          <t>Code protection (bytecode)</t>
        </is>
      </c>
      <c r="D13" s="10" t="inlineStr">
        <is>
          <t>Titan #71</t>
        </is>
      </c>
      <c r="E13" s="8" t="inlineStr">
        <is>
          <t>Missing</t>
        </is>
      </c>
      <c r="F13" s="10" t="inlineStr">
        <is>
          <t>#118</t>
        </is>
      </c>
      <c r="G13" s="10" t="inlineStr">
        <is>
          <t>Equal</t>
        </is>
      </c>
      <c r="H13" s="10" t="inlineStr">
        <is>
          <t>Open</t>
        </is>
      </c>
    </row>
    <row r="14">
      <c r="A14" s="10" t="n">
        <v>13</v>
      </c>
      <c r="B14" s="8" t="inlineStr">
        <is>
          <t>Dynamic platform</t>
        </is>
      </c>
      <c r="C14" s="8" t="inlineStr">
        <is>
          <t>Registry of app/model/field/status</t>
        </is>
      </c>
      <c r="D14" s="10" t="inlineStr">
        <is>
          <t>Titan Overview</t>
        </is>
      </c>
      <c r="E14" s="8" t="inlineStr">
        <is>
          <t>Missing</t>
        </is>
      </c>
      <c r="F14" s="10" t="inlineStr">
        <is>
          <t>#10</t>
        </is>
      </c>
      <c r="G14" s="10" t="inlineStr">
        <is>
          <t>Better</t>
        </is>
      </c>
      <c r="H14" s="10" t="inlineStr">
        <is>
          <t>Open</t>
        </is>
      </c>
    </row>
    <row r="15">
      <c r="A15" s="10" t="n">
        <v>14</v>
      </c>
      <c r="B15" s="8" t="inlineStr">
        <is>
          <t>Dynamic platform</t>
        </is>
      </c>
      <c r="C15" s="8" t="inlineStr">
        <is>
          <t>Generic CRUD/Export/Import engine</t>
        </is>
      </c>
      <c r="D15" s="10" t="inlineStr">
        <is>
          <t>Titan #54 #13</t>
        </is>
      </c>
      <c r="E15" s="8" t="inlineStr">
        <is>
          <t>Partial - 11 fixed imports</t>
        </is>
      </c>
      <c r="F15" s="10" t="inlineStr">
        <is>
          <t>#12 #25 #210</t>
        </is>
      </c>
      <c r="G15" s="10" t="inlineStr">
        <is>
          <t>Equal</t>
        </is>
      </c>
      <c r="H15" s="10" t="inlineStr">
        <is>
          <t>Open</t>
        </is>
      </c>
    </row>
    <row r="16">
      <c r="A16" s="10" t="n">
        <v>15</v>
      </c>
      <c r="B16" s="8" t="inlineStr">
        <is>
          <t>Dynamic platform</t>
        </is>
      </c>
      <c r="C16" s="8" t="inlineStr">
        <is>
          <t>Unified formula/validation engine</t>
        </is>
      </c>
      <c r="D16" s="10" t="inlineStr">
        <is>
          <t>Titan #10 #11 #12</t>
        </is>
      </c>
      <c r="E16" s="8" t="inlineStr">
        <is>
          <t>Missing</t>
        </is>
      </c>
      <c r="F16" s="10" t="inlineStr">
        <is>
          <t>#15 #46</t>
        </is>
      </c>
      <c r="G16" s="10" t="inlineStr">
        <is>
          <t>Equal</t>
        </is>
      </c>
      <c r="H16" s="10" t="inlineStr">
        <is>
          <t>Open</t>
        </is>
      </c>
    </row>
    <row r="17">
      <c r="A17" s="10" t="n">
        <v>16</v>
      </c>
      <c r="B17" s="8" t="inlineStr">
        <is>
          <t>Dynamic platform</t>
        </is>
      </c>
      <c r="C17" s="8" t="inlineStr">
        <is>
          <t>Status/workflow with a flow editor</t>
        </is>
      </c>
      <c r="D17" s="10" t="inlineStr">
        <is>
          <t>Titan #28</t>
        </is>
      </c>
      <c r="E17" s="8" t="inlineStr">
        <is>
          <t>Runtime exists; no UI</t>
        </is>
      </c>
      <c r="F17" s="10" t="inlineStr">
        <is>
          <t>#67</t>
        </is>
      </c>
      <c r="G17" s="10" t="inlineStr">
        <is>
          <t>Better (BPMS)</t>
        </is>
      </c>
      <c r="H17" s="10" t="inlineStr">
        <is>
          <t>Open</t>
        </is>
      </c>
    </row>
    <row r="18">
      <c r="A18" s="10" t="n">
        <v>17</v>
      </c>
      <c r="B18" s="8" t="inlineStr">
        <is>
          <t>Dynamic platform</t>
        </is>
      </c>
      <c r="C18" s="8" t="inlineStr">
        <is>
          <t>Reference values and translatable labels</t>
        </is>
      </c>
      <c r="D18" s="10" t="inlineStr">
        <is>
          <t>Titan #138 #190 #230</t>
        </is>
      </c>
      <c r="E18" s="8" t="inlineStr">
        <is>
          <t>Missing</t>
        </is>
      </c>
      <c r="F18" s="10" t="inlineStr">
        <is>
          <t>#21 #24</t>
        </is>
      </c>
      <c r="G18" s="10" t="inlineStr">
        <is>
          <t>Equal</t>
        </is>
      </c>
      <c r="H18" s="10" t="inlineStr">
        <is>
          <t>Open</t>
        </is>
      </c>
    </row>
    <row r="19">
      <c r="A19" s="10" t="n">
        <v>18</v>
      </c>
      <c r="B19" s="8" t="inlineStr">
        <is>
          <t>UI</t>
        </is>
      </c>
      <c r="C19" s="8" t="inlineStr">
        <is>
          <t>List/tree/gallery/accordion/calendar views</t>
        </is>
      </c>
      <c r="D19" s="10" t="inlineStr">
        <is>
          <t>Titan #23 #179</t>
        </is>
      </c>
      <c r="E19" s="8" t="inlineStr">
        <is>
          <t>Fixed lists only</t>
        </is>
      </c>
      <c r="F19" s="10" t="inlineStr">
        <is>
          <t>#33</t>
        </is>
      </c>
      <c r="G19" s="10" t="inlineStr">
        <is>
          <t>Better</t>
        </is>
      </c>
      <c r="H19" s="10" t="inlineStr">
        <is>
          <t>Open</t>
        </is>
      </c>
    </row>
    <row r="20">
      <c r="A20" s="10" t="n">
        <v>19</v>
      </c>
      <c r="B20" s="8" t="inlineStr">
        <is>
          <t>UI</t>
        </is>
      </c>
      <c r="C20" s="8" t="inlineStr">
        <is>
          <t>AssociatedList (child relation) with linked view</t>
        </is>
      </c>
      <c r="D20" s="10" t="inlineStr">
        <is>
          <t>Titan #23</t>
        </is>
      </c>
      <c r="E20" s="8" t="inlineStr">
        <is>
          <t>Partial</t>
        </is>
      </c>
      <c r="F20" s="10" t="inlineStr">
        <is>
          <t>#22 #32</t>
        </is>
      </c>
      <c r="G20" s="10" t="inlineStr">
        <is>
          <t>Equal</t>
        </is>
      </c>
      <c r="H20" s="10" t="inlineStr">
        <is>
          <t>Open</t>
        </is>
      </c>
    </row>
    <row r="21">
      <c r="A21" s="10" t="n">
        <v>20</v>
      </c>
      <c r="B21" s="8" t="inlineStr">
        <is>
          <t>UI</t>
        </is>
      </c>
      <c r="C21" s="8" t="inlineStr">
        <is>
          <t>Form row-width editor, structured list sizes</t>
        </is>
      </c>
      <c r="D21" s="10" t="inlineStr">
        <is>
          <t>Titan #32 #43</t>
        </is>
      </c>
      <c r="E21" s="8" t="inlineStr">
        <is>
          <t>Missing</t>
        </is>
      </c>
      <c r="F21" s="10" t="inlineStr">
        <is>
          <t>#44 #57</t>
        </is>
      </c>
      <c r="G21" s="10" t="inlineStr">
        <is>
          <t>Equal</t>
        </is>
      </c>
      <c r="H21" s="10" t="inlineStr">
        <is>
          <t>Open</t>
        </is>
      </c>
    </row>
    <row r="22">
      <c r="A22" s="10" t="n">
        <v>21</v>
      </c>
      <c r="B22" s="8" t="inlineStr">
        <is>
          <t>UI</t>
        </is>
      </c>
      <c r="C22" s="8" t="inlineStr">
        <is>
          <t>Weighted search and command palette</t>
        </is>
      </c>
      <c r="D22" s="10" t="inlineStr">
        <is>
          <t>Titan #48 #199</t>
        </is>
      </c>
      <c r="E22" s="8" t="inlineStr">
        <is>
          <t>Partial - GlobalSearch</t>
        </is>
      </c>
      <c r="F22" s="10" t="inlineStr">
        <is>
          <t>#43</t>
        </is>
      </c>
      <c r="G22" s="10" t="inlineStr">
        <is>
          <t>Equal</t>
        </is>
      </c>
      <c r="H22" s="10" t="inlineStr">
        <is>
          <t>Open</t>
        </is>
      </c>
    </row>
    <row r="23">
      <c r="A23" s="10" t="n">
        <v>22</v>
      </c>
      <c r="B23" s="8" t="inlineStr">
        <is>
          <t>UI</t>
        </is>
      </c>
      <c r="C23" s="8" t="inlineStr">
        <is>
          <t>Jalali calendar support</t>
        </is>
      </c>
      <c r="D23" s="10" t="inlineStr">
        <is>
          <t>Titan #179</t>
        </is>
      </c>
      <c r="E23" s="8" t="inlineStr">
        <is>
          <t>Missing</t>
        </is>
      </c>
      <c r="F23" s="10" t="inlineStr">
        <is>
          <t>#206</t>
        </is>
      </c>
      <c r="G23" s="10" t="inlineStr">
        <is>
          <t>Equal</t>
        </is>
      </c>
      <c r="H23" s="10" t="inlineStr">
        <is>
          <t>Open</t>
        </is>
      </c>
    </row>
    <row r="24">
      <c r="A24" s="10" t="n">
        <v>23</v>
      </c>
      <c r="B24" s="8" t="inlineStr">
        <is>
          <t>Reporting</t>
        </is>
      </c>
      <c r="C24" s="8" t="inlineStr">
        <is>
          <t>Server-side export with RBAC</t>
        </is>
      </c>
      <c r="D24" s="10" t="inlineStr">
        <is>
          <t>Titan #54 #62</t>
        </is>
      </c>
      <c r="E24" s="8" t="inlineStr">
        <is>
          <t>Partial - QuestPDF</t>
        </is>
      </c>
      <c r="F24" s="10" t="inlineStr">
        <is>
          <t>#210</t>
        </is>
      </c>
      <c r="G24" s="10" t="inlineStr">
        <is>
          <t>Equal</t>
        </is>
      </c>
      <c r="H24" s="10" t="inlineStr">
        <is>
          <t>Open</t>
        </is>
      </c>
    </row>
    <row r="25">
      <c r="A25" s="10" t="n">
        <v>24</v>
      </c>
      <c r="B25" s="8" t="inlineStr">
        <is>
          <t>Reporting</t>
        </is>
      </c>
      <c r="C25" s="8" t="inlineStr">
        <is>
          <t>Dashboard with formulas, cross-filter, PDF</t>
        </is>
      </c>
      <c r="D25" s="10" t="inlineStr">
        <is>
          <t>Titan #101</t>
        </is>
      </c>
      <c r="E25" s="8" t="inlineStr">
        <is>
          <t>Fixed</t>
        </is>
      </c>
      <c r="F25" s="10" t="inlineStr">
        <is>
          <t>#58</t>
        </is>
      </c>
      <c r="G25" s="10" t="inlineStr">
        <is>
          <t>Equal</t>
        </is>
      </c>
      <c r="H25" s="10" t="inlineStr">
        <is>
          <t>Open</t>
        </is>
      </c>
    </row>
    <row r="26">
      <c r="A26" s="10" t="n">
        <v>25</v>
      </c>
      <c r="B26" s="8" t="inlineStr">
        <is>
          <t>Documents</t>
        </is>
      </c>
      <c r="C26" s="8" t="inlineStr">
        <is>
          <t>EDMS: document, version, transmittal, numbering</t>
        </is>
      </c>
      <c r="D26" s="10" t="inlineStr">
        <is>
          <t>Titan #79 #159 #160</t>
        </is>
      </c>
      <c r="E26" s="8" t="inlineStr">
        <is>
          <t>Stronger</t>
        </is>
      </c>
      <c r="F26" s="10" t="inlineStr">
        <is>
          <t>#244 #91</t>
        </is>
      </c>
      <c r="G26" s="10" t="inlineStr">
        <is>
          <t>Better</t>
        </is>
      </c>
      <c r="H26" s="10" t="inlineStr">
        <is>
          <t>Open</t>
        </is>
      </c>
    </row>
    <row r="27">
      <c r="A27" s="10" t="n">
        <v>26</v>
      </c>
      <c r="B27" s="8" t="inlineStr">
        <is>
          <t>CMMS</t>
        </is>
      </c>
      <c r="C27" s="8" t="inlineStr">
        <is>
          <t>Work orders, PBS, child resources</t>
        </is>
      </c>
      <c r="D27" s="10" t="inlineStr">
        <is>
          <t>Titan #85 #86</t>
        </is>
      </c>
      <c r="E27" s="8" t="inlineStr">
        <is>
          <t>Stronger</t>
        </is>
      </c>
      <c r="F27" s="10" t="inlineStr">
        <is>
          <t>#89</t>
        </is>
      </c>
      <c r="G27" s="10" t="inlineStr">
        <is>
          <t>Better</t>
        </is>
      </c>
      <c r="H27" s="10" t="inlineStr">
        <is>
          <t>Open</t>
        </is>
      </c>
    </row>
    <row r="28">
      <c r="A28" s="10" t="n">
        <v>27</v>
      </c>
      <c r="B28" s="8" t="inlineStr">
        <is>
          <t>Human resources</t>
        </is>
      </c>
      <c r="C28" s="8" t="inlineStr">
        <is>
          <t>Personnel registry</t>
        </is>
      </c>
      <c r="D28" s="10" t="inlineStr">
        <is>
          <t>Titan #90 #91</t>
        </is>
      </c>
      <c r="E28" s="8" t="inlineStr">
        <is>
          <t>Partial</t>
        </is>
      </c>
      <c r="F28" s="10" t="inlineStr">
        <is>
          <t>#231</t>
        </is>
      </c>
      <c r="G28" s="10" t="inlineStr">
        <is>
          <t>Equal</t>
        </is>
      </c>
      <c r="H28" s="10" t="inlineStr">
        <is>
          <t>Open</t>
        </is>
      </c>
    </row>
    <row r="29">
      <c r="A29" s="10" t="n">
        <v>28</v>
      </c>
      <c r="B29" s="8" t="inlineStr">
        <is>
          <t>Brand</t>
        </is>
      </c>
      <c r="C29" s="8" t="inlineStr">
        <is>
          <t>Database-driven Brand app with public read</t>
        </is>
      </c>
      <c r="D29" s="10" t="inlineStr">
        <is>
          <t>Titan #98 #241</t>
        </is>
      </c>
      <c r="E29" s="8" t="inlineStr">
        <is>
          <t>Missing</t>
        </is>
      </c>
      <c r="F29" s="10" t="inlineStr">
        <is>
          <t>#129</t>
        </is>
      </c>
      <c r="G29" s="10" t="inlineStr">
        <is>
          <t>Equal</t>
        </is>
      </c>
      <c r="H29" s="10" t="inlineStr">
        <is>
          <t>Open</t>
        </is>
      </c>
    </row>
    <row r="30">
      <c r="A30" s="10" t="n">
        <v>29</v>
      </c>
      <c r="B30" s="8" t="inlineStr">
        <is>
          <t>Support</t>
        </is>
      </c>
      <c r="C30" s="8" t="inlineStr">
        <is>
          <t>Diagnostics, tickets, error log, audited support session</t>
        </is>
      </c>
      <c r="D30" s="10" t="inlineStr">
        <is>
          <t>Titan #92 #93 #94 #95</t>
        </is>
      </c>
      <c r="E30" s="8" t="inlineStr">
        <is>
          <t>Partial - logs</t>
        </is>
      </c>
      <c r="F30" s="10" t="inlineStr">
        <is>
          <t>#174 #235</t>
        </is>
      </c>
      <c r="G30" s="10" t="inlineStr">
        <is>
          <t>Equal</t>
        </is>
      </c>
      <c r="H30" s="10" t="inlineStr">
        <is>
          <t>Open</t>
        </is>
      </c>
    </row>
    <row r="31">
      <c r="A31" s="10" t="n">
        <v>30</v>
      </c>
      <c r="B31" s="8" t="inlineStr">
        <is>
          <t>Deployment</t>
        </is>
      </c>
      <c r="C31" s="8" t="inlineStr">
        <is>
          <t>One-click installer, installer/updater/migrator split</t>
        </is>
      </c>
      <c r="D31" s="10" t="inlineStr">
        <is>
          <t>Titan #76 #150 #161</t>
        </is>
      </c>
      <c r="E31" s="8" t="inlineStr">
        <is>
          <t>docker-compose only</t>
        </is>
      </c>
      <c r="F31" s="10" t="inlineStr">
        <is>
          <t>#167 #170</t>
        </is>
      </c>
      <c r="G31" s="10" t="inlineStr">
        <is>
          <t>Better</t>
        </is>
      </c>
      <c r="H31" s="10" t="inlineStr">
        <is>
          <t>Open</t>
        </is>
      </c>
    </row>
    <row r="32">
      <c r="A32" s="10" t="n">
        <v>31</v>
      </c>
      <c r="B32" s="8" t="inlineStr">
        <is>
          <t>Usability</t>
        </is>
      </c>
      <c r="C32" s="8" t="inlineStr">
        <is>
          <t>Unified loading primitives</t>
        </is>
      </c>
      <c r="D32" s="10" t="inlineStr">
        <is>
          <t>Titan #121 #122 #123</t>
        </is>
      </c>
      <c r="E32" s="8" t="inlineStr">
        <is>
          <t>Missing</t>
        </is>
      </c>
      <c r="F32" s="10" t="inlineStr">
        <is>
          <t>#31</t>
        </is>
      </c>
      <c r="G32" s="10" t="inlineStr">
        <is>
          <t>Equal</t>
        </is>
      </c>
      <c r="H32" s="10" t="inlineStr">
        <is>
          <t>Open</t>
        </is>
      </c>
    </row>
    <row r="33">
      <c r="A33" s="10" t="n">
        <v>32</v>
      </c>
      <c r="B33" s="8" t="inlineStr">
        <is>
          <t>Collaboration</t>
        </is>
      </c>
      <c r="C33" s="8" t="inlineStr">
        <is>
          <t>Notifications</t>
        </is>
      </c>
      <c r="D33" s="10" t="inlineStr">
        <is>
          <t>Titan #105</t>
        </is>
      </c>
      <c r="E33" s="8" t="inlineStr">
        <is>
          <t>Exists (Notification, SignalR)</t>
        </is>
      </c>
      <c r="F33" s="10" t="inlineStr">
        <is>
          <t>#61</t>
        </is>
      </c>
      <c r="G33" s="10" t="inlineStr">
        <is>
          <t>Equal</t>
        </is>
      </c>
      <c r="H33" s="10" t="inlineStr">
        <is>
          <t>Open</t>
        </is>
      </c>
    </row>
    <row r="34">
      <c r="A34" s="10" t="n">
        <v>33</v>
      </c>
      <c r="B34" s="8" t="inlineStr">
        <is>
          <t>Collaboration</t>
        </is>
      </c>
      <c r="C34" s="8" t="inlineStr">
        <is>
          <t>Record lock and live updates</t>
        </is>
      </c>
      <c r="D34" s="10" t="inlineStr">
        <is>
          <t>Titan #104</t>
        </is>
      </c>
      <c r="E34" s="8" t="inlineStr">
        <is>
          <t>Missing</t>
        </is>
      </c>
      <c r="F34" s="10" t="inlineStr">
        <is>
          <t>#18</t>
        </is>
      </c>
      <c r="G34" s="10" t="inlineStr">
        <is>
          <t>Equal</t>
        </is>
      </c>
      <c r="H34" s="10" t="inlineStr">
        <is>
          <t>Open</t>
        </is>
      </c>
    </row>
    <row r="35">
      <c r="A35" s="10" t="n">
        <v>34</v>
      </c>
      <c r="B35" s="8" t="inlineStr">
        <is>
          <t>Business apps</t>
        </is>
      </c>
      <c r="C35" s="8" t="inlineStr">
        <is>
          <t>Risk (COSO), procurement, sales, CRM</t>
        </is>
      </c>
      <c r="D35" s="10" t="inlineStr">
        <is>
          <t>Titan #106 #107 #224 #225</t>
        </is>
      </c>
      <c r="E35" s="8" t="inlineStr">
        <is>
          <t>Procurement partial</t>
        </is>
      </c>
      <c r="F35" s="10" t="inlineStr">
        <is>
          <t>#233 #162</t>
        </is>
      </c>
      <c r="G35" s="10" t="inlineStr">
        <is>
          <t>Equal</t>
        </is>
      </c>
      <c r="H35" s="10" t="inlineStr">
        <is>
          <t>Open</t>
        </is>
      </c>
    </row>
    <row r="36">
      <c r="A36" s="10" t="n">
        <v>35</v>
      </c>
      <c r="B36" s="8" t="inlineStr">
        <is>
          <t>AI</t>
        </is>
      </c>
      <c r="C36" s="8" t="inlineStr">
        <is>
          <t>Offline assistant</t>
        </is>
      </c>
      <c r="D36" s="10" t="inlineStr">
        <is>
          <t>Titan #211 #212</t>
        </is>
      </c>
      <c r="E36" s="8" t="inlineStr">
        <is>
          <t>Local AI exists</t>
        </is>
      </c>
      <c r="F36" s="10" t="inlineStr">
        <is>
          <t>#216 #248</t>
        </is>
      </c>
      <c r="G36" s="10" t="inlineStr">
        <is>
          <t>Better</t>
        </is>
      </c>
      <c r="H36" s="10" t="inlineStr">
        <is>
          <t>Open</t>
        </is>
      </c>
    </row>
    <row r="37">
      <c r="A37" s="10" t="n">
        <v>36</v>
      </c>
      <c r="B37" s="8" t="inlineStr">
        <is>
          <t>Hosting</t>
        </is>
      </c>
      <c r="C37" s="8" t="inlineStr">
        <is>
          <t>PHP-fronted mode / MySQL</t>
        </is>
      </c>
      <c r="D37" s="10" t="inlineStr">
        <is>
          <t>Titan #147 #148</t>
        </is>
      </c>
      <c r="E37" s="8" t="inlineStr">
        <is>
          <t>N/A - .NET + SQL Server</t>
        </is>
      </c>
      <c r="F37" s="10" t="inlineStr">
        <is>
          <t>-</t>
        </is>
      </c>
      <c r="G37" s="10" t="inlineStr">
        <is>
          <t>N/A by design</t>
        </is>
      </c>
      <c r="H37" s="10" t="inlineStr">
        <is>
          <t>Open</t>
        </is>
      </c>
    </row>
    <row r="40">
      <c r="B40" s="5" t="inlineStr">
        <is>
          <t>Rule: capabilities PEMS must offer, sourced from the reference platform (see the Reference column). When every row is Parity/Better/N/A and the acceptance tests pass, the owner decides whether PEMS replaces it.</t>
        </is>
      </c>
    </row>
  </sheetData>
  <autoFilter ref="A1:H37"/>
  <dataValidations count="1">
    <dataValidation sqref="H2:H37" showDropDown="0" showInputMessage="0" showErrorMessage="0" allowBlank="0" type="list">
      <formula1>"Open,Parity,Better,N/A"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6" customWidth="1" min="1" max="1"/>
    <col width="44" customWidth="1" min="2" max="2"/>
    <col width="24" customWidth="1" min="3" max="3"/>
    <col width="90" customWidth="1" min="4" max="4"/>
    <col width="26" customWidth="1" min="5" max="5"/>
  </cols>
  <sheetData>
    <row r="1">
      <c r="A1" s="4" t="inlineStr">
        <is>
          <t>Project memory - facts and lessons</t>
        </is>
      </c>
    </row>
    <row r="3" ht="34" customHeight="1">
      <c r="A3" s="12" t="inlineStr">
        <is>
          <t>-</t>
        </is>
      </c>
      <c r="B3" s="2" t="inlineStr">
        <is>
          <t>PEMS is a brand-new project. Its task source of truth is this workbook (plan/PEMS_Backlog_Roadmap.xlsx).</t>
        </is>
      </c>
    </row>
    <row r="4" ht="34" customHeight="1">
      <c r="A4" s="12" t="inlineStr">
        <is>
          <t>-</t>
        </is>
      </c>
      <c r="B4" s="2" t="inlineStr">
        <is>
          <t>Repository: PEMS-cmms-edit-empoleeys-master (public GitHub under a personal account - ownership/licence to be clarified, row B_ENTITY). Stack: .NET 10, EF Core 10, SQL Server, Hangfire, QuestPDF, Fido2, Serilog, Ollama.</t>
        </is>
      </c>
    </row>
    <row r="5" ht="34" customHeight="1">
      <c r="A5" s="12" t="inlineStr">
        <is>
          <t>-</t>
        </is>
      </c>
      <c r="B5" s="2" t="inlineStr">
        <is>
          <t>Working language of the product is Persian. The app's default culture is currently en and the calendar is deliberately Gregorian (Program.cs) - rows LOC_DEFAULT and LOC_CAL.</t>
        </is>
      </c>
    </row>
    <row r="6" ht="34" customHeight="1">
      <c r="A6" s="12" t="inlineStr">
        <is>
          <t>-</t>
        </is>
      </c>
      <c r="B6" s="2" t="inlineStr">
        <is>
          <t>Licensing: on-prem, machine + install-time lock; request/licence file process; lifetime or term (a time period); product name is PEMS (decided).</t>
        </is>
      </c>
    </row>
    <row r="7" ht="34" customHeight="1">
      <c r="A7" s="12" t="inlineStr">
        <is>
          <t>-</t>
        </is>
      </c>
      <c r="B7" s="2" t="inlineStr">
        <is>
          <t>Old audit workbooks are kept in '0 - trash'; the previous Persian edition of this workbook is kept there too.</t>
        </is>
      </c>
    </row>
    <row r="8" ht="34" customHeight="1">
      <c r="A8" s="12" t="inlineStr">
        <is>
          <t>-</t>
        </is>
      </c>
      <c r="B8" s="2" t="inlineStr">
        <is>
          <t>Not yet done as of 2026-10-15: build/test run, licensing, installer, builders.</t>
        </is>
      </c>
    </row>
    <row r="10">
      <c r="A10" s="7" t="inlineStr">
        <is>
          <t>#</t>
        </is>
      </c>
      <c r="B10" s="7" t="inlineStr">
        <is>
          <t>Lesson</t>
        </is>
      </c>
      <c r="C10" s="7" t="inlineStr">
        <is>
          <t>Reference</t>
        </is>
      </c>
      <c r="D10" s="7" t="inlineStr">
        <is>
          <t>Explanation</t>
        </is>
      </c>
      <c r="E10" s="7" t="inlineStr">
        <is>
          <t>PEMS rows</t>
        </is>
      </c>
    </row>
    <row r="11">
      <c r="A11" s="10" t="n">
        <v>1</v>
      </c>
      <c r="B11" s="8" t="inlineStr">
        <is>
          <t>Registry-driven, not code-driven</t>
        </is>
      </c>
      <c r="C11" s="10" t="inlineStr">
        <is>
          <t>Titan Overview</t>
        </is>
      </c>
      <c r="D11" s="8" t="inlineStr">
        <is>
          <t>Apps/models/fields/statuses/licences are database rows and one generic CRUD/export/import engine runs them; adding an app means seeding metadata.</t>
        </is>
      </c>
      <c r="E11" s="10" t="inlineStr">
        <is>
          <t>#10 #12</t>
        </is>
      </c>
    </row>
    <row r="12">
      <c r="A12" s="10" t="n">
        <v>2</v>
      </c>
      <c r="B12" s="8" t="inlineStr">
        <is>
          <t>A registry change must not require a rebuild</t>
        </is>
      </c>
      <c r="C12" s="10" t="inlineStr">
        <is>
          <t>Titan #61</t>
        </is>
      </c>
      <c r="D12" s="8" t="inlineStr">
        <is>
          <t>A static export forced a full rebuild and redeploy after each registry change; PEMS is server-rendered but must keep this property.</t>
        </is>
      </c>
      <c r="E12" s="10" t="inlineStr">
        <is>
          <t>#28</t>
        </is>
      </c>
    </row>
    <row r="13">
      <c r="A13" s="10" t="n">
        <v>3</v>
      </c>
      <c r="B13" s="8" t="inlineStr">
        <is>
          <t>Registry cache + ETag + gzip</t>
        </is>
      </c>
      <c r="C13" s="10" t="inlineStr">
        <is>
          <t>Titan #50</t>
        </is>
      </c>
      <c r="D13" s="8" t="inlineStr">
        <is>
          <t>Database slowness was fixed by caching the metadata registry and conditional GET; build it in from the start.</t>
        </is>
      </c>
      <c r="E13" s="10" t="inlineStr">
        <is>
          <t>#28</t>
        </is>
      </c>
    </row>
    <row r="14">
      <c r="A14" s="10" t="n">
        <v>4</v>
      </c>
      <c r="B14" s="8" t="inlineStr">
        <is>
          <t>One contract for server-side paging</t>
        </is>
      </c>
      <c r="C14" s="10" t="inlineStr">
        <is>
          <t>Titan #49 #136</t>
        </is>
      </c>
      <c r="D14" s="8" t="inlineStr">
        <is>
          <t>It stayed incomplete twice; use one query contract and one grid, not patch by patch.</t>
        </is>
      </c>
      <c r="E14" s="10" t="inlineStr">
        <is>
          <t>#12 #32</t>
        </is>
      </c>
    </row>
    <row r="15">
      <c r="A15" s="10" t="n">
        <v>5</v>
      </c>
      <c r="B15" s="8" t="inlineStr">
        <is>
          <t>Changing a field type on live data is the riskiest operation</t>
        </is>
      </c>
      <c r="C15" s="10" t="inlineStr">
        <is>
          <t>Titan #17</t>
        </is>
      </c>
      <c r="D15" s="8" t="inlineStr">
        <is>
          <t>Needs guided ALTER, rollback and a data-risk warning.</t>
        </is>
      </c>
      <c r="E15" s="10" t="inlineStr">
        <is>
          <t>#13</t>
        </is>
      </c>
    </row>
    <row r="16">
      <c r="A16" s="10" t="n">
        <v>6</v>
      </c>
      <c r="B16" s="8" t="inlineStr">
        <is>
          <t>Licence was enforced only in production</t>
        </is>
      </c>
      <c r="C16" s="10" t="inlineStr">
        <is>
          <t>Titan #143 #204</t>
        </is>
      </c>
      <c r="D16" s="8" t="inlineStr">
        <is>
          <t>Staging/local booted without a licence, and a LICENSE_BYPASS flag was left behind.</t>
        </is>
      </c>
      <c r="E16" s="10" t="inlineStr">
        <is>
          <t>#110</t>
        </is>
      </c>
    </row>
    <row r="17">
      <c r="A17" s="10" t="n">
        <v>7</v>
      </c>
      <c r="B17" s="8" t="inlineStr">
        <is>
          <t>The first-run licence flow was fragile</t>
        </is>
      </c>
      <c r="C17" s="10" t="inlineStr">
        <is>
          <t>Titan #142 #144</t>
        </is>
      </c>
      <c r="D17" s="8" t="inlineStr">
        <is>
          <t>The setup token was not created in one case; the rate limiter was tied to the DB and requests hung.</t>
        </is>
      </c>
      <c r="E17" s="10" t="inlineStr">
        <is>
          <t>#109</t>
        </is>
      </c>
    </row>
    <row r="18">
      <c r="A18" s="10" t="n">
        <v>8</v>
      </c>
      <c r="B18" s="8" t="inlineStr">
        <is>
          <t>Offer the fingerprint in the UI, not the terminal</t>
        </is>
      </c>
      <c r="C18" s="10" t="inlineStr">
        <is>
          <t>Titan #141</t>
        </is>
      </c>
      <c r="D18" s="8" t="inlineStr">
        <is>
          <t>Copy/download of the fingerprint from the page; delivery as zip and automatic restart.</t>
        </is>
      </c>
      <c r="E18" s="10" t="inlineStr">
        <is>
          <t>#108 #100</t>
        </is>
      </c>
    </row>
    <row r="19">
      <c r="A19" s="10" t="n">
        <v>9</v>
      </c>
      <c r="B19" s="8" t="inlineStr">
        <is>
          <t>Licence issuing in a separate tool, never in the customer package</t>
        </is>
      </c>
      <c r="C19" s="10" t="inlineStr">
        <is>
          <t>Titan #145</t>
        </is>
      </c>
      <c r="D19" s="8" t="inlineStr">
        <is>
          <t>Two flags (build/run); the superowner tool stays with the vendor.</t>
        </is>
      </c>
      <c r="E19" s="10" t="inlineStr">
        <is>
          <t>#106 #119</t>
        </is>
      </c>
    </row>
    <row r="20">
      <c r="A20" s="10" t="n">
        <v>10</v>
      </c>
      <c r="B20" s="8" t="inlineStr">
        <is>
          <t>Public surfaces must not need a licence</t>
        </is>
      </c>
      <c r="C20" s="10" t="inlineStr">
        <is>
          <t>Titan #163 #168</t>
        </is>
      </c>
      <c r="D20" s="8" t="inlineStr">
        <is>
          <t>An explicit allowlist; app licensing derived from model licences.</t>
        </is>
      </c>
      <c r="E20" s="10" t="inlineStr">
        <is>
          <t>#111</t>
        </is>
      </c>
    </row>
    <row r="21">
      <c r="A21" s="10" t="n">
        <v>11</v>
      </c>
      <c r="B21" s="8" t="inlineStr">
        <is>
          <t>Signing keys are a permanent operational responsibility</t>
        </is>
      </c>
      <c r="C21" s="10" t="inlineStr">
        <is>
          <t>Titan #207</t>
        </is>
      </c>
      <c r="D21" s="8" t="inlineStr">
        <is>
          <t>A key procedure is needed, not just code.</t>
        </is>
      </c>
      <c r="E21" s="10" t="inlineStr">
        <is>
          <t>#107</t>
        </is>
      </c>
    </row>
    <row r="22">
      <c r="A22" s="10" t="n">
        <v>12</v>
      </c>
      <c r="B22" s="8" t="inlineStr">
        <is>
          <t>Package allowlist for releases</t>
        </is>
      </c>
      <c r="C22" s="10" t="inlineStr">
        <is>
          <t>Titan #68 #137</t>
        </is>
      </c>
      <c r="D22" s="8" t="inlineStr">
        <is>
          <t>Secrets and development files remained in the package; allowlist scan.</t>
        </is>
      </c>
      <c r="E22" s="10" t="inlineStr">
        <is>
          <t>#119 #9</t>
        </is>
      </c>
    </row>
    <row r="23">
      <c r="A23" s="10" t="n">
        <v>13</v>
      </c>
      <c r="B23" s="8" t="inlineStr">
        <is>
          <t>Signed offline updates</t>
        </is>
      </c>
      <c r="C23" s="10" t="inlineStr">
        <is>
          <t>Titan #249 #130 #206</t>
        </is>
      </c>
      <c r="D23" s="8" t="inlineStr">
        <is>
          <t>A signed package, an Update page and manual support operations.</t>
        </is>
      </c>
      <c r="E23" s="10" t="inlineStr">
        <is>
          <t>#170 #175</t>
        </is>
      </c>
    </row>
    <row r="24">
      <c r="A24" s="10" t="n">
        <v>14</v>
      </c>
      <c r="B24" s="8" t="inlineStr">
        <is>
          <t>Installer, updater and migrator are three separate jobs</t>
        </is>
      </c>
      <c r="C24" s="10" t="inlineStr">
        <is>
          <t>Titan Instructions 13</t>
        </is>
      </c>
      <c r="D24" s="8" t="inlineStr">
        <is>
          <t>Fresh install strict, update tolerant, the migrator the low-level engine; never edit an applied migration.</t>
        </is>
      </c>
      <c r="E24" s="10" t="inlineStr">
        <is>
          <t>#167 #170</t>
        </is>
      </c>
    </row>
    <row r="25">
      <c r="A25" s="10" t="n">
        <v>15</v>
      </c>
      <c r="B25" s="8" t="inlineStr">
        <is>
          <t>SaaS is in tension with the offline model</t>
        </is>
      </c>
      <c r="C25" s="10" t="inlineStr">
        <is>
          <t>Titan #78</t>
        </is>
      </c>
      <c r="D25" s="8" t="inlineStr">
        <is>
          <t>Multi-tenancy was cancelled; solve the demo with an isolated instance.</t>
        </is>
      </c>
      <c r="E25" s="10" t="inlineStr">
        <is>
          <t>#138</t>
        </is>
      </c>
    </row>
    <row r="26">
      <c r="A26" s="10" t="n">
        <v>16</v>
      </c>
      <c r="B26" s="8" t="inlineStr">
        <is>
          <t>Live brand profile from the database</t>
        </is>
      </c>
      <c r="C26" s="10" t="inlineStr">
        <is>
          <t>Titan #98 #241 #236</t>
        </is>
      </c>
      <c r="D26" s="8" t="inlineStr">
        <is>
          <t>Logo/name/colors on the login page come from the DB; bugs with a broken logo and the wrong profile.</t>
        </is>
      </c>
      <c r="E26" s="10" t="inlineStr">
        <is>
          <t>#129</t>
        </is>
      </c>
    </row>
    <row r="27">
      <c r="A27" s="10" t="n">
        <v>17</v>
      </c>
      <c r="B27" s="8" t="inlineStr">
        <is>
          <t>A mobile view must really work on every screen</t>
        </is>
      </c>
      <c r="C27" s="10" t="inlineStr">
        <is>
          <t>Titan #177</t>
        </is>
      </c>
      <c r="D27" s="8" t="inlineStr">
        <is>
          <t>Responsive alone is not enough; a QA matrix.</t>
        </is>
      </c>
      <c r="E27" s="10" t="inlineStr">
        <is>
          <t>#39 #223</t>
        </is>
      </c>
    </row>
    <row r="28">
      <c r="A28" s="10" t="n">
        <v>18</v>
      </c>
      <c r="B28" s="8" t="inlineStr">
        <is>
          <t>Library-first, even retroactively</t>
        </is>
      </c>
      <c r="C28" s="10" t="inlineStr">
        <is>
          <t>Titan Instructions 2</t>
        </is>
      </c>
      <c r="D28" s="8" t="inlineStr">
        <is>
          <t>Bytecode protection, security middleware, password hashing, TOTP, server-side Excel, migrator, logging, virtualized lists...</t>
        </is>
      </c>
      <c r="E28" s="10" t="inlineStr">
        <is>
          <t>#6 #187</t>
        </is>
      </c>
    </row>
    <row r="29">
      <c r="A29" s="10" t="n">
        <v>19</v>
      </c>
      <c r="B29" s="8" t="inlineStr">
        <is>
          <t>No automated tests is expensive</t>
        </is>
      </c>
      <c r="C29" s="10" t="inlineStr">
        <is>
          <t>Titan #20 #117</t>
        </is>
      </c>
      <c r="D29" s="8" t="inlineStr">
        <is>
          <t>PEMS has 1,403 tests but the dynamic engine needs its own independent suite.</t>
        </is>
      </c>
      <c r="E29" s="10" t="inlineStr">
        <is>
          <t>#203 #1</t>
        </is>
      </c>
    </row>
    <row r="30">
      <c r="A30" s="10" t="n">
        <v>20</v>
      </c>
      <c r="B30" s="8" t="inlineStr">
        <is>
          <t>The owner may commit in another terminal</t>
        </is>
      </c>
      <c r="C30" s="10" t="inlineStr">
        <is>
          <t>Titan Instructions 10</t>
        </is>
      </c>
      <c r="D30" s="8" t="inlineStr">
        <is>
          <t>Re-run git status before commit and stage only specific paths.</t>
        </is>
      </c>
      <c r="E30" s="10" t="inlineStr">
        <is>
          <t>-</t>
        </is>
      </c>
    </row>
    <row r="31">
      <c r="A31" s="10" t="n">
        <v>21</v>
      </c>
      <c r="B31" s="8" t="inlineStr">
        <is>
          <t>Editable permission matrix on unit/user forms</t>
        </is>
      </c>
      <c r="C31" s="10" t="inlineStr">
        <is>
          <t>Titan #3</t>
        </is>
      </c>
      <c r="D31" s="8" t="inlineStr">
        <is>
          <t>A permission UI instead of fixed seeds.</t>
        </is>
      </c>
      <c r="E31" s="10" t="inlineStr">
        <is>
          <t>#60</t>
        </is>
      </c>
    </row>
    <row r="32">
      <c r="A32" s="10" t="n">
        <v>22</v>
      </c>
      <c r="B32" s="8" t="inlineStr">
        <is>
          <t>Jalali + Gregorian calendar as a default view</t>
        </is>
      </c>
      <c r="C32" s="10" t="inlineStr">
        <is>
          <t>Titan #179</t>
        </is>
      </c>
      <c r="D32" s="8" t="inlineStr">
        <is>
          <t>Essential for the Iranian domain.</t>
        </is>
      </c>
      <c r="E32" s="10" t="inlineStr">
        <is>
          <t>#206 #33</t>
        </is>
      </c>
    </row>
    <row r="33">
      <c r="A33" s="10" t="n">
        <v>23</v>
      </c>
      <c r="B33" s="8" t="inlineStr">
        <is>
          <t>Offline-only assistant</t>
        </is>
      </c>
      <c r="C33" s="10" t="inlineStr">
        <is>
          <t>Titan #181 #182</t>
        </is>
      </c>
      <c r="D33" s="8" t="inlineStr">
        <is>
          <t>The hosting decision for an offline LLM was already made.</t>
        </is>
      </c>
      <c r="E33" s="10" t="inlineStr">
        <is>
          <t>#216</t>
        </is>
      </c>
    </row>
    <row r="34">
      <c r="A34" s="10" t="n">
        <v>24</v>
      </c>
      <c r="B34" s="8" t="inlineStr">
        <is>
          <t>Code-first means the app applies the schema itself</t>
        </is>
      </c>
      <c r="C34" s="10" t="inlineStr">
        <is>
          <t>PEMS (2026-10-21)</t>
        </is>
      </c>
      <c r="D34" s="8" t="inlineStr">
        <is>
          <t>PEMS had EF migrations but Program.cs only ran seeders, so every new environment depended on a hand-run SQL script. Now the app tells an install (empty) from an update (pending) and from an unmanaged schema (never touched). Create-database must run before anything that connects (Hangfire installs its schema on configuration), migrations run before seeders, non-model DDL (full-text) is also a migration, and a CI drift gate keeps model and migrations in step. Keep an off-switch for reviewed-script environments.</t>
        </is>
      </c>
      <c r="E34" s="10" t="inlineStr">
        <is>
          <t>#309 #310 #311</t>
        </is>
      </c>
    </row>
    <row r="35">
      <c r="A35" s="10" t="n">
        <v>25</v>
      </c>
      <c r="B35" s="8" t="inlineStr">
        <is>
          <t>Give pipelines a details-free health endpoint for the schema</t>
        </is>
      </c>
      <c r="C35" s="10" t="inlineStr">
        <is>
          <t>PEMS (2026-10-22)</t>
        </is>
      </c>
      <c r="D35" s="8" t="inlineStr">
        <is>
          <t>A deploy that uploads files cannot see whether the first start installed the database. An anonymous /health/database (200 only when UpToDate, state name otherwise) lets the pipeline wait for the install/update and fail the run, without exposing connection strings or versions. Raise the IIS startupTimeLimit because the first run builds the whole schema.</t>
        </is>
      </c>
      <c r="E35" s="10" t="inlineStr">
        <is>
          <t>#310 #312</t>
        </is>
      </c>
    </row>
    <row r="36">
      <c r="A36" s="10" t="n">
        <v>26</v>
      </c>
      <c r="B36" s="8" t="inlineStr">
        <is>
          <t>One settings contract: files for settings, files for secrets, nothing in code</t>
        </is>
      </c>
      <c r="C36" s="10" t="inlineStr">
        <is>
          <t>PEMS (2026-10-23)</t>
        </is>
      </c>
      <c r="D36" s="8" t="inlineStr">
        <is>
          <t>Settings were spread over appsettings.*.json, in-code '?? default' values and a built-in administrator password in a public repository. Keep one key set per environment in committed env files, secrets only in git-ignored files or environment variables, required keys that fail fast, and tests that keep key sets identical and scan the committed files for secrets. A dependency-free reader is needed where the configuration packages cannot be referenced (design-time EF factory).</t>
        </is>
      </c>
      <c r="E36" s="10" t="inlineStr">
        <is>
          <t>#315 #316 #317</t>
        </is>
      </c>
    </row>
    <row r="37">
      <c r="A37" s="10" t="n">
        <v>27</v>
      </c>
      <c r="B37" s="8" t="inlineStr">
        <is>
          <t>Study the whole project before building a library</t>
        </is>
      </c>
      <c r="C37" s="10" t="inlineStr">
        <is>
          <t>PEMS (2026-10-23)</t>
        </is>
      </c>
      <c r="D37" s="8" t="inlineStr">
        <is>
          <t>A source-level audit gave hard numbers (2,587 hand-written inputs vs 202 bound fields, 342 tables, 632 inline styles, 4 offline violations) that sized the waves and exposed a rule breach. Keep the audit script and rerun it per wave; use its counts as a CI ratchet.</t>
        </is>
      </c>
      <c r="E37" s="10" t="inlineStr">
        <is>
          <t>#29 #327</t>
        </is>
      </c>
    </row>
    <row r="38">
      <c r="A38" s="10" t="n">
        <v>28</v>
      </c>
      <c r="B38" s="8" t="inlineStr">
        <is>
          <t>Make the component contract technology-neutral</t>
        </is>
      </c>
      <c r="C38" s="10" t="inlineStr">
        <is>
          <t>PEMS (2026-10-23)</t>
        </is>
      </c>
      <c r="D38" s="8" t="inlineStr">
        <is>
          <t>Dynamic forms need metadata-driven rendering while 300 existing pages need MVC compatibility. Describing fields/columns/views as descriptors keeps the rendering technology (Razor components or View Components) replaceable.</t>
        </is>
      </c>
      <c r="E38" s="10" t="inlineStr">
        <is>
          <t>#319 #321</t>
        </is>
      </c>
    </row>
    <row r="39">
      <c r="A39" s="10" t="n">
        <v>29</v>
      </c>
      <c r="B39" s="8" t="inlineStr">
        <is>
          <t>One owner per field between the plan file and the issue tracker</t>
        </is>
      </c>
      <c r="C39" s="10" t="inlineStr">
        <is>
          <t>PEMS (2026-10-23)</t>
        </is>
      </c>
      <c r="D39" s="8" t="inlineStr">
        <is>
          <t>Two systems drift unless each field has a single owner and a script compares them. Plan ID and issue key link the records; the tracker owns status, the workbook owns scope; changes to the workbook go through pull requests.</t>
        </is>
      </c>
      <c r="E39" s="10" t="inlineStr">
        <is>
          <t>#335 #336</t>
        </is>
      </c>
    </row>
  </sheetData>
  <autoFilter ref="A10:E39"/>
  <mergeCells count="6">
    <mergeCell ref="B8:E8"/>
    <mergeCell ref="B4:E4"/>
    <mergeCell ref="B6:E6"/>
    <mergeCell ref="B7:E7"/>
    <mergeCell ref="B3:E3"/>
    <mergeCell ref="B5:E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46" customWidth="1" min="3" max="3"/>
    <col width="18" customWidth="1" min="4" max="4"/>
    <col width="70" customWidth="1" min="5" max="5"/>
    <col width="12" customWidth="1" min="6" max="6"/>
    <col width="20" customWidth="1" min="7" max="7"/>
    <col width="22" customWidth="1" min="8" max="8"/>
    <col width="36" customWidth="1" min="9" max="9"/>
  </cols>
  <sheetData>
    <row r="1">
      <c r="A1" s="4" t="inlineStr">
        <is>
          <t>Supportability Matrix - what PEMS supports, and up to which limits</t>
        </is>
      </c>
    </row>
    <row r="2" ht="40" customHeight="1">
      <c r="A2" s="2" t="inlineStr">
        <is>
          <t>Created 2026-10-18 by owner instruction. Update it in every finished task (Instructions rule). Builder limits and all supported values come from here. Status: Planned, Decided, Supported, Supported (unverified), TBD (to be measured), Deprecated, Not supported.</t>
        </is>
      </c>
    </row>
    <row r="4">
      <c r="A4" s="7" t="inlineStr">
        <is>
          <t>ID</t>
        </is>
      </c>
      <c r="B4" s="7" t="inlineStr">
        <is>
          <t>Category</t>
        </is>
      </c>
      <c r="C4" s="7" t="inlineStr">
        <is>
          <t>Capability / limit</t>
        </is>
      </c>
      <c r="D4" s="7" t="inlineStr">
        <is>
          <t>Component</t>
        </is>
      </c>
      <c r="E4" s="7" t="inlineStr">
        <is>
          <t>Supported value / limit</t>
        </is>
      </c>
      <c r="F4" s="7" t="inlineStr">
        <is>
          <t>Applies from version</t>
        </is>
      </c>
      <c r="G4" s="7" t="inlineStr">
        <is>
          <t>Status</t>
        </is>
      </c>
      <c r="H4" s="7" t="inlineStr">
        <is>
          <t>Verified by (backlog rows)</t>
        </is>
      </c>
      <c r="I4" s="7" t="inlineStr">
        <is>
          <t>Notes</t>
        </is>
      </c>
    </row>
    <row r="5">
      <c r="A5" s="10" t="inlineStr">
        <is>
          <t>SM-01</t>
        </is>
      </c>
      <c r="B5" s="8" t="inlineStr">
        <is>
          <t>Deployment</t>
        </is>
      </c>
      <c r="C5" s="8" t="inlineStr">
        <is>
          <t>Physical Windows Server</t>
        </is>
      </c>
      <c r="D5" s="8" t="inlineStr">
        <is>
          <t>Core / installer</t>
        </is>
      </c>
      <c r="E5" s="8" t="inlineStr">
        <is>
          <t>Supported platform; exact Windows Server versions to be fixed by the environment validator.</t>
        </is>
      </c>
      <c r="F5" s="10" t="inlineStr">
        <is>
          <t>-</t>
        </is>
      </c>
      <c r="G5" s="10" t="inlineStr">
        <is>
          <t>Planned</t>
        </is>
      </c>
      <c r="H5" s="10" t="inlineStr">
        <is>
          <t>#167 #168 #98</t>
        </is>
      </c>
      <c r="I5" s="8" t="inlineStr"/>
    </row>
    <row r="6">
      <c r="A6" s="10" t="inlineStr">
        <is>
          <t>SM-02</t>
        </is>
      </c>
      <c r="B6" s="8" t="inlineStr">
        <is>
          <t>Deployment</t>
        </is>
      </c>
      <c r="C6" s="8" t="inlineStr">
        <is>
          <t>Virtual machines (VMware, Hyper-V, Proxmox)</t>
        </is>
      </c>
      <c r="D6" s="8" t="inlineStr">
        <is>
          <t>Core</t>
        </is>
      </c>
      <c r="E6" s="8" t="inlineStr">
        <is>
          <t>Allowed. Licence uses a virtual TPM or hypervisor identifier where available plus the restore-detection counter; EULA forbids cloning.</t>
        </is>
      </c>
      <c r="F6" s="10" t="inlineStr">
        <is>
          <t>-</t>
        </is>
      </c>
      <c r="G6" s="10" t="inlineStr">
        <is>
          <t>Decided</t>
        </is>
      </c>
      <c r="H6" s="10" t="inlineStr">
        <is>
          <t>#97 #104 #120</t>
        </is>
      </c>
      <c r="I6" s="8" t="inlineStr">
        <is>
          <t>Decision 2026-10-18.</t>
        </is>
      </c>
    </row>
    <row r="7">
      <c r="A7" s="10" t="inlineStr">
        <is>
          <t>SM-03</t>
        </is>
      </c>
      <c r="B7" s="8" t="inlineStr">
        <is>
          <t>Deployment</t>
        </is>
      </c>
      <c r="C7" s="8" t="inlineStr">
        <is>
          <t>Docker containers</t>
        </is>
      </c>
      <c r="D7" s="8" t="inlineStr">
        <is>
          <t>Core</t>
        </is>
      </c>
      <c r="E7" s="8" t="inlineStr">
        <is>
          <t>Allowed with the same extra protection; production hardening pending.</t>
        </is>
      </c>
      <c r="F7" s="10" t="inlineStr">
        <is>
          <t>-</t>
        </is>
      </c>
      <c r="G7" s="10" t="inlineStr">
        <is>
          <t>Decided</t>
        </is>
      </c>
      <c r="H7" s="10" t="inlineStr">
        <is>
          <t>#172 #104</t>
        </is>
      </c>
      <c r="I7" s="8" t="inlineStr">
        <is>
          <t>Decision 2026-10-18.</t>
        </is>
      </c>
    </row>
    <row r="8">
      <c r="A8" s="10" t="inlineStr">
        <is>
          <t>SM-04</t>
        </is>
      </c>
      <c r="B8" s="8" t="inlineStr">
        <is>
          <t>Deployment</t>
        </is>
      </c>
      <c r="C8" s="8" t="inlineStr">
        <is>
          <t>Offline operation (no internet)</t>
        </is>
      </c>
      <c r="D8" s="8" t="inlineStr">
        <is>
          <t>Core</t>
        </is>
      </c>
      <c r="E8" s="8" t="inlineStr">
        <is>
          <t>Required: no CDN, no outbound calls from the product.</t>
        </is>
      </c>
      <c r="F8" s="10" t="inlineStr">
        <is>
          <t>-</t>
        </is>
      </c>
      <c r="G8" s="10" t="inlineStr">
        <is>
          <t>Planned</t>
        </is>
      </c>
      <c r="H8" s="10" t="inlineStr">
        <is>
          <t>#42</t>
        </is>
      </c>
      <c r="I8" s="8" t="inlineStr"/>
    </row>
    <row r="9">
      <c r="A9" s="10" t="inlineStr">
        <is>
          <t>SM-05</t>
        </is>
      </c>
      <c r="B9" s="8" t="inlineStr">
        <is>
          <t>Database</t>
        </is>
      </c>
      <c r="C9" s="8" t="inlineStr">
        <is>
          <t>SQL Server versions</t>
        </is>
      </c>
      <c r="D9" s="8" t="inlineStr">
        <is>
          <t>Core</t>
        </is>
      </c>
      <c r="E9" s="8" t="inlineStr">
        <is>
          <t>TBD - fixed by the first real build/test run and the environment validator.</t>
        </is>
      </c>
      <c r="F9" s="10" t="inlineStr">
        <is>
          <t>-</t>
        </is>
      </c>
      <c r="G9" s="10" t="inlineStr">
        <is>
          <t>TBD</t>
        </is>
      </c>
      <c r="H9" s="10" t="inlineStr">
        <is>
          <t>#1 #168</t>
        </is>
      </c>
      <c r="I9" s="8" t="inlineStr"/>
    </row>
    <row r="10">
      <c r="A10" s="10" t="inlineStr">
        <is>
          <t>SM-06</t>
        </is>
      </c>
      <c r="B10" s="8" t="inlineStr">
        <is>
          <t>Database</t>
        </is>
      </c>
      <c r="C10" s="8" t="inlineStr">
        <is>
          <t>Upgrade path</t>
        </is>
      </c>
      <c r="D10" s="8" t="inlineStr">
        <is>
          <t>Core</t>
        </is>
      </c>
      <c r="E10" s="8" t="inlineStr">
        <is>
          <t>Upgrade from any supported release; target is N-2.</t>
        </is>
      </c>
      <c r="F10" s="10" t="inlineStr">
        <is>
          <t>-</t>
        </is>
      </c>
      <c r="G10" s="10" t="inlineStr">
        <is>
          <t>Planned</t>
        </is>
      </c>
      <c r="H10" s="10" t="inlineStr">
        <is>
          <t>#262 #274</t>
        </is>
      </c>
      <c r="I10" s="8" t="inlineStr"/>
    </row>
    <row r="11">
      <c r="A11" s="10" t="inlineStr">
        <is>
          <t>SM-07</t>
        </is>
      </c>
      <c r="B11" s="8" t="inlineStr">
        <is>
          <t>Licence</t>
        </is>
      </c>
      <c r="C11" s="8" t="inlineStr">
        <is>
          <t>Licence types</t>
        </is>
      </c>
      <c r="D11" s="8" t="inlineStr">
        <is>
          <t>Core</t>
        </is>
      </c>
      <c r="E11" s="8" t="inlineStr">
        <is>
          <t>Lifetime and term (a time period), plus trial and demo. No count-based licences.</t>
        </is>
      </c>
      <c r="F11" s="10" t="inlineStr">
        <is>
          <t>-</t>
        </is>
      </c>
      <c r="G11" s="10" t="inlineStr">
        <is>
          <t>Decided</t>
        </is>
      </c>
      <c r="H11" s="10" t="inlineStr">
        <is>
          <t>#102</t>
        </is>
      </c>
      <c r="I11" s="8" t="inlineStr">
        <is>
          <t>Decision 2026-10-15.</t>
        </is>
      </c>
    </row>
    <row r="12">
      <c r="A12" s="10" t="inlineStr">
        <is>
          <t>SM-08</t>
        </is>
      </c>
      <c r="B12" s="8" t="inlineStr">
        <is>
          <t>Licence</t>
        </is>
      </c>
      <c r="C12" s="8" t="inlineStr">
        <is>
          <t>User limit</t>
        </is>
      </c>
      <c r="D12" s="8" t="inlineStr">
        <is>
          <t>Core</t>
        </is>
      </c>
      <c r="E12" s="8" t="inlineStr">
        <is>
          <t>No licence limit on users.</t>
        </is>
      </c>
      <c r="F12" s="10" t="inlineStr">
        <is>
          <t>-</t>
        </is>
      </c>
      <c r="G12" s="10" t="inlineStr">
        <is>
          <t>Decided</t>
        </is>
      </c>
      <c r="H12" s="10" t="inlineStr">
        <is>
          <t>-</t>
        </is>
      </c>
      <c r="I12" s="8" t="inlineStr">
        <is>
          <t>Decision 2026-10-18; user metering cancelled.</t>
        </is>
      </c>
    </row>
    <row r="13">
      <c r="A13" s="10" t="inlineStr">
        <is>
          <t>SM-09</t>
        </is>
      </c>
      <c r="B13" s="8" t="inlineStr">
        <is>
          <t>Licence</t>
        </is>
      </c>
      <c r="C13" s="8" t="inlineStr">
        <is>
          <t>Maintenance</t>
        </is>
      </c>
      <c r="D13" s="8" t="inlineStr">
        <is>
          <t>Core</t>
        </is>
      </c>
      <c r="E13" s="8" t="inlineStr">
        <is>
          <t>Perpetual licence plus annual maintenance; maintenance controls which updates can be installed.</t>
        </is>
      </c>
      <c r="F13" s="10" t="inlineStr">
        <is>
          <t>-</t>
        </is>
      </c>
      <c r="G13" s="10" t="inlineStr">
        <is>
          <t>Planned</t>
        </is>
      </c>
      <c r="H13" s="10" t="inlineStr">
        <is>
          <t>#275 #130</t>
        </is>
      </c>
      <c r="I13" s="8" t="inlineStr">
        <is>
          <t>Decision 2026-10-18.</t>
        </is>
      </c>
    </row>
    <row r="14">
      <c r="A14" s="10" t="inlineStr">
        <is>
          <t>SM-10</t>
        </is>
      </c>
      <c r="B14" s="8" t="inlineStr">
        <is>
          <t>Versioning</t>
        </is>
      </c>
      <c r="C14" s="8" t="inlineStr">
        <is>
          <t>Product version</t>
        </is>
      </c>
      <c r="D14" s="8" t="inlineStr">
        <is>
          <t>Core</t>
        </is>
      </c>
      <c r="E14" s="8" t="inlineStr">
        <is>
          <t>The installed product version is the core version.</t>
        </is>
      </c>
      <c r="F14" s="10" t="inlineStr">
        <is>
          <t>-</t>
        </is>
      </c>
      <c r="G14" s="10" t="inlineStr">
        <is>
          <t>Planned</t>
        </is>
      </c>
      <c r="H14" s="10" t="inlineStr">
        <is>
          <t>#269 #282</t>
        </is>
      </c>
      <c r="I14" s="8" t="inlineStr">
        <is>
          <t>Decision 2026-10-18.</t>
        </is>
      </c>
    </row>
    <row r="15">
      <c r="A15" s="10" t="inlineStr">
        <is>
          <t>SM-11</t>
        </is>
      </c>
      <c r="B15" s="8" t="inlineStr">
        <is>
          <t>Versioning</t>
        </is>
      </c>
      <c r="C15" s="8" t="inlineStr">
        <is>
          <t>Module versions</t>
        </is>
      </c>
      <c r="D15" s="8" t="inlineStr">
        <is>
          <t>Module</t>
        </is>
      </c>
      <c r="E15" s="8" t="inlineStr">
        <is>
          <t>Each module has its own version and a declared compatible core range.</t>
        </is>
      </c>
      <c r="F15" s="10" t="inlineStr">
        <is>
          <t>-</t>
        </is>
      </c>
      <c r="G15" s="10" t="inlineStr">
        <is>
          <t>Planned</t>
        </is>
      </c>
      <c r="H15" s="10" t="inlineStr">
        <is>
          <t>#282 #283 #284</t>
        </is>
      </c>
      <c r="I15" s="8" t="inlineStr">
        <is>
          <t>Decision 2026-10-18.</t>
        </is>
      </c>
    </row>
    <row r="16">
      <c r="A16" s="10" t="inlineStr">
        <is>
          <t>SM-12</t>
        </is>
      </c>
      <c r="B16" s="8" t="inlineStr">
        <is>
          <t>Builders</t>
        </is>
      </c>
      <c r="C16" s="8" t="inlineStr">
        <is>
          <t>Custom modules per instance</t>
        </is>
      </c>
      <c r="D16" s="8" t="inlineStr">
        <is>
          <t>Core</t>
        </is>
      </c>
      <c r="E16" s="8" t="inlineStr">
        <is>
          <t>TBD - set from measured limits.</t>
        </is>
      </c>
      <c r="F16" s="10" t="inlineStr">
        <is>
          <t>-</t>
        </is>
      </c>
      <c r="G16" s="10" t="inlineStr">
        <is>
          <t>TBD</t>
        </is>
      </c>
      <c r="H16" s="10" t="inlineStr">
        <is>
          <t>#281 #66</t>
        </is>
      </c>
      <c r="I16" s="8" t="inlineStr"/>
    </row>
    <row r="17">
      <c r="A17" s="10" t="inlineStr">
        <is>
          <t>SM-13</t>
        </is>
      </c>
      <c r="B17" s="8" t="inlineStr">
        <is>
          <t>Builders</t>
        </is>
      </c>
      <c r="C17" s="8" t="inlineStr">
        <is>
          <t>Forms per module</t>
        </is>
      </c>
      <c r="D17" s="8" t="inlineStr">
        <is>
          <t>Core</t>
        </is>
      </c>
      <c r="E17" s="8" t="inlineStr">
        <is>
          <t>TBD - set from measured limits.</t>
        </is>
      </c>
      <c r="F17" s="10" t="inlineStr">
        <is>
          <t>-</t>
        </is>
      </c>
      <c r="G17" s="10" t="inlineStr">
        <is>
          <t>TBD</t>
        </is>
      </c>
      <c r="H17" s="10" t="inlineStr">
        <is>
          <t>#281 #66</t>
        </is>
      </c>
      <c r="I17" s="8" t="inlineStr"/>
    </row>
    <row r="18">
      <c r="A18" s="10" t="inlineStr">
        <is>
          <t>SM-14</t>
        </is>
      </c>
      <c r="B18" s="8" t="inlineStr">
        <is>
          <t>Builders</t>
        </is>
      </c>
      <c r="C18" s="8" t="inlineStr">
        <is>
          <t>Fields per entity</t>
        </is>
      </c>
      <c r="D18" s="8" t="inlineStr">
        <is>
          <t>Core</t>
        </is>
      </c>
      <c r="E18" s="8" t="inlineStr">
        <is>
          <t>TBD - set from measured limits.</t>
        </is>
      </c>
      <c r="F18" s="10" t="inlineStr">
        <is>
          <t>-</t>
        </is>
      </c>
      <c r="G18" s="10" t="inlineStr">
        <is>
          <t>TBD</t>
        </is>
      </c>
      <c r="H18" s="10" t="inlineStr">
        <is>
          <t>#281 #11</t>
        </is>
      </c>
      <c r="I18" s="8" t="inlineStr"/>
    </row>
    <row r="19">
      <c r="A19" s="10" t="inlineStr">
        <is>
          <t>SM-15</t>
        </is>
      </c>
      <c r="B19" s="8" t="inlineStr">
        <is>
          <t>Builders</t>
        </is>
      </c>
      <c r="C19" s="8" t="inlineStr">
        <is>
          <t>Workflows and stages per workflow</t>
        </is>
      </c>
      <c r="D19" s="8" t="inlineStr">
        <is>
          <t>Core</t>
        </is>
      </c>
      <c r="E19" s="8" t="inlineStr">
        <is>
          <t>TBD - set from measured limits.</t>
        </is>
      </c>
      <c r="F19" s="10" t="inlineStr">
        <is>
          <t>-</t>
        </is>
      </c>
      <c r="G19" s="10" t="inlineStr">
        <is>
          <t>TBD</t>
        </is>
      </c>
      <c r="H19" s="10" t="inlineStr">
        <is>
          <t>#281 #67</t>
        </is>
      </c>
      <c r="I19" s="8" t="inlineStr"/>
    </row>
    <row r="20">
      <c r="A20" s="10" t="inlineStr">
        <is>
          <t>SM-16</t>
        </is>
      </c>
      <c r="B20" s="8" t="inlineStr">
        <is>
          <t>Builders</t>
        </is>
      </c>
      <c r="C20" s="8" t="inlineStr">
        <is>
          <t>Child-table rows per form</t>
        </is>
      </c>
      <c r="D20" s="8" t="inlineStr">
        <is>
          <t>Core</t>
        </is>
      </c>
      <c r="E20" s="8" t="inlineStr">
        <is>
          <t>TBD; target 200 rows without slowness.</t>
        </is>
      </c>
      <c r="F20" s="10" t="inlineStr">
        <is>
          <t>-</t>
        </is>
      </c>
      <c r="G20" s="10" t="inlineStr">
        <is>
          <t>TBD</t>
        </is>
      </c>
      <c r="H20" s="10" t="inlineStr">
        <is>
          <t>#281 #48</t>
        </is>
      </c>
      <c r="I20" s="8" t="inlineStr"/>
    </row>
    <row r="21">
      <c r="A21" s="10" t="inlineStr">
        <is>
          <t>SM-17</t>
        </is>
      </c>
      <c r="B21" s="8" t="inlineStr">
        <is>
          <t>Data volume</t>
        </is>
      </c>
      <c r="C21" s="8" t="inlineStr">
        <is>
          <t>Records per entity with filter and sort under 500 ms</t>
        </is>
      </c>
      <c r="D21" s="8" t="inlineStr">
        <is>
          <t>Core</t>
        </is>
      </c>
      <c r="E21" s="8" t="inlineStr">
        <is>
          <t>Target 500,000 records.</t>
        </is>
      </c>
      <c r="F21" s="10" t="inlineStr">
        <is>
          <t>-</t>
        </is>
      </c>
      <c r="G21" s="10" t="inlineStr">
        <is>
          <t>Planned</t>
        </is>
      </c>
      <c r="H21" s="10" t="inlineStr">
        <is>
          <t>#12 #202</t>
        </is>
      </c>
      <c r="I21" s="8" t="inlineStr"/>
    </row>
    <row r="22">
      <c r="A22" s="10" t="inlineStr">
        <is>
          <t>SM-18</t>
        </is>
      </c>
      <c r="B22" s="8" t="inlineStr">
        <is>
          <t>Concurrency</t>
        </is>
      </c>
      <c r="C22" s="8" t="inlineStr">
        <is>
          <t>Concurrent users tested</t>
        </is>
      </c>
      <c r="D22" s="8" t="inlineStr">
        <is>
          <t>Core</t>
        </is>
      </c>
      <c r="E22" s="8" t="inlineStr">
        <is>
          <t>TBD from the performance suite; not limited by the licence.</t>
        </is>
      </c>
      <c r="F22" s="10" t="inlineStr">
        <is>
          <t>-</t>
        </is>
      </c>
      <c r="G22" s="10" t="inlineStr">
        <is>
          <t>TBD</t>
        </is>
      </c>
      <c r="H22" s="10" t="inlineStr">
        <is>
          <t>#202</t>
        </is>
      </c>
      <c r="I22" s="8" t="inlineStr"/>
    </row>
    <row r="23">
      <c r="A23" s="10" t="inlineStr">
        <is>
          <t>SM-19</t>
        </is>
      </c>
      <c r="B23" s="8" t="inlineStr">
        <is>
          <t>Localization</t>
        </is>
      </c>
      <c r="C23" s="8" t="inlineStr">
        <is>
          <t>Persian RTL default, English optional</t>
        </is>
      </c>
      <c r="D23" s="8" t="inlineStr">
        <is>
          <t>Core</t>
        </is>
      </c>
      <c r="E23" s="8" t="inlineStr">
        <is>
          <t>Planned; current default culture is English.</t>
        </is>
      </c>
      <c r="F23" s="10" t="inlineStr">
        <is>
          <t>-</t>
        </is>
      </c>
      <c r="G23" s="10" t="inlineStr">
        <is>
          <t>Planned</t>
        </is>
      </c>
      <c r="H23" s="10" t="inlineStr">
        <is>
          <t>#205</t>
        </is>
      </c>
      <c r="I23" s="8" t="inlineStr"/>
    </row>
    <row r="24">
      <c r="A24" s="10" t="inlineStr">
        <is>
          <t>SM-20</t>
        </is>
      </c>
      <c r="B24" s="8" t="inlineStr">
        <is>
          <t>Localization</t>
        </is>
      </c>
      <c r="C24" s="8" t="inlineStr">
        <is>
          <t>Calendars</t>
        </is>
      </c>
      <c r="D24" s="8" t="inlineStr">
        <is>
          <t>Core</t>
        </is>
      </c>
      <c r="E24" s="8" t="inlineStr">
        <is>
          <t>Jalali and Gregorian; stored as Gregorian/UTC.</t>
        </is>
      </c>
      <c r="F24" s="10" t="inlineStr">
        <is>
          <t>-</t>
        </is>
      </c>
      <c r="G24" s="10" t="inlineStr">
        <is>
          <t>Planned</t>
        </is>
      </c>
      <c r="H24" s="10" t="inlineStr">
        <is>
          <t>#206</t>
        </is>
      </c>
      <c r="I24" s="8" t="inlineStr"/>
    </row>
    <row r="25">
      <c r="A25" s="10" t="inlineStr">
        <is>
          <t>SM-21</t>
        </is>
      </c>
      <c r="B25" s="8" t="inlineStr">
        <is>
          <t>Clients</t>
        </is>
      </c>
      <c r="C25" s="8" t="inlineStr">
        <is>
          <t>Supported browsers</t>
        </is>
      </c>
      <c r="D25" s="8" t="inlineStr">
        <is>
          <t>Core</t>
        </is>
      </c>
      <c r="E25" s="8" t="inlineStr">
        <is>
          <t>TBD - set with the responsive QA matrix.</t>
        </is>
      </c>
      <c r="F25" s="10" t="inlineStr">
        <is>
          <t>-</t>
        </is>
      </c>
      <c r="G25" s="10" t="inlineStr">
        <is>
          <t>TBD</t>
        </is>
      </c>
      <c r="H25" s="10" t="inlineStr">
        <is>
          <t>#39</t>
        </is>
      </c>
      <c r="I25" s="8" t="inlineStr"/>
    </row>
    <row r="26">
      <c r="A26" s="10" t="inlineStr">
        <is>
          <t>SM-22</t>
        </is>
      </c>
      <c r="B26" s="8" t="inlineStr">
        <is>
          <t>Clients</t>
        </is>
      </c>
      <c r="C26" s="8" t="inlineStr">
        <is>
          <t>Offline mobile work execution</t>
        </is>
      </c>
      <c r="D26" s="8" t="inlineStr">
        <is>
          <t>Module</t>
        </is>
      </c>
      <c r="E26" s="8" t="inlineStr">
        <is>
          <t>Planned; not yet supported.</t>
        </is>
      </c>
      <c r="F26" s="10" t="inlineStr">
        <is>
          <t>-</t>
        </is>
      </c>
      <c r="G26" s="10" t="inlineStr">
        <is>
          <t>Planned</t>
        </is>
      </c>
      <c r="H26" s="10" t="inlineStr">
        <is>
          <t>#223</t>
        </is>
      </c>
      <c r="I26" s="8" t="inlineStr"/>
    </row>
    <row r="27">
      <c r="A27" s="10" t="inlineStr">
        <is>
          <t>SM-23</t>
        </is>
      </c>
      <c r="B27" s="8" t="inlineStr">
        <is>
          <t>Security</t>
        </is>
      </c>
      <c r="C27" s="8" t="inlineStr">
        <is>
          <t>Authentication</t>
        </is>
      </c>
      <c r="D27" s="8" t="inlineStr">
        <is>
          <t>Core</t>
        </is>
      </c>
      <c r="E27" s="8" t="inlineStr">
        <is>
          <t>ASP.NET Identity with lockout and WebAuthn/FIDO2 step-up (estimated from code).</t>
        </is>
      </c>
      <c r="F27" s="10" t="inlineStr">
        <is>
          <t>-</t>
        </is>
      </c>
      <c r="G27" s="10" t="inlineStr">
        <is>
          <t>Supported (unverified)</t>
        </is>
      </c>
      <c r="H27" s="10" t="inlineStr">
        <is>
          <t>#240 #241</t>
        </is>
      </c>
      <c r="I27" s="8" t="inlineStr">
        <is>
          <t>Acceptance tests not run.</t>
        </is>
      </c>
    </row>
    <row r="28">
      <c r="A28" s="10" t="inlineStr">
        <is>
          <t>SM-24</t>
        </is>
      </c>
      <c r="B28" s="8" t="inlineStr">
        <is>
          <t>Domain</t>
        </is>
      </c>
      <c r="C28" s="8" t="inlineStr">
        <is>
          <t>Existing modules: EDMS/VDR, CMMS, permit to work, inventory, production</t>
        </is>
      </c>
      <c r="D28" s="8" t="inlineStr">
        <is>
          <t>Modules</t>
        </is>
      </c>
      <c r="E28" s="8" t="inlineStr">
        <is>
          <t>Present as static modules (estimated from code).</t>
        </is>
      </c>
      <c r="F28" s="10" t="inlineStr">
        <is>
          <t>-</t>
        </is>
      </c>
      <c r="G28" s="10" t="inlineStr">
        <is>
          <t>Supported (unverified)</t>
        </is>
      </c>
      <c r="H28" s="10" t="inlineStr">
        <is>
          <t>#250 #244</t>
        </is>
      </c>
      <c r="I28" s="8" t="inlineStr">
        <is>
          <t>Acceptance tests not run.</t>
        </is>
      </c>
    </row>
    <row r="29">
      <c r="A29" s="10" t="inlineStr">
        <is>
          <t>SM-25</t>
        </is>
      </c>
      <c r="B29" s="8" t="inlineStr">
        <is>
          <t>AI</t>
        </is>
      </c>
      <c r="C29" s="8" t="inlineStr">
        <is>
          <t>Local AI (Ollama, OCR, semantic search)</t>
        </is>
      </c>
      <c r="D29" s="8" t="inlineStr">
        <is>
          <t>Module</t>
        </is>
      </c>
      <c r="E29" s="8" t="inlineStr">
        <is>
          <t>Present (estimated from code).</t>
        </is>
      </c>
      <c r="F29" s="10" t="inlineStr">
        <is>
          <t>-</t>
        </is>
      </c>
      <c r="G29" s="10" t="inlineStr">
        <is>
          <t>Supported (unverified)</t>
        </is>
      </c>
      <c r="H29" s="10" t="inlineStr">
        <is>
          <t>#248</t>
        </is>
      </c>
      <c r="I29" s="8" t="inlineStr">
        <is>
          <t>Acceptance tests not run.</t>
        </is>
      </c>
    </row>
    <row r="30">
      <c r="A30" s="10" t="inlineStr">
        <is>
          <t>SM-26</t>
        </is>
      </c>
      <c r="B30" s="8" t="inlineStr">
        <is>
          <t>Deployment</t>
        </is>
      </c>
      <c r="C30" s="8" t="inlineStr">
        <is>
          <t>Database install (first run) and update (later runs)</t>
        </is>
      </c>
      <c r="D30" s="8" t="inlineStr">
        <is>
          <t>Core / startup</t>
        </is>
      </c>
      <c r="E30" s="8" t="inlineStr">
        <is>
          <t>Fully code-first on SQL Server: the database is created if missing, an empty database is installed and an existing one is updated by EF Core migrations at startup or from Admin &gt; Database Update; full-text search is a migration (install the SQL Server Full-Text feature BEFORE the first run). Switch off the automatic run with Database:MigrateOnStartup=false.</t>
        </is>
      </c>
      <c r="F30" s="10" t="inlineStr">
        <is>
          <t>-</t>
        </is>
      </c>
      <c r="G30" s="10" t="inlineStr">
        <is>
          <t>Supported (unverified)</t>
        </is>
      </c>
      <c r="H30" s="10" t="inlineStr">
        <is>
          <t>#309 #310 #167 #262</t>
        </is>
      </c>
      <c r="I30" s="8" t="inlineStr">
        <is>
          <t>Verified on SQL Server LocalDB (install, update, unmanaged schema, full app start). Not yet verified on the demo host or on SQL Server with Full-Text.</t>
        </is>
      </c>
    </row>
    <row r="31">
      <c r="A31" s="10" t="inlineStr">
        <is>
          <t>SM-27</t>
        </is>
      </c>
      <c r="B31" s="8" t="inlineStr">
        <is>
          <t>Deployment</t>
        </is>
      </c>
      <c r="C31" s="8" t="inlineStr">
        <is>
          <t>Schema state inspection</t>
        </is>
      </c>
      <c r="D31" s="8" t="inlineStr">
        <is>
          <t>Core / Admin</t>
        </is>
      </c>
      <c r="E31" s="8" t="inlineStr">
        <is>
          <t>Admin &gt; System Monitoring &gt; Database Update (SystemAdmin) and anonymous GET /health/database (200 only when UpToDate).</t>
        </is>
      </c>
      <c r="F31" s="10" t="inlineStr">
        <is>
          <t>-</t>
        </is>
      </c>
      <c r="G31" s="10" t="inlineStr">
        <is>
          <t>Supported (unverified)</t>
        </is>
      </c>
      <c r="H31" s="10" t="inlineStr">
        <is>
          <t>#310 #312</t>
        </is>
      </c>
      <c r="I31" s="8" t="inlineStr">
        <is>
          <t>Page access control checked (anonymous redirected to login); not yet viewed as admin in a browser.</t>
        </is>
      </c>
    </row>
    <row r="32">
      <c r="A32" s="10" t="inlineStr">
        <is>
          <t>SM-28</t>
        </is>
      </c>
      <c r="B32" s="8" t="inlineStr">
        <is>
          <t>Deployment</t>
        </is>
      </c>
      <c r="C32" s="8" t="inlineStr">
        <is>
          <t>Database restored without migration history</t>
        </is>
      </c>
      <c r="D32" s="8" t="inlineStr">
        <is>
          <t>Core</t>
        </is>
      </c>
      <c r="E32" s="8" t="inlineStr">
        <is>
          <t>Reported as 'Unmanaged schema' and never modified automatically; a baseline tool is planned.</t>
        </is>
      </c>
      <c r="F32" s="10" t="inlineStr">
        <is>
          <t>-</t>
        </is>
      </c>
      <c r="G32" s="10" t="inlineStr">
        <is>
          <t>Planned</t>
        </is>
      </c>
      <c r="H32" s="10" t="inlineStr">
        <is>
          <t>#310 #313</t>
        </is>
      </c>
      <c r="I32" s="8" t="inlineStr">
        <is>
          <t>Detection is tested; adoption is not supported yet.</t>
        </is>
      </c>
    </row>
    <row r="33">
      <c r="A33" s="10" t="inlineStr">
        <is>
          <t>SM-29</t>
        </is>
      </c>
      <c r="B33" s="8" t="inlineStr">
        <is>
          <t>Branding</t>
        </is>
      </c>
      <c r="C33" s="8" t="inlineStr">
        <is>
          <t>Release notes on the login page</t>
        </is>
      </c>
      <c r="D33" s="8" t="inlineStr">
        <is>
          <t>Core / login</t>
        </is>
      </c>
      <c r="E33" s="8" t="inlineStr">
        <is>
          <t>Planned: bilingual, offline release notes of the installed release shown to anonymous visitors.</t>
        </is>
      </c>
      <c r="F33" s="10" t="inlineStr">
        <is>
          <t>-</t>
        </is>
      </c>
      <c r="G33" s="10" t="inlineStr">
        <is>
          <t>Planned</t>
        </is>
      </c>
      <c r="H33" s="10" t="inlineStr">
        <is>
          <t>#314</t>
        </is>
      </c>
      <c r="I33" s="8" t="inlineStr">
        <is>
          <t>Not started.</t>
        </is>
      </c>
    </row>
    <row r="34">
      <c r="A34" s="10" t="inlineStr">
        <is>
          <t>SM-30</t>
        </is>
      </c>
      <c r="B34" s="8" t="inlineStr">
        <is>
          <t>Deployment</t>
        </is>
      </c>
      <c r="C34" s="8" t="inlineStr">
        <is>
          <t>Configuration and secrets</t>
        </is>
      </c>
      <c r="D34" s="8" t="inlineStr">
        <is>
          <t>Core</t>
        </is>
      </c>
      <c r="E34" s="8" t="inlineStr">
        <is>
          <t>Settings in env/&lt;name&gt;.env and secrets in env/&lt;name&gt;.secrets.env for local, docker, demo, uat and production-kangan; PEMS_ENV selects the environment; real environment variables override; required settings fail fast; appsettings.json is empty.</t>
        </is>
      </c>
      <c r="F34" s="10" t="inlineStr">
        <is>
          <t>-</t>
        </is>
      </c>
      <c r="G34" s="10" t="inlineStr">
        <is>
          <t>Supported (unverified)</t>
        </is>
      </c>
      <c r="H34" s="10" t="inlineStr">
        <is>
          <t>#315 #316</t>
        </is>
      </c>
      <c r="I34" s="8" t="inlineStr">
        <is>
          <t>Verified on a developer machine (LocalDB). Demo pipeline, Docker and the Linux VM kit not yet exercised.</t>
        </is>
      </c>
    </row>
    <row r="35">
      <c r="A35" s="10" t="inlineStr">
        <is>
          <t>SM-31</t>
        </is>
      </c>
      <c r="B35" s="8" t="inlineStr">
        <is>
          <t>UI</t>
        </is>
      </c>
      <c r="C35" s="8" t="inlineStr">
        <is>
          <t>Reusable UI components (PEMS.UI)</t>
        </is>
      </c>
      <c r="D35" s="8" t="inlineStr">
        <is>
          <t>PEMS.UI</t>
        </is>
      </c>
      <c r="E35" s="8" t="inlineStr">
        <is>
          <t>Planned: every field, table, badge, skeleton, modal and page template is a component rendered from descriptors; RTL/LTR, offline, tokens only.</t>
        </is>
      </c>
      <c r="F35" s="10" t="inlineStr">
        <is>
          <t>-</t>
        </is>
      </c>
      <c r="G35" s="10" t="inlineStr">
        <is>
          <t>Planned</t>
        </is>
      </c>
      <c r="H35" s="10" t="inlineStr">
        <is>
          <t>#319-#334</t>
        </is>
      </c>
      <c r="I35" s="8" t="inlineStr">
        <is>
          <t>Audit baseline recorded 2026-10-23; no component exists yet.</t>
        </is>
      </c>
    </row>
    <row r="36">
      <c r="A36" s="10" t="inlineStr">
        <is>
          <t>SM-32</t>
        </is>
      </c>
      <c r="B36" s="8" t="inlineStr">
        <is>
          <t>Delivery</t>
        </is>
      </c>
      <c r="C36" s="8" t="inlineStr">
        <is>
          <t>Plan workbook &lt;-&gt; the issue tracker consistency</t>
        </is>
      </c>
      <c r="D36" s="8" t="inlineStr">
        <is>
          <t>tools/plan-sync</t>
        </is>
      </c>
      <c r="E36" s="8" t="inlineStr">
        <is>
          <t>Export of the backlog to tracker CSV and an offline consistency check; push/pull planned.</t>
        </is>
      </c>
      <c r="F36" s="10" t="inlineStr">
        <is>
          <t>-</t>
        </is>
      </c>
      <c r="G36" s="10" t="inlineStr">
        <is>
          <t>Planned</t>
        </is>
      </c>
      <c r="H36" s="10" t="inlineStr">
        <is>
          <t>#335 #336 #337</t>
        </is>
      </c>
      <c r="I36" s="8" t="inlineStr">
        <is>
          <t>Export and check verified on the workbook; the issue tracker side not set up.</t>
        </is>
      </c>
    </row>
    <row r="37">
      <c r="A37" s="10" t="inlineStr">
        <is>
          <t>SM-33</t>
        </is>
      </c>
      <c r="B37" s="8" t="inlineStr">
        <is>
          <t>Delivery</t>
        </is>
      </c>
      <c r="C37" s="8" t="inlineStr">
        <is>
          <t>Schema migrations deployed separately from the data layer</t>
        </is>
      </c>
      <c r="D37" s="8" t="inlineStr">
        <is>
          <t>PEMS.Migrations / PEMS.Persistence</t>
        </is>
      </c>
      <c r="E37" s="8" t="inlineStr">
        <is>
          <t>Migrations, snapshot and design-time factory live in PEMS.Migrations; a data-layer-only change leaves PEMS.Migrations.dll byte-identical (build with DebugType=none), so the difference upload skips it</t>
        </is>
      </c>
      <c r="F37" s="10" t="inlineStr">
        <is>
          <t>-</t>
        </is>
      </c>
      <c r="G37" s="10" t="inlineStr">
        <is>
          <t>Done</t>
        </is>
      </c>
      <c r="H37" s="10" t="inlineStr">
        <is>
          <t>#354 #351</t>
        </is>
      </c>
      <c r="I37" s="8" t="inlineStr">
        <is>
          <t>Add a migration with the --project PEMS.Migrations option. Verified 2026-10-25: Persistence 29 MB -&gt; 6 MB, Migrations 23 MB.</t>
        </is>
      </c>
    </row>
    <row r="38">
      <c r="A38" s="10" t="inlineStr">
        <is>
          <t>SM-34</t>
        </is>
      </c>
      <c r="B38" s="8" t="inlineStr">
        <is>
          <t>Deployment</t>
        </is>
      </c>
      <c r="C38" s="8" t="inlineStr">
        <is>
          <t>Pre-production staging environment</t>
        </is>
      </c>
      <c r="D38" s="8" t="inlineStr">
        <is>
          <t>Core / deploy pipeline</t>
        </is>
      </c>
      <c r="E38" s="8" t="inlineStr">
        <is>
          <t>staging branch -&gt; staging subdomain, own database, env/staging.env, STAGING_* secrets; same reusable pipeline as demo</t>
        </is>
      </c>
      <c r="F38" s="10" t="inlineStr">
        <is>
          <t>-</t>
        </is>
      </c>
      <c r="G38" s="10" t="inlineStr">
        <is>
          <t>Done</t>
        </is>
      </c>
      <c r="H38" s="10" t="inlineStr">
        <is>
          <t>#351</t>
        </is>
      </c>
      <c r="I38" s="8" t="inlineStr">
        <is>
          <t>Verified 2026-10-25 (run 40208748572).</t>
        </is>
      </c>
    </row>
    <row r="39">
      <c r="A39" s="10" t="inlineStr">
        <is>
          <t>SM-35</t>
        </is>
      </c>
      <c r="B39" s="8" t="inlineStr">
        <is>
          <t>Delivery</t>
        </is>
      </c>
      <c r="C39" s="8" t="inlineStr">
        <is>
          <t>Deployments upload only changed files and skip repeated tests</t>
        </is>
      </c>
      <c r="D39" s="8" t="inlineStr">
        <is>
          <t>Deploy pipeline</t>
        </is>
      </c>
      <c r="E39" s="8" t="inlineStr">
        <is>
          <t>FTP difference upload (sync state file); tag gate-pass/&lt;source tree hash&gt; skips build, drift gate and tests for an identical tree; first full upload ~245 MB, later ~34 MB</t>
        </is>
      </c>
      <c r="F39" s="10" t="inlineStr">
        <is>
          <t>-</t>
        </is>
      </c>
      <c r="G39" s="10" t="inlineStr">
        <is>
          <t>Done</t>
        </is>
      </c>
      <c r="H39" s="10" t="inlineStr">
        <is>
          <t>#351 #354</t>
        </is>
      </c>
      <c r="I39" s="8" t="inlineStr">
        <is>
          <t>Package slimmed 285 -&gt; 245 MB.</t>
        </is>
      </c>
    </row>
    <row r="40">
      <c r="A40" s="10" t="inlineStr">
        <is>
          <t>SM-36</t>
        </is>
      </c>
      <c r="B40" s="8" t="inlineStr">
        <is>
          <t>Security</t>
        </is>
      </c>
      <c r="C40" s="8" t="inlineStr">
        <is>
          <t>No built-in credentials in source, container or tool files</t>
        </is>
      </c>
      <c r="D40" s="8" t="inlineStr">
        <is>
          <t>Core / compose / tools</t>
        </is>
      </c>
      <c r="E40" s="8" t="inlineStr">
        <is>
          <t>No default or hard-coded password: the first administrator comes only from Seed__Admin__Password; users created from an employee get a random one-time password; docker-compose publishes ports on 127.0.0.1 only and requires SQL_SA_PASSWORD</t>
        </is>
      </c>
      <c r="F40" s="10" t="inlineStr">
        <is>
          <t>-</t>
        </is>
      </c>
      <c r="G40" s="10" t="inlineStr">
        <is>
          <t>Supported (unverified)</t>
        </is>
      </c>
      <c r="H40" s="10" t="inlineStr">
        <is>
          <t>#9 #317</t>
        </is>
      </c>
      <c r="I40" s="8" t="inlineStr">
        <is>
          <t>Implemented 2026-10-26 (SCRUM-17); status becomes Done when the build and EnvironmentFilesTests and TemporaryPasswordGeneratorTests have run green. Environments created before 2026-10-23 need rotation (#317); the old values stay in git history (#374, on hold).</t>
        </is>
      </c>
    </row>
    <row r="41">
      <c r="A41" s="10" t="inlineStr">
        <is>
          <t>SM-37</t>
        </is>
      </c>
      <c r="B41" s="8" t="inlineStr">
        <is>
          <t>Security</t>
        </is>
      </c>
      <c r="C41" s="8" t="inlineStr">
        <is>
          <t>Production password policy</t>
        </is>
      </c>
      <c r="D41" s="8" t="inlineStr">
        <is>
          <t>Core / env files</t>
        </is>
      </c>
      <c r="E41" s="8" t="inlineStr">
        <is>
          <t>Production installations: minimum length 12, digit required, no upper-case/symbol rule, lockout 5 attempts / 10 minutes; other environments keep length 8</t>
        </is>
      </c>
      <c r="F41" s="10" t="inlineStr">
        <is>
          <t>-</t>
        </is>
      </c>
      <c r="G41" s="10" t="inlineStr">
        <is>
          <t>Supported (unverified)</t>
        </is>
      </c>
      <c r="H41" s="10" t="inlineStr">
        <is>
          <t>#318 #9</t>
        </is>
      </c>
      <c r="I41" s="8" t="inlineStr">
        <is>
          <t>Decision 2026-10-26 (NIST SP 800-63B, OWASP ASVS V2). HSTS age, cookie sliding expiry and the migration command timeout are settings. Unverified until EnvironmentFilesTests have run.</t>
        </is>
      </c>
    </row>
    <row r="42">
      <c r="A42" s="10" t="inlineStr">
        <is>
          <t>SM-38</t>
        </is>
      </c>
      <c r="B42" s="8" t="inlineStr">
        <is>
          <t>Security</t>
        </is>
      </c>
      <c r="C42" s="8" t="inlineStr">
        <is>
          <t>Administrator account: last-admin guard and second-admin reset</t>
        </is>
      </c>
      <c r="D42" s="8" t="inlineStr">
        <is>
          <t>Core / Identity (UsersController, AdminAccountService)</t>
        </is>
      </c>
      <c r="E42" s="8" t="inlineStr">
        <is>
          <t>The last active SystemAdmin cannot be deactivated or removed from the role (checked on the server). Another administrator can reset an administrator account: random temporary password shown once and valid for 24 hours, forced password change, lockout cleared, passkeys and authenticator key removed, all sessions revoked. Resetting your own account is refused.</t>
        </is>
      </c>
      <c r="F42" s="10" t="inlineStr">
        <is>
          <t>-</t>
        </is>
      </c>
      <c r="G42" s="10" t="inlineStr">
        <is>
          <t>Done</t>
        </is>
      </c>
      <c r="H42" s="10" t="inlineStr">
        <is>
          <t>SCRUM-354</t>
        </is>
      </c>
      <c r="I42" s="8" t="inlineStr">
        <is>
          <t>MFA is only flagged (MfaEnrollmentRequired) until login MFA exists (SCRUM-188 / SCRUM-206). The user edit form can still change an admin password directly (audited as AdminConsole).</t>
        </is>
      </c>
    </row>
    <row r="43">
      <c r="A43" s="10" t="inlineStr">
        <is>
          <t>SM-39</t>
        </is>
      </c>
      <c r="B43" s="8" t="inlineStr">
        <is>
          <t>Security</t>
        </is>
      </c>
      <c r="C43" s="8" t="inlineStr">
        <is>
          <t>Security events for administrator recovery</t>
        </is>
      </c>
      <c r="D43" s="8" t="inlineStr">
        <is>
          <t>Core / Identity (RecoveryEventService, SecurityEvents)</t>
        </is>
      </c>
      <c r="E43" s="8" t="inlineStr">
        <is>
          <t>Every administrator recovery attempt (success or failure) is stored in an append-only table with actor, target, method, IP and UTC time, notifies all active administrators and revokes the target sessions. Read-only list at Admin &gt; Security Events. Failure reasons are fixed codes, never free text.</t>
        </is>
      </c>
      <c r="F43" s="10" t="inlineStr">
        <is>
          <t>-</t>
        </is>
      </c>
      <c r="G43" s="10" t="inlineStr">
        <is>
          <t>Done</t>
        </is>
      </c>
      <c r="H43" s="10" t="inlineStr">
        <is>
          <t>SCRUM-357</t>
        </is>
      </c>
      <c r="I43" s="8" t="inlineStr">
        <is>
          <t>Forwarding to a SIEM is SCRUM-212 (the table has a ForwardedToSiemAt marker). All three recovery paths (SCRUM-354, SCRUM-355, SCRUM-356) use it.</t>
        </is>
      </c>
    </row>
    <row r="44">
      <c r="A44" s="10" t="inlineStr">
        <is>
          <t>SM-40</t>
        </is>
      </c>
      <c r="B44" s="8" t="inlineStr">
        <is>
          <t>Security</t>
        </is>
      </c>
      <c r="C44" s="8" t="inlineStr">
        <is>
          <t>Recovery codes and server-side break-glass for administrators</t>
        </is>
      </c>
      <c r="D44" s="8" t="inlineStr">
        <is>
          <t>Core / Identity (AdminRecoveryCodeService, BreakGlassService, AccountRecovery, RecoveryCodes, BreakGlass)</t>
        </is>
      </c>
      <c r="E44" s="8" t="inlineStr">
        <is>
          <t>Recovery codes: 10 one-time codes (80-bit, PBKDF2 hash + salt only), shown once with copy/print/download, regenerated from the user menu (current password required; old codes revoked). /AccountRecovery: user name + code + new password; wrong codes count toward Identity lockout; 5 POSTs per IP per 15 min (Security:Recovery:RateLimit). Break-glass: file pems-recovery.request in Security:BreakGlass:RequestFolder opens /break-glass for 15 minutes, only from localhost or Security:BreakGlass:ManagementNetworks (also checked against X-Forwarded-For/Forwarded), otherwise 404; single use (file deleted). Vendor-signed token (ECDSA P-256, max 24 h, machine fingerprint) off by default.</t>
        </is>
      </c>
      <c r="F44" s="10" t="inlineStr">
        <is>
          <t>-</t>
        </is>
      </c>
      <c r="G44" s="10" t="inlineStr">
        <is>
          <t>Done</t>
        </is>
      </c>
      <c r="H44" s="10" t="inlineStr">
        <is>
          <t>SCRUM-355 SCRUM-356</t>
        </is>
      </c>
      <c r="I44" s="8" t="inlineStr">
        <is>
          <t>The first-run wizard (SCRUM-188) will call the same code service. MFA re-enrolment is a flag until login MFA exists (SCRUM-188/206). The machine fingerprint for vendor tokens comes from settings until the licence engine provides it. Behind a reverse proxy the per-IP limit counts the proxy address.</t>
        </is>
      </c>
    </row>
    <row r="45">
      <c r="A45" s="10" t="inlineStr">
        <is>
          <t>SM-41</t>
        </is>
      </c>
      <c r="B45" s="8" t="inlineStr">
        <is>
          <t>UI</t>
        </is>
      </c>
      <c r="C45" s="8" t="inlineStr">
        <is>
          <t>Searchable multi-select field</t>
        </is>
      </c>
      <c r="D45" s="8" t="inlineStr">
        <is>
          <t>Web UI (pems-multiselect.js, vendored Tom Select 2.6.2)</t>
        </is>
      </c>
      <c r="E45" s="8" t="inlineStr">
        <is>
          <t>Any &lt;select multiple data-pems-multiselect&gt; becomes a searchable multi-select with removable chips and option groups; offline (wwwroot/lib/tom-select, Apache-2.0); RTL/LTR and the PEMS themes; works without JavaScript as a native multi-select. First used for user roles in Admin &gt; Users.</t>
        </is>
      </c>
      <c r="F45" s="10" t="inlineStr">
        <is>
          <t>-</t>
        </is>
      </c>
      <c r="G45" s="10" t="inlineStr">
        <is>
          <t>Done</t>
        </is>
      </c>
      <c r="H45" s="10" t="inlineStr">
        <is>
          <t>SCRUM-407</t>
        </is>
      </c>
      <c r="I45" s="8" t="inlineStr">
        <is>
          <t>Client-side search over the options in the page; large or server-side lists (paging, RLS) are SCRUM-57. The full component API comes with SCRUM-352.</t>
        </is>
      </c>
    </row>
    <row r="46">
      <c r="A46" s="10" t="inlineStr">
        <is>
          <t>SM-42</t>
        </is>
      </c>
      <c r="B46" s="8" t="inlineStr">
        <is>
          <t>Deployment</t>
        </is>
      </c>
      <c r="C46" s="8" t="inlineStr">
        <is>
          <t>Database upgrade from every supported release, pre-update backup and rollback</t>
        </is>
      </c>
      <c r="D46" s="8" t="inlineStr">
        <is>
          <t>Core / Persistence (DatabaseUpdateService), deploy/db, Migration Chain Gate workflow</t>
        </is>
      </c>
      <c r="E46" s="8" t="inlineStr">
        <is>
          <t>A database of every release listed in deploy/db/supported-releases.json (now 2026-10-22 and 2026-10-25) upgrades to the current build; CI proves it with representative data in every table it can fill and compares the result with a fresh install (schema) and the row counts. Migrations shipped in a supported release are frozen by checksum. With Database__BackupBeforeUpdate=true (production, uat) every update first writes a COPY_ONLY backup (default backup folder or Database__BackupDirectory) and is not started if that fails; restoring that backup is the documented rollback.</t>
        </is>
      </c>
      <c r="F46" s="10" t="inlineStr">
        <is>
          <t>-</t>
        </is>
      </c>
      <c r="G46" s="10" t="inlineStr">
        <is>
          <t>Done</t>
        </is>
      </c>
      <c r="H46" s="10" t="inlineStr">
        <is>
          <t>SCRUM-280</t>
        </is>
      </c>
      <c r="I46" s="8" t="inlineStr">
        <is>
          <t>No automatic deletion of old backups. Shared hosting without BACKUP permission keeps the setting off and relies on the host backup. The data check uses one generic row per table, not a customer copy; tables refused by check constraints are reported, not filled. Releases must be added to the manifest when they ship (no version numbering yet, F_CI).</t>
        </is>
      </c>
    </row>
    <row r="47">
      <c r="A47" s="10" t="inlineStr">
        <is>
          <t>SM-43</t>
        </is>
      </c>
      <c r="B47" s="8" t="inlineStr">
        <is>
          <t>Workflow</t>
        </is>
      </c>
      <c r="C47" s="8" t="inlineStr">
        <is>
          <t>Editable module workflows guarded by module contracts</t>
        </is>
      </c>
      <c r="D47" s="8" t="inlineStr">
        <is>
          <t>Workflow platform (WorkflowVersionValidator, PemsWorkflowContracts, WorkflowBindingBackfillSeeder), Admin &gt; Workflow Management</t>
        </is>
      </c>
      <c r="E47" s="8" t="inlineStr">
        <is>
          <t>All 13 module workflows (engineering document, VDR, contract, MOC, TQ, permit, NCR, IRN, maintenance strategy, part catalogue, work order lifecycle and review, work request) have an explicit binding and are editable: participants, SLA, approval strategy, conditions, labels, extra stages and transitions. Each module contract (actions the code runs, stages it reads by name, dynamic-participant hand-overs, BusinessStatus) is enforced on Validate/Publish. Running instances keep their version; the binding is moved explicitly.</t>
        </is>
      </c>
      <c r="F47" s="10" t="inlineStr">
        <is>
          <t>-</t>
        </is>
      </c>
      <c r="G47" s="10" t="inlineStr">
        <is>
          <t>Done</t>
        </is>
      </c>
      <c r="H47" s="10" t="inlineStr">
        <is>
          <t>SCRUM-103</t>
        </is>
      </c>
      <c r="I47" s="8" t="inlineStr">
        <is>
          <t>Stage names in a contract cannot be renamed (labels can). Running instances are not migrated to a new version (SCRUM-90). Document, MOC and TQ status still come from stage names; switching them to BusinessStatus would free those names.</t>
        </is>
      </c>
    </row>
    <row r="48">
      <c r="A48" s="10" t="inlineStr">
        <is>
          <t>SM-44</t>
        </is>
      </c>
      <c r="B48" s="8" t="inlineStr">
        <is>
          <t>UI</t>
        </is>
      </c>
      <c r="C48" s="8" t="inlineStr">
        <is>
          <t>List page component (frame, toolbar, filters, KPIs on demand, chips, grid)</t>
        </is>
      </c>
      <c r="D48" s="8" t="inlineStr">
        <is>
          <t>PEMS.UI (pems-list-* tag helpers, pems-list.css/js)</t>
        </is>
      </c>
      <c r="E48" s="8" t="inlineStr">
        <is>
          <t>One component for record list pages: full-window table with sticky header and bottom pager, one icon toolbar (search over the title with the shared autocomplete, filters dropdown with count badge, KPI row on demand remembered per browser, Excel, reset columns, New), removable filter chips, empty state with clear-all. Each page keeps its own columns, filters, actions and permissions. In use: Engineering Documents, VDR (wave 0).</t>
        </is>
      </c>
      <c r="F48" s="10" t="inlineStr">
        <is>
          <t>-</t>
        </is>
      </c>
      <c r="G48" s="10" t="inlineStr">
        <is>
          <t>Partial</t>
        </is>
      </c>
      <c r="H48" s="10" t="inlineStr">
        <is>
          <t>SCRUM-337</t>
        </is>
      </c>
      <c r="I48" s="8" t="inlineStr">
        <is>
          <t>Waves W1-W4 (document control, CMMS, warehouse/procurement, admin) still to move. Saved views, column picker, pinning and virtualization are SCRUM-54.</t>
        </is>
      </c>
    </row>
  </sheetData>
  <autoFilter ref="A4:I36"/>
  <mergeCells count="1">
    <mergeCell ref="A2:I2"/>
  </mergeCells>
  <dataValidations count="1">
    <dataValidation sqref="G5:G229" showDropDown="0" showInputMessage="0" showErrorMessage="0" allowBlank="0" type="list">
      <formula1>"Planned,Decided,Supported,Supported (unverified),TBD,Deprecated,Not supported"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1"/>
  <sheetViews>
    <sheetView showGridLines="0" workbookViewId="0">
      <pane ySplit="1" topLeftCell="A2" activePane="bottomLeft" state="frozen"/>
      <selection pane="bottomLeft" activeCell="A1" sqref="A1"/>
    </sheetView>
  </sheetViews>
  <sheetFormatPr baseColWidth="8" defaultRowHeight="15"/>
  <cols>
    <col width="11" customWidth="1" min="1" max="1"/>
    <col width="10" customWidth="1" min="2" max="2"/>
    <col width="60" customWidth="1" min="3" max="3"/>
    <col width="11" customWidth="1" min="4" max="4"/>
    <col width="12" customWidth="1" min="5" max="5"/>
    <col width="18" customWidth="1" min="6" max="6"/>
    <col width="22" customWidth="1" min="7" max="7"/>
    <col width="22" customWidth="1" min="8" max="8"/>
  </cols>
  <sheetData>
    <row r="1">
      <c r="A1" s="7" t="inlineStr">
        <is>
          <t>Old row</t>
        </is>
      </c>
      <c r="B1" s="7" t="inlineStr">
        <is>
          <t>Old epic</t>
        </is>
      </c>
      <c r="C1" s="7" t="inlineStr">
        <is>
          <t>Old title</t>
        </is>
      </c>
      <c r="D1" s="7" t="inlineStr">
        <is>
          <t>Old priority</t>
        </is>
      </c>
      <c r="E1" s="7" t="inlineStr">
        <is>
          <t>Old status</t>
        </is>
      </c>
      <c r="F1" s="7" t="inlineStr">
        <is>
          <t>Outcome</t>
        </is>
      </c>
      <c r="G1" s="7" t="inlineStr">
        <is>
          <t>New rows</t>
        </is>
      </c>
      <c r="H1" s="7" t="inlineStr">
        <is>
          <t>Note</t>
        </is>
      </c>
    </row>
    <row r="2">
      <c r="A2" s="10" t="inlineStr">
        <is>
          <t>OLD-1</t>
        </is>
      </c>
      <c r="B2" s="10" t="inlineStr">
        <is>
          <t>E0</t>
        </is>
      </c>
      <c r="C2" s="8" t="inlineStr">
        <is>
          <t>Run official build and test baseline</t>
        </is>
      </c>
      <c r="D2" s="10" t="inlineStr">
        <is>
          <t>P0</t>
        </is>
      </c>
      <c r="E2" s="10" t="inlineStr">
        <is>
          <t>Not Started</t>
        </is>
      </c>
      <c r="F2" s="10" t="inlineStr">
        <is>
          <t>Rewritten</t>
        </is>
      </c>
      <c r="G2" s="10" t="inlineStr">
        <is>
          <t>#1</t>
        </is>
      </c>
      <c r="H2" s="8" t="inlineStr"/>
    </row>
    <row r="3">
      <c r="A3" s="10" t="inlineStr">
        <is>
          <t>OLD-2</t>
        </is>
      </c>
      <c r="B3" s="10" t="inlineStr">
        <is>
          <t>E0</t>
        </is>
      </c>
      <c r="C3" s="8" t="inlineStr">
        <is>
          <t>Create architecture decision log</t>
        </is>
      </c>
      <c r="D3" s="10" t="inlineStr">
        <is>
          <t>P0</t>
        </is>
      </c>
      <c r="E3" s="10" t="inlineStr">
        <is>
          <t>Not Started</t>
        </is>
      </c>
      <c r="F3" s="10" t="inlineStr">
        <is>
          <t>Rewritten</t>
        </is>
      </c>
      <c r="G3" s="10" t="inlineStr">
        <is>
          <t>#2</t>
        </is>
      </c>
      <c r="H3" s="8" t="inlineStr"/>
    </row>
    <row r="4">
      <c r="A4" s="10" t="inlineStr">
        <is>
          <t>OLD-3</t>
        </is>
      </c>
      <c r="B4" s="10" t="inlineStr">
        <is>
          <t>E1</t>
        </is>
      </c>
      <c r="C4" s="8" t="inlineStr">
        <is>
          <t>Define platform operating model</t>
        </is>
      </c>
      <c r="D4" s="10" t="inlineStr">
        <is>
          <t>P0</t>
        </is>
      </c>
      <c r="E4" s="10" t="inlineStr">
        <is>
          <t>Not Started</t>
        </is>
      </c>
      <c r="F4" s="10" t="inlineStr">
        <is>
          <t>Rewritten</t>
        </is>
      </c>
      <c r="G4" s="10" t="inlineStr">
        <is>
          <t>#3</t>
        </is>
      </c>
      <c r="H4" s="8" t="inlineStr"/>
    </row>
    <row r="5">
      <c r="A5" s="10" t="inlineStr">
        <is>
          <t>OLD-4</t>
        </is>
      </c>
      <c r="B5" s="10" t="inlineStr">
        <is>
          <t>E1</t>
        </is>
      </c>
      <c r="C5" s="8" t="inlineStr">
        <is>
          <t>Build app/module registry</t>
        </is>
      </c>
      <c r="D5" s="10" t="inlineStr">
        <is>
          <t>P0</t>
        </is>
      </c>
      <c r="E5" s="10" t="inlineStr">
        <is>
          <t>Not Started</t>
        </is>
      </c>
      <c r="F5" s="10" t="inlineStr">
        <is>
          <t>Merged</t>
        </is>
      </c>
      <c r="G5" s="10" t="inlineStr">
        <is>
          <t>#10</t>
        </is>
      </c>
      <c r="H5" s="8" t="inlineStr"/>
    </row>
    <row r="6">
      <c r="A6" s="10" t="inlineStr">
        <is>
          <t>OLD-5</t>
        </is>
      </c>
      <c r="B6" s="10" t="inlineStr">
        <is>
          <t>E1</t>
        </is>
      </c>
      <c r="C6" s="8" t="inlineStr">
        <is>
          <t>Build entity registry</t>
        </is>
      </c>
      <c r="D6" s="10" t="inlineStr">
        <is>
          <t>P0</t>
        </is>
      </c>
      <c r="E6" s="10" t="inlineStr">
        <is>
          <t>Not Started</t>
        </is>
      </c>
      <c r="F6" s="10" t="inlineStr">
        <is>
          <t>Merged</t>
        </is>
      </c>
      <c r="G6" s="10" t="inlineStr">
        <is>
          <t>#10</t>
        </is>
      </c>
      <c r="H6" s="8" t="inlineStr"/>
    </row>
    <row r="7">
      <c r="A7" s="10" t="inlineStr">
        <is>
          <t>OLD-6</t>
        </is>
      </c>
      <c r="B7" s="10" t="inlineStr">
        <is>
          <t>E1</t>
        </is>
      </c>
      <c r="C7" s="8" t="inlineStr">
        <is>
          <t>Add metadata versioning</t>
        </is>
      </c>
      <c r="D7" s="10" t="inlineStr">
        <is>
          <t>P0</t>
        </is>
      </c>
      <c r="E7" s="10" t="inlineStr">
        <is>
          <t>Not Started</t>
        </is>
      </c>
      <c r="F7" s="10" t="inlineStr">
        <is>
          <t>Split</t>
        </is>
      </c>
      <c r="G7" s="10" t="inlineStr">
        <is>
          <t>#10 #69</t>
        </is>
      </c>
      <c r="H7" s="8" t="inlineStr"/>
    </row>
    <row r="8">
      <c r="A8" s="10" t="inlineStr">
        <is>
          <t>OLD-7</t>
        </is>
      </c>
      <c r="B8" s="10" t="inlineStr">
        <is>
          <t>E1</t>
        </is>
      </c>
      <c r="C8" s="8" t="inlineStr">
        <is>
          <t>Generate menus from metadata</t>
        </is>
      </c>
      <c r="D8" s="10" t="inlineStr">
        <is>
          <t>P1</t>
        </is>
      </c>
      <c r="E8" s="10" t="inlineStr">
        <is>
          <t>Not Started</t>
        </is>
      </c>
      <c r="F8" s="10" t="inlineStr">
        <is>
          <t>Rewritten</t>
        </is>
      </c>
      <c r="G8" s="10" t="inlineStr">
        <is>
          <t>#20</t>
        </is>
      </c>
      <c r="H8" s="8" t="inlineStr"/>
    </row>
    <row r="9">
      <c r="A9" s="10" t="inlineStr">
        <is>
          <t>OLD-8</t>
        </is>
      </c>
      <c r="B9" s="10" t="inlineStr">
        <is>
          <t>E2</t>
        </is>
      </c>
      <c r="C9" s="8" t="inlineStr">
        <is>
          <t>Build form designer</t>
        </is>
      </c>
      <c r="D9" s="10" t="inlineStr">
        <is>
          <t>P0</t>
        </is>
      </c>
      <c r="E9" s="10" t="inlineStr">
        <is>
          <t>Not Started</t>
        </is>
      </c>
      <c r="F9" s="10" t="inlineStr">
        <is>
          <t>Rewritten</t>
        </is>
      </c>
      <c r="G9" s="10" t="inlineStr">
        <is>
          <t>#44</t>
        </is>
      </c>
      <c r="H9" s="8" t="inlineStr"/>
    </row>
    <row r="10">
      <c r="A10" s="10" t="inlineStr">
        <is>
          <t>OLD-9</t>
        </is>
      </c>
      <c r="B10" s="10" t="inlineStr">
        <is>
          <t>E2</t>
        </is>
      </c>
      <c r="C10" s="8" t="inlineStr">
        <is>
          <t>Build form runtime</t>
        </is>
      </c>
      <c r="D10" s="10" t="inlineStr">
        <is>
          <t>P0</t>
        </is>
      </c>
      <c r="E10" s="10" t="inlineStr">
        <is>
          <t>Not Started</t>
        </is>
      </c>
      <c r="F10" s="10" t="inlineStr">
        <is>
          <t>Rewritten</t>
        </is>
      </c>
      <c r="G10" s="10" t="inlineStr">
        <is>
          <t>#45</t>
        </is>
      </c>
      <c r="H10" s="8" t="inlineStr"/>
    </row>
    <row r="11">
      <c r="A11" s="10" t="inlineStr">
        <is>
          <t>OLD-10</t>
        </is>
      </c>
      <c r="B11" s="10" t="inlineStr">
        <is>
          <t>E2</t>
        </is>
      </c>
      <c r="C11" s="8" t="inlineStr">
        <is>
          <t>Add validation rule builder</t>
        </is>
      </c>
      <c r="D11" s="10" t="inlineStr">
        <is>
          <t>P0</t>
        </is>
      </c>
      <c r="E11" s="10" t="inlineStr">
        <is>
          <t>Not Started</t>
        </is>
      </c>
      <c r="F11" s="10" t="inlineStr">
        <is>
          <t>Rewritten</t>
        </is>
      </c>
      <c r="G11" s="10" t="inlineStr">
        <is>
          <t>#46</t>
        </is>
      </c>
      <c r="H11" s="8" t="inlineStr"/>
    </row>
    <row r="12">
      <c r="A12" s="10" t="inlineStr">
        <is>
          <t>OLD-11</t>
        </is>
      </c>
      <c r="B12" s="10" t="inlineStr">
        <is>
          <t>E2</t>
        </is>
      </c>
      <c r="C12" s="8" t="inlineStr">
        <is>
          <t>Add conditional visibility/editability</t>
        </is>
      </c>
      <c r="D12" s="10" t="inlineStr">
        <is>
          <t>P0</t>
        </is>
      </c>
      <c r="E12" s="10" t="inlineStr">
        <is>
          <t>Not Started</t>
        </is>
      </c>
      <c r="F12" s="10" t="inlineStr">
        <is>
          <t>Rewritten</t>
        </is>
      </c>
      <c r="G12" s="10" t="inlineStr">
        <is>
          <t>#47</t>
        </is>
      </c>
      <c r="H12" s="8" t="inlineStr"/>
    </row>
    <row r="13">
      <c r="A13" s="10" t="inlineStr">
        <is>
          <t>OLD-12</t>
        </is>
      </c>
      <c r="B13" s="10" t="inlineStr">
        <is>
          <t>E2</t>
        </is>
      </c>
      <c r="C13" s="8" t="inlineStr">
        <is>
          <t>Add field-level security</t>
        </is>
      </c>
      <c r="D13" s="10" t="inlineStr">
        <is>
          <t>P1</t>
        </is>
      </c>
      <c r="E13" s="10" t="inlineStr">
        <is>
          <t>Not Started</t>
        </is>
      </c>
      <c r="F13" s="10" t="inlineStr">
        <is>
          <t>Split</t>
        </is>
      </c>
      <c r="G13" s="10" t="inlineStr">
        <is>
          <t>#50 #181</t>
        </is>
      </c>
      <c r="H13" s="8" t="inlineStr"/>
    </row>
    <row r="14">
      <c r="A14" s="10" t="inlineStr">
        <is>
          <t>OLD-13</t>
        </is>
      </c>
      <c r="B14" s="10" t="inlineStr">
        <is>
          <t>E2</t>
        </is>
      </c>
      <c r="C14" s="8" t="inlineStr">
        <is>
          <t>Add form migration assistant</t>
        </is>
      </c>
      <c r="D14" s="10" t="inlineStr">
        <is>
          <t>P1</t>
        </is>
      </c>
      <c r="E14" s="10" t="inlineStr">
        <is>
          <t>Not Started</t>
        </is>
      </c>
      <c r="F14" s="10" t="inlineStr">
        <is>
          <t>Rewritten</t>
        </is>
      </c>
      <c r="G14" s="10" t="inlineStr">
        <is>
          <t>#49</t>
        </is>
      </c>
      <c r="H14" s="8" t="inlineStr"/>
    </row>
    <row r="15">
      <c r="A15" s="10" t="inlineStr">
        <is>
          <t>OLD-14</t>
        </is>
      </c>
      <c r="B15" s="10" t="inlineStr">
        <is>
          <t>E3</t>
        </is>
      </c>
      <c r="C15" s="8" t="inlineStr">
        <is>
          <t>Build workflow studio</t>
        </is>
      </c>
      <c r="D15" s="10" t="inlineStr">
        <is>
          <t>P0</t>
        </is>
      </c>
      <c r="E15" s="10" t="inlineStr">
        <is>
          <t>Not Started</t>
        </is>
      </c>
      <c r="F15" s="10" t="inlineStr">
        <is>
          <t>Rewritten</t>
        </is>
      </c>
      <c r="G15" s="10" t="inlineStr">
        <is>
          <t>#67</t>
        </is>
      </c>
      <c r="H15" s="8" t="inlineStr"/>
    </row>
    <row r="16">
      <c r="A16" s="10" t="inlineStr">
        <is>
          <t>OLD-15</t>
        </is>
      </c>
      <c r="B16" s="10" t="inlineStr">
        <is>
          <t>E3</t>
        </is>
      </c>
      <c r="C16" s="8" t="inlineStr">
        <is>
          <t>Activate SLA/timer/escalation fields</t>
        </is>
      </c>
      <c r="D16" s="10" t="inlineStr">
        <is>
          <t>P0</t>
        </is>
      </c>
      <c r="E16" s="10" t="inlineStr">
        <is>
          <t>Not Started</t>
        </is>
      </c>
      <c r="F16" s="10" t="inlineStr">
        <is>
          <t>Rewritten</t>
        </is>
      </c>
      <c r="G16" s="10" t="inlineStr">
        <is>
          <t>#68</t>
        </is>
      </c>
      <c r="H16" s="8" t="inlineStr"/>
    </row>
    <row r="17">
      <c r="A17" s="10" t="inlineStr">
        <is>
          <t>OLD-16</t>
        </is>
      </c>
      <c r="B17" s="10" t="inlineStr">
        <is>
          <t>E3</t>
        </is>
      </c>
      <c r="C17" s="8" t="inlineStr">
        <is>
          <t>Add workflow version governance</t>
        </is>
      </c>
      <c r="D17" s="10" t="inlineStr">
        <is>
          <t>P0</t>
        </is>
      </c>
      <c r="E17" s="10" t="inlineStr">
        <is>
          <t>Not Started</t>
        </is>
      </c>
      <c r="F17" s="10" t="inlineStr">
        <is>
          <t>Merged</t>
        </is>
      </c>
      <c r="G17" s="10" t="inlineStr">
        <is>
          <t>#69</t>
        </is>
      </c>
      <c r="H17" s="8" t="inlineStr"/>
    </row>
    <row r="18">
      <c r="A18" s="10" t="inlineStr">
        <is>
          <t>OLD-17</t>
        </is>
      </c>
      <c r="B18" s="10" t="inlineStr">
        <is>
          <t>E3</t>
        </is>
      </c>
      <c r="C18" s="8" t="inlineStr">
        <is>
          <t>Generalize SoD as workflow guards</t>
        </is>
      </c>
      <c r="D18" s="10" t="inlineStr">
        <is>
          <t>P0</t>
        </is>
      </c>
      <c r="E18" s="10" t="inlineStr">
        <is>
          <t>Not Started</t>
        </is>
      </c>
      <c r="F18" s="10" t="inlineStr">
        <is>
          <t>Rewritten</t>
        </is>
      </c>
      <c r="G18" s="10" t="inlineStr">
        <is>
          <t>#76</t>
        </is>
      </c>
      <c r="H18" s="8" t="inlineStr"/>
    </row>
    <row r="19">
      <c r="A19" s="10" t="inlineStr">
        <is>
          <t>OLD-18</t>
        </is>
      </c>
      <c r="B19" s="10" t="inlineStr">
        <is>
          <t>E3</t>
        </is>
      </c>
      <c r="C19" s="8" t="inlineStr">
        <is>
          <t>Add workflow simulation</t>
        </is>
      </c>
      <c r="D19" s="10" t="inlineStr">
        <is>
          <t>P1</t>
        </is>
      </c>
      <c r="E19" s="10" t="inlineStr">
        <is>
          <t>Not Started</t>
        </is>
      </c>
      <c r="F19" s="10" t="inlineStr">
        <is>
          <t>Rewritten</t>
        </is>
      </c>
      <c r="G19" s="10" t="inlineStr">
        <is>
          <t>#77</t>
        </is>
      </c>
      <c r="H19" s="8" t="inlineStr"/>
    </row>
    <row r="20">
      <c r="A20" s="10" t="inlineStr">
        <is>
          <t>OLD-19</t>
        </is>
      </c>
      <c r="B20" s="10" t="inlineStr">
        <is>
          <t>E4</t>
        </is>
      </c>
      <c r="C20" s="8" t="inlineStr">
        <is>
          <t>Mandate AccessControlService for sensitive paths</t>
        </is>
      </c>
      <c r="D20" s="10" t="inlineStr">
        <is>
          <t>P0</t>
        </is>
      </c>
      <c r="E20" s="10" t="inlineStr">
        <is>
          <t>Not Started</t>
        </is>
      </c>
      <c r="F20" s="10" t="inlineStr">
        <is>
          <t>Merged</t>
        </is>
      </c>
      <c r="G20" s="10" t="inlineStr">
        <is>
          <t>#178</t>
        </is>
      </c>
      <c r="H20" s="8" t="inlineStr"/>
    </row>
    <row r="21">
      <c r="A21" s="10" t="inlineStr">
        <is>
          <t>OLD-20</t>
        </is>
      </c>
      <c r="B21" s="10" t="inlineStr">
        <is>
          <t>E4</t>
        </is>
      </c>
      <c r="C21" s="8" t="inlineStr">
        <is>
          <t>Apply RLS to lists/search/reports/exports</t>
        </is>
      </c>
      <c r="D21" s="10" t="inlineStr">
        <is>
          <t>P0</t>
        </is>
      </c>
      <c r="E21" s="10" t="inlineStr">
        <is>
          <t>Not Started</t>
        </is>
      </c>
      <c r="F21" s="10" t="inlineStr">
        <is>
          <t>Split</t>
        </is>
      </c>
      <c r="G21" s="10" t="inlineStr">
        <is>
          <t>#12 #178</t>
        </is>
      </c>
      <c r="H21" s="8" t="inlineStr"/>
    </row>
    <row r="22">
      <c r="A22" s="10" t="inlineStr">
        <is>
          <t>OLD-21</t>
        </is>
      </c>
      <c r="B22" s="10" t="inlineStr">
        <is>
          <t>E4</t>
        </is>
      </c>
      <c r="C22" s="8" t="inlineStr">
        <is>
          <t>Build relevance rule designer</t>
        </is>
      </c>
      <c r="D22" s="10" t="inlineStr">
        <is>
          <t>P1</t>
        </is>
      </c>
      <c r="E22" s="10" t="inlineStr">
        <is>
          <t>Not Started</t>
        </is>
      </c>
      <c r="F22" s="10" t="inlineStr">
        <is>
          <t>Rewritten</t>
        </is>
      </c>
      <c r="G22" s="10" t="inlineStr">
        <is>
          <t>#180</t>
        </is>
      </c>
      <c r="H22" s="8" t="inlineStr"/>
    </row>
    <row r="23">
      <c r="A23" s="10" t="inlineStr">
        <is>
          <t>OLD-22</t>
        </is>
      </c>
      <c r="B23" s="10" t="inlineStr">
        <is>
          <t>E4</t>
        </is>
      </c>
      <c r="C23" s="8" t="inlineStr">
        <is>
          <t>Complete search-provider security contract</t>
        </is>
      </c>
      <c r="D23" s="10" t="inlineStr">
        <is>
          <t>P0</t>
        </is>
      </c>
      <c r="E23" s="10" t="inlineStr">
        <is>
          <t>Not Started</t>
        </is>
      </c>
      <c r="F23" s="10" t="inlineStr">
        <is>
          <t>Rewritten</t>
        </is>
      </c>
      <c r="G23" s="10" t="inlineStr">
        <is>
          <t>#43</t>
        </is>
      </c>
      <c r="H23" s="8" t="inlineStr"/>
    </row>
    <row r="24">
      <c r="A24" s="10" t="inlineStr">
        <is>
          <t>OLD-23</t>
        </is>
      </c>
      <c r="B24" s="10" t="inlineStr">
        <is>
          <t>E4</t>
        </is>
      </c>
      <c r="C24" s="8" t="inlineStr">
        <is>
          <t>Build server-side session registry</t>
        </is>
      </c>
      <c r="D24" s="10" t="inlineStr">
        <is>
          <t>P0</t>
        </is>
      </c>
      <c r="E24" s="10" t="inlineStr">
        <is>
          <t>Not Started</t>
        </is>
      </c>
      <c r="F24" s="10" t="inlineStr">
        <is>
          <t>Merged</t>
        </is>
      </c>
      <c r="G24" s="10" t="inlineStr">
        <is>
          <t>#182</t>
        </is>
      </c>
      <c r="H24" s="8" t="inlineStr"/>
    </row>
    <row r="25">
      <c r="A25" s="10" t="inlineStr">
        <is>
          <t>OLD-24</t>
        </is>
      </c>
      <c r="B25" s="10" t="inlineStr">
        <is>
          <t>E4</t>
        </is>
      </c>
      <c r="C25" s="8" t="inlineStr">
        <is>
          <t>Add session and device management UI</t>
        </is>
      </c>
      <c r="D25" s="10" t="inlineStr">
        <is>
          <t>P0</t>
        </is>
      </c>
      <c r="E25" s="10" t="inlineStr">
        <is>
          <t>Not Started</t>
        </is>
      </c>
      <c r="F25" s="10" t="inlineStr">
        <is>
          <t>Merged</t>
        </is>
      </c>
      <c r="G25" s="10" t="inlineStr">
        <is>
          <t>#182</t>
        </is>
      </c>
      <c r="H25" s="8" t="inlineStr"/>
    </row>
    <row r="26">
      <c r="A26" s="10" t="inlineStr">
        <is>
          <t>OLD-25</t>
        </is>
      </c>
      <c r="B26" s="10" t="inlineStr">
        <is>
          <t>E4</t>
        </is>
      </c>
      <c r="C26" s="8" t="inlineStr">
        <is>
          <t>Add session policy and audit</t>
        </is>
      </c>
      <c r="D26" s="10" t="inlineStr">
        <is>
          <t>P0</t>
        </is>
      </c>
      <c r="E26" s="10" t="inlineStr">
        <is>
          <t>Not Started</t>
        </is>
      </c>
      <c r="F26" s="10" t="inlineStr">
        <is>
          <t>Merged</t>
        </is>
      </c>
      <c r="G26" s="10" t="inlineStr">
        <is>
          <t>#182</t>
        </is>
      </c>
      <c r="H26" s="8" t="inlineStr"/>
    </row>
    <row r="27">
      <c r="A27" s="10" t="inlineStr">
        <is>
          <t>OLD-26</t>
        </is>
      </c>
      <c r="B27" s="10" t="inlineStr">
        <is>
          <t>E5</t>
        </is>
      </c>
      <c r="C27" s="8" t="inlineStr">
        <is>
          <t>Create AFTA applicability matrix</t>
        </is>
      </c>
      <c r="D27" s="10" t="inlineStr">
        <is>
          <t>P0</t>
        </is>
      </c>
      <c r="E27" s="10" t="inlineStr">
        <is>
          <t>Not Started</t>
        </is>
      </c>
      <c r="F27" s="10" t="inlineStr">
        <is>
          <t>Merged</t>
        </is>
      </c>
      <c r="G27" s="10" t="inlineStr">
        <is>
          <t>#184</t>
        </is>
      </c>
      <c r="H27" s="8" t="inlineStr"/>
    </row>
    <row r="28">
      <c r="A28" s="10" t="inlineStr">
        <is>
          <t>OLD-27</t>
        </is>
      </c>
      <c r="B28" s="10" t="inlineStr">
        <is>
          <t>E5</t>
        </is>
      </c>
      <c r="C28" s="8" t="inlineStr">
        <is>
          <t>Prepare security target/control document</t>
        </is>
      </c>
      <c r="D28" s="10" t="inlineStr">
        <is>
          <t>P0</t>
        </is>
      </c>
      <c r="E28" s="10" t="inlineStr">
        <is>
          <t>Not Started</t>
        </is>
      </c>
      <c r="F28" s="10" t="inlineStr">
        <is>
          <t>Merged</t>
        </is>
      </c>
      <c r="G28" s="10" t="inlineStr">
        <is>
          <t>#184</t>
        </is>
      </c>
      <c r="H28" s="8" t="inlineStr"/>
    </row>
    <row r="29">
      <c r="A29" s="10" t="inlineStr">
        <is>
          <t>OLD-28</t>
        </is>
      </c>
      <c r="B29" s="10" t="inlineStr">
        <is>
          <t>E5</t>
        </is>
      </c>
      <c r="C29" s="8" t="inlineStr">
        <is>
          <t>Create threat model</t>
        </is>
      </c>
      <c r="D29" s="10" t="inlineStr">
        <is>
          <t>P0</t>
        </is>
      </c>
      <c r="E29" s="10" t="inlineStr">
        <is>
          <t>Not Started</t>
        </is>
      </c>
      <c r="F29" s="10" t="inlineStr">
        <is>
          <t>Merged</t>
        </is>
      </c>
      <c r="G29" s="10" t="inlineStr">
        <is>
          <t>#184</t>
        </is>
      </c>
      <c r="H29" s="8" t="inlineStr"/>
    </row>
    <row r="30">
      <c r="A30" s="10" t="inlineStr">
        <is>
          <t>OLD-29</t>
        </is>
      </c>
      <c r="B30" s="10" t="inlineStr">
        <is>
          <t>E5</t>
        </is>
      </c>
      <c r="C30" s="8" t="inlineStr">
        <is>
          <t>Add secure SDLC gates</t>
        </is>
      </c>
      <c r="D30" s="10" t="inlineStr">
        <is>
          <t>P1</t>
        </is>
      </c>
      <c r="E30" s="10" t="inlineStr">
        <is>
          <t>Not Started</t>
        </is>
      </c>
      <c r="F30" s="10" t="inlineStr">
        <is>
          <t>Merged</t>
        </is>
      </c>
      <c r="G30" s="10" t="inlineStr">
        <is>
          <t>#185</t>
        </is>
      </c>
      <c r="H30" s="8" t="inlineStr"/>
    </row>
    <row r="31">
      <c r="A31" s="10" t="inlineStr">
        <is>
          <t>OLD-30</t>
        </is>
      </c>
      <c r="B31" s="10" t="inlineStr">
        <is>
          <t>E5</t>
        </is>
      </c>
      <c r="C31" s="8" t="inlineStr">
        <is>
          <t>Add audit retention and legal hold</t>
        </is>
      </c>
      <c r="D31" s="10" t="inlineStr">
        <is>
          <t>P1</t>
        </is>
      </c>
      <c r="E31" s="10" t="inlineStr">
        <is>
          <t>Not Started</t>
        </is>
      </c>
      <c r="F31" s="10" t="inlineStr">
        <is>
          <t>Merged</t>
        </is>
      </c>
      <c r="G31" s="10" t="inlineStr">
        <is>
          <t>#186</t>
        </is>
      </c>
      <c r="H31" s="8" t="inlineStr"/>
    </row>
    <row r="32">
      <c r="A32" s="10" t="inlineStr">
        <is>
          <t>OLD-31</t>
        </is>
      </c>
      <c r="B32" s="10" t="inlineStr">
        <is>
          <t>E5</t>
        </is>
      </c>
      <c r="C32" s="8" t="inlineStr">
        <is>
          <t>Harden file/upload pipeline</t>
        </is>
      </c>
      <c r="D32" s="10" t="inlineStr">
        <is>
          <t>P0</t>
        </is>
      </c>
      <c r="E32" s="10" t="inlineStr">
        <is>
          <t>Partial</t>
        </is>
      </c>
      <c r="F32" s="10" t="inlineStr">
        <is>
          <t>Split</t>
        </is>
      </c>
      <c r="G32" s="10" t="inlineStr">
        <is>
          <t>#146 #183</t>
        </is>
      </c>
      <c r="H32" s="8" t="inlineStr"/>
    </row>
    <row r="33">
      <c r="A33" s="10" t="inlineStr">
        <is>
          <t>OLD-32</t>
        </is>
      </c>
      <c r="B33" s="10" t="inlineStr">
        <is>
          <t>E6</t>
        </is>
      </c>
      <c r="C33" s="8" t="inlineStr">
        <is>
          <t>Build relation registry</t>
        </is>
      </c>
      <c r="D33" s="10" t="inlineStr">
        <is>
          <t>P0</t>
        </is>
      </c>
      <c r="E33" s="10" t="inlineStr">
        <is>
          <t>Not Started</t>
        </is>
      </c>
      <c r="F33" s="10" t="inlineStr">
        <is>
          <t>Merged</t>
        </is>
      </c>
      <c r="G33" s="10" t="inlineStr">
        <is>
          <t>#22</t>
        </is>
      </c>
      <c r="H33" s="8" t="inlineStr"/>
    </row>
    <row r="34">
      <c r="A34" s="10" t="inlineStr">
        <is>
          <t>OLD-33</t>
        </is>
      </c>
      <c r="B34" s="10" t="inlineStr">
        <is>
          <t>E6</t>
        </is>
      </c>
      <c r="C34" s="8" t="inlineStr">
        <is>
          <t>Build event bus</t>
        </is>
      </c>
      <c r="D34" s="10" t="inlineStr">
        <is>
          <t>P0</t>
        </is>
      </c>
      <c r="E34" s="10" t="inlineStr">
        <is>
          <t>Not Started</t>
        </is>
      </c>
      <c r="F34" s="10" t="inlineStr">
        <is>
          <t>Rewritten</t>
        </is>
      </c>
      <c r="G34" s="10" t="inlineStr">
        <is>
          <t>#194</t>
        </is>
      </c>
      <c r="H34" s="8" t="inlineStr"/>
    </row>
    <row r="35">
      <c r="A35" s="10" t="inlineStr">
        <is>
          <t>OLD-34</t>
        </is>
      </c>
      <c r="B35" s="10" t="inlineStr">
        <is>
          <t>E6</t>
        </is>
      </c>
      <c r="C35" s="8" t="inlineStr">
        <is>
          <t>Build module dependency graph</t>
        </is>
      </c>
      <c r="D35" s="10" t="inlineStr">
        <is>
          <t>P0</t>
        </is>
      </c>
      <c r="E35" s="10" t="inlineStr">
        <is>
          <t>Not Started</t>
        </is>
      </c>
      <c r="F35" s="10" t="inlineStr">
        <is>
          <t>Merged</t>
        </is>
      </c>
      <c r="G35" s="10" t="inlineStr">
        <is>
          <t>#62</t>
        </is>
      </c>
      <c r="H35" s="8" t="inlineStr"/>
    </row>
    <row r="36">
      <c r="A36" s="10" t="inlineStr">
        <is>
          <t>OLD-35</t>
        </is>
      </c>
      <c r="B36" s="10" t="inlineStr">
        <is>
          <t>E6</t>
        </is>
      </c>
      <c r="C36" s="8" t="inlineStr">
        <is>
          <t>Create integration/disintegration wizard</t>
        </is>
      </c>
      <c r="D36" s="10" t="inlineStr">
        <is>
          <t>P1</t>
        </is>
      </c>
      <c r="E36" s="10" t="inlineStr">
        <is>
          <t>Not Started</t>
        </is>
      </c>
      <c r="F36" s="10" t="inlineStr">
        <is>
          <t>Split</t>
        </is>
      </c>
      <c r="G36" s="10" t="inlineStr">
        <is>
          <t>#62 #197</t>
        </is>
      </c>
      <c r="H36" s="8" t="inlineStr"/>
    </row>
    <row r="37">
      <c r="A37" s="10" t="inlineStr">
        <is>
          <t>OLD-36</t>
        </is>
      </c>
      <c r="B37" s="10" t="inlineStr">
        <is>
          <t>E6</t>
        </is>
      </c>
      <c r="C37" s="8" t="inlineStr">
        <is>
          <t>Generalize relationship explorer</t>
        </is>
      </c>
      <c r="D37" s="10" t="inlineStr">
        <is>
          <t>P1</t>
        </is>
      </c>
      <c r="E37" s="10" t="inlineStr">
        <is>
          <t>Not Started</t>
        </is>
      </c>
      <c r="F37" s="10" t="inlineStr">
        <is>
          <t>Merged</t>
        </is>
      </c>
      <c r="G37" s="10" t="inlineStr">
        <is>
          <t>#22</t>
        </is>
      </c>
      <c r="H37" s="8" t="inlineStr"/>
    </row>
    <row r="38">
      <c r="A38" s="10" t="inlineStr">
        <is>
          <t>OLD-37</t>
        </is>
      </c>
      <c r="B38" s="10" t="inlineStr">
        <is>
          <t>E7</t>
        </is>
      </c>
      <c r="C38" s="8" t="inlineStr">
        <is>
          <t>Create edition and module matrix</t>
        </is>
      </c>
      <c r="D38" s="10" t="inlineStr">
        <is>
          <t>P0</t>
        </is>
      </c>
      <c r="E38" s="10" t="inlineStr">
        <is>
          <t>Not Started</t>
        </is>
      </c>
      <c r="F38" s="10" t="inlineStr">
        <is>
          <t>Rewritten</t>
        </is>
      </c>
      <c r="G38" s="10" t="inlineStr">
        <is>
          <t>#112</t>
        </is>
      </c>
      <c r="H38" s="8" t="inlineStr"/>
    </row>
    <row r="39">
      <c r="A39" s="10" t="inlineStr">
        <is>
          <t>OLD-38</t>
        </is>
      </c>
      <c r="B39" s="10" t="inlineStr">
        <is>
          <t>E7</t>
        </is>
      </c>
      <c r="C39" s="8" t="inlineStr">
        <is>
          <t>Build offline license engine</t>
        </is>
      </c>
      <c r="D39" s="10" t="inlineStr">
        <is>
          <t>P0</t>
        </is>
      </c>
      <c r="E39" s="10" t="inlineStr">
        <is>
          <t>Not Started</t>
        </is>
      </c>
      <c r="F39" s="10" t="inlineStr">
        <is>
          <t>Split</t>
        </is>
      </c>
      <c r="G39" s="10" t="inlineStr">
        <is>
          <t>#96 #101 #106 #113</t>
        </is>
      </c>
      <c r="H39" s="8" t="inlineStr"/>
    </row>
    <row r="40">
      <c r="A40" s="10" t="inlineStr">
        <is>
          <t>OLD-39</t>
        </is>
      </c>
      <c r="B40" s="10" t="inlineStr">
        <is>
          <t>E7</t>
        </is>
      </c>
      <c r="C40" s="8" t="inlineStr">
        <is>
          <t>Add license admin UI</t>
        </is>
      </c>
      <c r="D40" s="10" t="inlineStr">
        <is>
          <t>P1</t>
        </is>
      </c>
      <c r="E40" s="10" t="inlineStr">
        <is>
          <t>Not Started</t>
        </is>
      </c>
      <c r="F40" s="10" t="inlineStr">
        <is>
          <t>Rewritten</t>
        </is>
      </c>
      <c r="G40" s="10" t="inlineStr">
        <is>
          <t>#108</t>
        </is>
      </c>
      <c r="H40" s="8" t="inlineStr"/>
    </row>
    <row r="41">
      <c r="A41" s="10" t="inlineStr">
        <is>
          <t>OLD-40</t>
        </is>
      </c>
      <c r="B41" s="10" t="inlineStr">
        <is>
          <t>E7</t>
        </is>
      </c>
      <c r="C41" s="8" t="inlineStr">
        <is>
          <t>Add signed update packages</t>
        </is>
      </c>
      <c r="D41" s="10" t="inlineStr">
        <is>
          <t>P0</t>
        </is>
      </c>
      <c r="E41" s="10" t="inlineStr">
        <is>
          <t>Not Started</t>
        </is>
      </c>
      <c r="F41" s="10" t="inlineStr">
        <is>
          <t>Rewritten</t>
        </is>
      </c>
      <c r="G41" s="10" t="inlineStr">
        <is>
          <t>#170</t>
        </is>
      </c>
      <c r="H41" s="8" t="inlineStr"/>
    </row>
    <row r="42">
      <c r="A42" s="10" t="inlineStr">
        <is>
          <t>OLD-41</t>
        </is>
      </c>
      <c r="B42" s="10" t="inlineStr">
        <is>
          <t>E8</t>
        </is>
      </c>
      <c r="C42" s="8" t="inlineStr">
        <is>
          <t>Define product brand system</t>
        </is>
      </c>
      <c r="D42" s="10" t="inlineStr">
        <is>
          <t>P0</t>
        </is>
      </c>
      <c r="E42" s="10" t="inlineStr">
        <is>
          <t>Not Started</t>
        </is>
      </c>
      <c r="F42" s="10" t="inlineStr">
        <is>
          <t>Split</t>
        </is>
      </c>
      <c r="G42" s="10" t="inlineStr">
        <is>
          <t>#128 #129</t>
        </is>
      </c>
      <c r="H42" s="8" t="inlineStr"/>
    </row>
    <row r="43">
      <c r="A43" s="10" t="inlineStr">
        <is>
          <t>OLD-42</t>
        </is>
      </c>
      <c r="B43" s="10" t="inlineStr">
        <is>
          <t>E8</t>
        </is>
      </c>
      <c r="C43" s="8" t="inlineStr">
        <is>
          <t>Add white-label profiles</t>
        </is>
      </c>
      <c r="D43" s="10" t="inlineStr">
        <is>
          <t>P1</t>
        </is>
      </c>
      <c r="E43" s="10" t="inlineStr">
        <is>
          <t>Not Started</t>
        </is>
      </c>
      <c r="F43" s="10" t="inlineStr">
        <is>
          <t>Merged</t>
        </is>
      </c>
      <c r="G43" s="10" t="inlineStr">
        <is>
          <t>#129</t>
        </is>
      </c>
      <c r="H43" s="8" t="inlineStr"/>
    </row>
    <row r="44">
      <c r="A44" s="10" t="inlineStr">
        <is>
          <t>OLD-43</t>
        </is>
      </c>
      <c r="B44" s="10" t="inlineStr">
        <is>
          <t>E8</t>
        </is>
      </c>
      <c r="C44" s="8" t="inlineStr">
        <is>
          <t>Create customer-facing docs</t>
        </is>
      </c>
      <c r="D44" s="10" t="inlineStr">
        <is>
          <t>P0</t>
        </is>
      </c>
      <c r="E44" s="10" t="inlineStr">
        <is>
          <t>Not Started</t>
        </is>
      </c>
      <c r="F44" s="10" t="inlineStr">
        <is>
          <t>Rewritten</t>
        </is>
      </c>
      <c r="G44" s="10" t="inlineStr">
        <is>
          <t>#136</t>
        </is>
      </c>
      <c r="H44" s="8" t="inlineStr"/>
    </row>
    <row r="45">
      <c r="A45" s="10" t="inlineStr">
        <is>
          <t>OLD-44</t>
        </is>
      </c>
      <c r="B45" s="10" t="inlineStr">
        <is>
          <t>E9</t>
        </is>
      </c>
      <c r="C45" s="8" t="inlineStr">
        <is>
          <t>Build production installer</t>
        </is>
      </c>
      <c r="D45" s="10" t="inlineStr">
        <is>
          <t>P0</t>
        </is>
      </c>
      <c r="E45" s="10" t="inlineStr">
        <is>
          <t>Not Started</t>
        </is>
      </c>
      <c r="F45" s="10" t="inlineStr">
        <is>
          <t>Rewritten</t>
        </is>
      </c>
      <c r="G45" s="10" t="inlineStr">
        <is>
          <t>#167</t>
        </is>
      </c>
      <c r="H45" s="8" t="inlineStr"/>
    </row>
    <row r="46">
      <c r="A46" s="10" t="inlineStr">
        <is>
          <t>OLD-45</t>
        </is>
      </c>
      <c r="B46" s="10" t="inlineStr">
        <is>
          <t>E9</t>
        </is>
      </c>
      <c r="C46" s="8" t="inlineStr">
        <is>
          <t>Add environment validator</t>
        </is>
      </c>
      <c r="D46" s="10" t="inlineStr">
        <is>
          <t>P1</t>
        </is>
      </c>
      <c r="E46" s="10" t="inlineStr">
        <is>
          <t>Not Started</t>
        </is>
      </c>
      <c r="F46" s="10" t="inlineStr">
        <is>
          <t>Rewritten</t>
        </is>
      </c>
      <c r="G46" s="10" t="inlineStr">
        <is>
          <t>#168</t>
        </is>
      </c>
      <c r="H46" s="8" t="inlineStr"/>
    </row>
    <row r="47">
      <c r="A47" s="10" t="inlineStr">
        <is>
          <t>OLD-46</t>
        </is>
      </c>
      <c r="B47" s="10" t="inlineStr">
        <is>
          <t>E9</t>
        </is>
      </c>
      <c r="C47" s="8" t="inlineStr">
        <is>
          <t>Create backup/restore runbook and test</t>
        </is>
      </c>
      <c r="D47" s="10" t="inlineStr">
        <is>
          <t>P0</t>
        </is>
      </c>
      <c r="E47" s="10" t="inlineStr">
        <is>
          <t>Not Started</t>
        </is>
      </c>
      <c r="F47" s="10" t="inlineStr">
        <is>
          <t>Rewritten</t>
        </is>
      </c>
      <c r="G47" s="10" t="inlineStr">
        <is>
          <t>#171</t>
        </is>
      </c>
      <c r="H47" s="8" t="inlineStr"/>
    </row>
    <row r="48">
      <c r="A48" s="10" t="inlineStr">
        <is>
          <t>OLD-47</t>
        </is>
      </c>
      <c r="B48" s="10" t="inlineStr">
        <is>
          <t>E10</t>
        </is>
      </c>
      <c r="C48" s="8" t="inlineStr">
        <is>
          <t>Close controller/action coverage gaps</t>
        </is>
      </c>
      <c r="D48" s="10" t="inlineStr">
        <is>
          <t>P0</t>
        </is>
      </c>
      <c r="E48" s="10" t="inlineStr">
        <is>
          <t>Not Started</t>
        </is>
      </c>
      <c r="F48" s="10" t="inlineStr">
        <is>
          <t>Rewritten</t>
        </is>
      </c>
      <c r="G48" s="10" t="inlineStr">
        <is>
          <t>#199</t>
        </is>
      </c>
      <c r="H48" s="8" t="inlineStr"/>
    </row>
    <row r="49">
      <c r="A49" s="10" t="inlineStr">
        <is>
          <t>OLD-48</t>
        </is>
      </c>
      <c r="B49" s="10" t="inlineStr">
        <is>
          <t>E10</t>
        </is>
      </c>
      <c r="C49" s="8" t="inlineStr">
        <is>
          <t>Create UAT scripts by epic</t>
        </is>
      </c>
      <c r="D49" s="10" t="inlineStr">
        <is>
          <t>P0</t>
        </is>
      </c>
      <c r="E49" s="10" t="inlineStr">
        <is>
          <t>Not Started</t>
        </is>
      </c>
      <c r="F49" s="10" t="inlineStr">
        <is>
          <t>Rewritten</t>
        </is>
      </c>
      <c r="G49" s="10" t="inlineStr">
        <is>
          <t>#200</t>
        </is>
      </c>
      <c r="H49" s="8" t="inlineStr"/>
    </row>
    <row r="50">
      <c r="A50" s="10" t="inlineStr">
        <is>
          <t>OLD-49</t>
        </is>
      </c>
      <c r="B50" s="10" t="inlineStr">
        <is>
          <t>E10</t>
        </is>
      </c>
      <c r="C50" s="8" t="inlineStr">
        <is>
          <t>Add release quality gate</t>
        </is>
      </c>
      <c r="D50" s="10" t="inlineStr">
        <is>
          <t>P1</t>
        </is>
      </c>
      <c r="E50" s="10" t="inlineStr">
        <is>
          <t>Not Started</t>
        </is>
      </c>
      <c r="F50" s="10" t="inlineStr">
        <is>
          <t>Rewritten</t>
        </is>
      </c>
      <c r="G50" s="10" t="inlineStr">
        <is>
          <t>#201</t>
        </is>
      </c>
      <c r="H50" s="8" t="inlineStr"/>
    </row>
    <row r="51">
      <c r="A51" s="10" t="inlineStr">
        <is>
          <t>OLD-50</t>
        </is>
      </c>
      <c r="B51" s="10" t="inlineStr">
        <is>
          <t>E11</t>
        </is>
      </c>
      <c r="C51" s="8" t="inlineStr">
        <is>
          <t>Run performance test suite</t>
        </is>
      </c>
      <c r="D51" s="10" t="inlineStr">
        <is>
          <t>P0</t>
        </is>
      </c>
      <c r="E51" s="10" t="inlineStr">
        <is>
          <t>Not Started</t>
        </is>
      </c>
      <c r="F51" s="10" t="inlineStr">
        <is>
          <t>Rewritten</t>
        </is>
      </c>
      <c r="G51" s="10" t="inlineStr">
        <is>
          <t>#202</t>
        </is>
      </c>
      <c r="H51" s="8" t="inlineStr"/>
    </row>
    <row r="52">
      <c r="A52" s="10" t="inlineStr">
        <is>
          <t>OLD-51</t>
        </is>
      </c>
      <c r="B52" s="10" t="inlineStr">
        <is>
          <t>E11</t>
        </is>
      </c>
      <c r="C52" s="8" t="inlineStr">
        <is>
          <t>Isolate AI job workload</t>
        </is>
      </c>
      <c r="D52" s="10" t="inlineStr">
        <is>
          <t>P0</t>
        </is>
      </c>
      <c r="E52" s="10" t="inlineStr">
        <is>
          <t>Not Started</t>
        </is>
      </c>
      <c r="F52" s="10" t="inlineStr">
        <is>
          <t>Merged</t>
        </is>
      </c>
      <c r="G52" s="10" t="inlineStr">
        <is>
          <t>#204</t>
        </is>
      </c>
      <c r="H52" s="8" t="inlineStr"/>
    </row>
    <row r="53">
      <c r="A53" s="10" t="inlineStr">
        <is>
          <t>OLD-52</t>
        </is>
      </c>
      <c r="B53" s="10" t="inlineStr">
        <is>
          <t>E11</t>
        </is>
      </c>
      <c r="C53" s="8" t="inlineStr">
        <is>
          <t>Separate Hangfire storage strategy</t>
        </is>
      </c>
      <c r="D53" s="10" t="inlineStr">
        <is>
          <t>P1</t>
        </is>
      </c>
      <c r="E53" s="10" t="inlineStr">
        <is>
          <t>Not Started</t>
        </is>
      </c>
      <c r="F53" s="10" t="inlineStr">
        <is>
          <t>Merged</t>
        </is>
      </c>
      <c r="G53" s="10" t="inlineStr">
        <is>
          <t>#204</t>
        </is>
      </c>
      <c r="H53" s="8" t="inlineStr"/>
    </row>
    <row r="54">
      <c r="A54" s="10" t="inlineStr">
        <is>
          <t>OLD-53</t>
        </is>
      </c>
      <c r="B54" s="10" t="inlineStr">
        <is>
          <t>E12</t>
        </is>
      </c>
      <c r="C54" s="8" t="inlineStr">
        <is>
          <t>Build model/prompt registry</t>
        </is>
      </c>
      <c r="D54" s="10" t="inlineStr">
        <is>
          <t>P1</t>
        </is>
      </c>
      <c r="E54" s="10" t="inlineStr">
        <is>
          <t>Not Started</t>
        </is>
      </c>
      <c r="F54" s="10" t="inlineStr">
        <is>
          <t>Rewritten</t>
        </is>
      </c>
      <c r="G54" s="10" t="inlineStr">
        <is>
          <t>#213</t>
        </is>
      </c>
      <c r="H54" s="8" t="inlineStr"/>
    </row>
    <row r="55">
      <c r="A55" s="10" t="inlineStr">
        <is>
          <t>OLD-54</t>
        </is>
      </c>
      <c r="B55" s="10" t="inlineStr">
        <is>
          <t>E12</t>
        </is>
      </c>
      <c r="C55" s="8" t="inlineStr">
        <is>
          <t>Add AI traceability</t>
        </is>
      </c>
      <c r="D55" s="10" t="inlineStr">
        <is>
          <t>P1</t>
        </is>
      </c>
      <c r="E55" s="10" t="inlineStr">
        <is>
          <t>Not Started</t>
        </is>
      </c>
      <c r="F55" s="10" t="inlineStr">
        <is>
          <t>Rewritten</t>
        </is>
      </c>
      <c r="G55" s="10" t="inlineStr">
        <is>
          <t>#214</t>
        </is>
      </c>
      <c r="H55" s="8" t="inlineStr"/>
    </row>
    <row r="56">
      <c r="A56" s="10" t="inlineStr">
        <is>
          <t>OLD-55</t>
        </is>
      </c>
      <c r="B56" s="10" t="inlineStr">
        <is>
          <t>E12</t>
        </is>
      </c>
      <c r="C56" s="8" t="inlineStr">
        <is>
          <t>Add redaction and data-boundary rules</t>
        </is>
      </c>
      <c r="D56" s="10" t="inlineStr">
        <is>
          <t>P1</t>
        </is>
      </c>
      <c r="E56" s="10" t="inlineStr">
        <is>
          <t>Not Started</t>
        </is>
      </c>
      <c r="F56" s="10" t="inlineStr">
        <is>
          <t>Rewritten</t>
        </is>
      </c>
      <c r="G56" s="10" t="inlineStr">
        <is>
          <t>#215</t>
        </is>
      </c>
      <c r="H56" s="8" t="inlineStr"/>
    </row>
    <row r="57">
      <c r="A57" s="10" t="inlineStr">
        <is>
          <t>OLD-56</t>
        </is>
      </c>
      <c r="B57" s="10" t="inlineStr">
        <is>
          <t>E13</t>
        </is>
      </c>
      <c r="C57" s="8" t="inlineStr">
        <is>
          <t>Build import designer</t>
        </is>
      </c>
      <c r="D57" s="10" t="inlineStr">
        <is>
          <t>P1</t>
        </is>
      </c>
      <c r="E57" s="10" t="inlineStr">
        <is>
          <t>Not Started</t>
        </is>
      </c>
      <c r="F57" s="10" t="inlineStr">
        <is>
          <t>Split</t>
        </is>
      </c>
      <c r="G57" s="10" t="inlineStr">
        <is>
          <t>#25 #217</t>
        </is>
      </c>
      <c r="H57" s="8" t="inlineStr"/>
    </row>
    <row r="58">
      <c r="A58" s="10" t="inlineStr">
        <is>
          <t>OLD-57</t>
        </is>
      </c>
      <c r="B58" s="10" t="inlineStr">
        <is>
          <t>E13</t>
        </is>
      </c>
      <c r="C58" s="8" t="inlineStr">
        <is>
          <t>Unify import permission model</t>
        </is>
      </c>
      <c r="D58" s="10" t="inlineStr">
        <is>
          <t>P0</t>
        </is>
      </c>
      <c r="E58" s="10" t="inlineStr">
        <is>
          <t>Partial</t>
        </is>
      </c>
      <c r="F58" s="10" t="inlineStr">
        <is>
          <t>Merged</t>
        </is>
      </c>
      <c r="G58" s="10" t="inlineStr">
        <is>
          <t>#25</t>
        </is>
      </c>
      <c r="H58" s="8" t="inlineStr"/>
    </row>
    <row r="59">
      <c r="A59" s="10" t="inlineStr">
        <is>
          <t>OLD-58</t>
        </is>
      </c>
      <c r="B59" s="10" t="inlineStr">
        <is>
          <t>E14</t>
        </is>
      </c>
      <c r="C59" s="8" t="inlineStr">
        <is>
          <t>Build evidence export packages</t>
        </is>
      </c>
      <c r="D59" s="10" t="inlineStr">
        <is>
          <t>P1</t>
        </is>
      </c>
      <c r="E59" s="10" t="inlineStr">
        <is>
          <t>Not Started</t>
        </is>
      </c>
      <c r="F59" s="10" t="inlineStr">
        <is>
          <t>Split</t>
        </is>
      </c>
      <c r="G59" s="10" t="inlineStr">
        <is>
          <t>#17 #81 #211</t>
        </is>
      </c>
      <c r="H59" s="8" t="inlineStr"/>
    </row>
    <row r="60">
      <c r="A60" s="10" t="inlineStr">
        <is>
          <t>OLD-59</t>
        </is>
      </c>
      <c r="B60" s="10" t="inlineStr">
        <is>
          <t>E14</t>
        </is>
      </c>
      <c r="C60" s="8" t="inlineStr">
        <is>
          <t>Add configurable reports</t>
        </is>
      </c>
      <c r="D60" s="10" t="inlineStr">
        <is>
          <t>P1</t>
        </is>
      </c>
      <c r="E60" s="10" t="inlineStr">
        <is>
          <t>Not Started</t>
        </is>
      </c>
      <c r="F60" s="10" t="inlineStr">
        <is>
          <t>Rewritten</t>
        </is>
      </c>
      <c r="G60" s="10" t="inlineStr">
        <is>
          <t>#59</t>
        </is>
      </c>
      <c r="H60" s="8" t="inlineStr"/>
    </row>
    <row r="61">
      <c r="A61" s="10" t="inlineStr">
        <is>
          <t>OLD-60</t>
        </is>
      </c>
      <c r="B61" s="10" t="inlineStr">
        <is>
          <t>E15</t>
        </is>
      </c>
      <c r="C61" s="8" t="inlineStr">
        <is>
          <t>Build support bundle generator</t>
        </is>
      </c>
      <c r="D61" s="10" t="inlineStr">
        <is>
          <t>P1</t>
        </is>
      </c>
      <c r="E61" s="10" t="inlineStr">
        <is>
          <t>Not Started</t>
        </is>
      </c>
      <c r="F61" s="10" t="inlineStr">
        <is>
          <t>Merged</t>
        </is>
      </c>
      <c r="G61" s="10" t="inlineStr">
        <is>
          <t>#174</t>
        </is>
      </c>
      <c r="H61" s="8" t="inlineStr"/>
    </row>
    <row r="62">
      <c r="A62" s="10" t="inlineStr">
        <is>
          <t>OLD-61</t>
        </is>
      </c>
      <c r="B62" s="10" t="inlineStr">
        <is>
          <t>E15</t>
        </is>
      </c>
      <c r="C62" s="8" t="inlineStr">
        <is>
          <t>Add health dashboard</t>
        </is>
      </c>
      <c r="D62" s="10" t="inlineStr">
        <is>
          <t>P1</t>
        </is>
      </c>
      <c r="E62" s="10" t="inlineStr">
        <is>
          <t>Not Started</t>
        </is>
      </c>
      <c r="F62" s="10" t="inlineStr">
        <is>
          <t>Merged</t>
        </is>
      </c>
      <c r="G62" s="10" t="inlineStr">
        <is>
          <t>#174</t>
        </is>
      </c>
      <c r="H62" s="8" t="inlineStr"/>
    </row>
    <row r="63">
      <c r="A63" s="10" t="inlineStr">
        <is>
          <t>OLD-62</t>
        </is>
      </c>
      <c r="B63" s="10" t="inlineStr">
        <is>
          <t>E16</t>
        </is>
      </c>
      <c r="C63" s="8" t="inlineStr">
        <is>
          <t>Add offline mobile work execution</t>
        </is>
      </c>
      <c r="D63" s="10" t="inlineStr">
        <is>
          <t>P0</t>
        </is>
      </c>
      <c r="E63" s="10" t="inlineStr">
        <is>
          <t>Not Started</t>
        </is>
      </c>
      <c r="F63" s="10" t="inlineStr">
        <is>
          <t>Rewritten</t>
        </is>
      </c>
      <c r="G63" s="10" t="inlineStr">
        <is>
          <t>#223</t>
        </is>
      </c>
      <c r="H63" s="8" t="inlineStr"/>
    </row>
    <row r="64">
      <c r="A64" s="10" t="inlineStr">
        <is>
          <t>OLD-63</t>
        </is>
      </c>
      <c r="B64" s="10" t="inlineStr">
        <is>
          <t>E16</t>
        </is>
      </c>
      <c r="C64" s="8" t="inlineStr">
        <is>
          <t>Add mobile permit and inspection capture</t>
        </is>
      </c>
      <c r="D64" s="10" t="inlineStr">
        <is>
          <t>P0</t>
        </is>
      </c>
      <c r="E64" s="10" t="inlineStr">
        <is>
          <t>Not Started</t>
        </is>
      </c>
      <c r="F64" s="10" t="inlineStr">
        <is>
          <t>Rewritten</t>
        </is>
      </c>
      <c r="G64" s="10" t="inlineStr">
        <is>
          <t>#224</t>
        </is>
      </c>
      <c r="H64" s="8" t="inlineStr"/>
    </row>
    <row r="65">
      <c r="A65" s="10" t="inlineStr">
        <is>
          <t>OLD-64</t>
        </is>
      </c>
      <c r="B65" s="10" t="inlineStr">
        <is>
          <t>E16</t>
        </is>
      </c>
      <c r="C65" s="8" t="inlineStr">
        <is>
          <t>Build asset health scoring</t>
        </is>
      </c>
      <c r="D65" s="10" t="inlineStr">
        <is>
          <t>P1</t>
        </is>
      </c>
      <c r="E65" s="10" t="inlineStr">
        <is>
          <t>Not Started</t>
        </is>
      </c>
      <c r="F65" s="10" t="inlineStr">
        <is>
          <t>Rewritten</t>
        </is>
      </c>
      <c r="G65" s="10" t="inlineStr">
        <is>
          <t>#225</t>
        </is>
      </c>
      <c r="H65" s="8" t="inlineStr"/>
    </row>
    <row r="66">
      <c r="A66" s="10" t="inlineStr">
        <is>
          <t>OLD-65</t>
        </is>
      </c>
      <c r="B66" s="10" t="inlineStr">
        <is>
          <t>E16</t>
        </is>
      </c>
      <c r="C66" s="8" t="inlineStr">
        <is>
          <t>Add condition monitoring and IIoT ingestion</t>
        </is>
      </c>
      <c r="D66" s="10" t="inlineStr">
        <is>
          <t>P1</t>
        </is>
      </c>
      <c r="E66" s="10" t="inlineStr">
        <is>
          <t>Not Started</t>
        </is>
      </c>
      <c r="F66" s="10" t="inlineStr">
        <is>
          <t>Rewritten</t>
        </is>
      </c>
      <c r="G66" s="10" t="inlineStr">
        <is>
          <t>#226</t>
        </is>
      </c>
      <c r="H66" s="8" t="inlineStr"/>
    </row>
    <row r="67">
      <c r="A67" s="10" t="inlineStr">
        <is>
          <t>OLD-66</t>
        </is>
      </c>
      <c r="B67" s="10" t="inlineStr">
        <is>
          <t>E16</t>
        </is>
      </c>
      <c r="C67" s="8" t="inlineStr">
        <is>
          <t>Add advanced maintenance scheduling board</t>
        </is>
      </c>
      <c r="D67" s="10" t="inlineStr">
        <is>
          <t>P1</t>
        </is>
      </c>
      <c r="E67" s="10" t="inlineStr">
        <is>
          <t>Not Started</t>
        </is>
      </c>
      <c r="F67" s="10" t="inlineStr">
        <is>
          <t>Split</t>
        </is>
      </c>
      <c r="G67" s="10" t="inlineStr">
        <is>
          <t>#33 #227</t>
        </is>
      </c>
      <c r="H67" s="8" t="inlineStr"/>
    </row>
    <row r="68">
      <c r="A68" s="10" t="inlineStr">
        <is>
          <t>OLD-67</t>
        </is>
      </c>
      <c r="B68" s="10" t="inlineStr">
        <is>
          <t>E16</t>
        </is>
      </c>
      <c r="C68" s="8" t="inlineStr">
        <is>
          <t>Add spare-parts optimization and warranty tracking</t>
        </is>
      </c>
      <c r="D68" s="10" t="inlineStr">
        <is>
          <t>P1</t>
        </is>
      </c>
      <c r="E68" s="10" t="inlineStr">
        <is>
          <t>Not Started</t>
        </is>
      </c>
      <c r="F68" s="10" t="inlineStr">
        <is>
          <t>Rewritten</t>
        </is>
      </c>
      <c r="G68" s="10" t="inlineStr">
        <is>
          <t>#228</t>
        </is>
      </c>
      <c r="H68" s="8" t="inlineStr"/>
    </row>
    <row r="69">
      <c r="A69" s="10" t="inlineStr">
        <is>
          <t>OLD-68</t>
        </is>
      </c>
      <c r="B69" s="10" t="inlineStr">
        <is>
          <t>E17</t>
        </is>
      </c>
      <c r="C69" s="8" t="inlineStr">
        <is>
          <t>Add CAD/BIM document integration</t>
        </is>
      </c>
      <c r="D69" s="10" t="inlineStr">
        <is>
          <t>P1</t>
        </is>
      </c>
      <c r="E69" s="10" t="inlineStr">
        <is>
          <t>Not Started</t>
        </is>
      </c>
      <c r="F69" s="10" t="inlineStr">
        <is>
          <t>Rewritten</t>
        </is>
      </c>
      <c r="G69" s="10" t="inlineStr">
        <is>
          <t>#218</t>
        </is>
      </c>
      <c r="H69" s="8" t="inlineStr"/>
    </row>
    <row r="70">
      <c r="A70" s="10" t="inlineStr">
        <is>
          <t>OLD-69</t>
        </is>
      </c>
      <c r="B70" s="10" t="inlineStr">
        <is>
          <t>E17</t>
        </is>
      </c>
      <c r="C70" s="8" t="inlineStr">
        <is>
          <t>Add 2D/3D/4D markup and review support</t>
        </is>
      </c>
      <c r="D70" s="10" t="inlineStr">
        <is>
          <t>P1</t>
        </is>
      </c>
      <c r="E70" s="10" t="inlineStr">
        <is>
          <t>Not Started</t>
        </is>
      </c>
      <c r="F70" s="10" t="inlineStr">
        <is>
          <t>Rewritten</t>
        </is>
      </c>
      <c r="G70" s="10" t="inlineStr">
        <is>
          <t>#219</t>
        </is>
      </c>
      <c r="H70" s="8" t="inlineStr"/>
    </row>
    <row r="71">
      <c r="A71" s="10" t="inlineStr">
        <is>
          <t>OLD-70</t>
        </is>
      </c>
      <c r="B71" s="10" t="inlineStr">
        <is>
          <t>E17</t>
        </is>
      </c>
      <c r="C71" s="8" t="inlineStr">
        <is>
          <t>Add title-block extraction and change comparison</t>
        </is>
      </c>
      <c r="D71" s="10" t="inlineStr">
        <is>
          <t>P1</t>
        </is>
      </c>
      <c r="E71" s="10" t="inlineStr">
        <is>
          <t>Not Started</t>
        </is>
      </c>
      <c r="F71" s="10" t="inlineStr">
        <is>
          <t>Rewritten</t>
        </is>
      </c>
      <c r="G71" s="10" t="inlineStr">
        <is>
          <t>#220</t>
        </is>
      </c>
      <c r="H71" s="8" t="inlineStr"/>
    </row>
    <row r="72">
      <c r="A72" s="10" t="inlineStr">
        <is>
          <t>OLD-71</t>
        </is>
      </c>
      <c r="B72" s="10" t="inlineStr">
        <is>
          <t>E17</t>
        </is>
      </c>
      <c r="C72" s="8" t="inlineStr">
        <is>
          <t>Add records declaration and retention schedules</t>
        </is>
      </c>
      <c r="D72" s="10" t="inlineStr">
        <is>
          <t>P0</t>
        </is>
      </c>
      <c r="E72" s="10" t="inlineStr">
        <is>
          <t>Not Started</t>
        </is>
      </c>
      <c r="F72" s="10" t="inlineStr">
        <is>
          <t>Split</t>
        </is>
      </c>
      <c r="G72" s="10" t="inlineStr">
        <is>
          <t>#186 #221</t>
        </is>
      </c>
      <c r="H72" s="8" t="inlineStr"/>
    </row>
    <row r="73">
      <c r="A73" s="10" t="inlineStr">
        <is>
          <t>OLD-72</t>
        </is>
      </c>
      <c r="B73" s="10" t="inlineStr">
        <is>
          <t>E17</t>
        </is>
      </c>
      <c r="C73" s="8" t="inlineStr">
        <is>
          <t>Add legal hold management</t>
        </is>
      </c>
      <c r="D73" s="10" t="inlineStr">
        <is>
          <t>P0</t>
        </is>
      </c>
      <c r="E73" s="10" t="inlineStr">
        <is>
          <t>Not Started</t>
        </is>
      </c>
      <c r="F73" s="10" t="inlineStr">
        <is>
          <t>Split</t>
        </is>
      </c>
      <c r="G73" s="10" t="inlineStr">
        <is>
          <t>#186 #221</t>
        </is>
      </c>
      <c r="H73" s="8" t="inlineStr"/>
    </row>
    <row r="74">
      <c r="A74" s="10" t="inlineStr">
        <is>
          <t>OLD-73</t>
        </is>
      </c>
      <c r="B74" s="10" t="inlineStr">
        <is>
          <t>E18</t>
        </is>
      </c>
      <c r="C74" s="8" t="inlineStr">
        <is>
          <t>Add case management model</t>
        </is>
      </c>
      <c r="D74" s="10" t="inlineStr">
        <is>
          <t>P1</t>
        </is>
      </c>
      <c r="E74" s="10" t="inlineStr">
        <is>
          <t>Not Started</t>
        </is>
      </c>
      <c r="F74" s="10" t="inlineStr">
        <is>
          <t>Rewritten</t>
        </is>
      </c>
      <c r="G74" s="10" t="inlineStr">
        <is>
          <t>#79</t>
        </is>
      </c>
      <c r="H74" s="8" t="inlineStr"/>
    </row>
    <row r="75">
      <c r="A75" s="10" t="inlineStr">
        <is>
          <t>OLD-74</t>
        </is>
      </c>
      <c r="B75" s="10" t="inlineStr">
        <is>
          <t>E18</t>
        </is>
      </c>
      <c r="C75" s="8" t="inlineStr">
        <is>
          <t>Add decision tables and rule designer</t>
        </is>
      </c>
      <c r="D75" s="10" t="inlineStr">
        <is>
          <t>P0</t>
        </is>
      </c>
      <c r="E75" s="10" t="inlineStr">
        <is>
          <t>Not Started</t>
        </is>
      </c>
      <c r="F75" s="10" t="inlineStr">
        <is>
          <t>Rewritten</t>
        </is>
      </c>
      <c r="G75" s="10" t="inlineStr">
        <is>
          <t>#70</t>
        </is>
      </c>
      <c r="H75" s="8" t="inlineStr"/>
    </row>
    <row r="76">
      <c r="A76" s="10" t="inlineStr">
        <is>
          <t>OLD-75</t>
        </is>
      </c>
      <c r="B76" s="10" t="inlineStr">
        <is>
          <t>E18</t>
        </is>
      </c>
      <c r="C76" s="8" t="inlineStr">
        <is>
          <t>Add environment promotion governance</t>
        </is>
      </c>
      <c r="D76" s="10" t="inlineStr">
        <is>
          <t>P0</t>
        </is>
      </c>
      <c r="E76" s="10" t="inlineStr">
        <is>
          <t>Not Started</t>
        </is>
      </c>
      <c r="F76" s="10" t="inlineStr">
        <is>
          <t>Split</t>
        </is>
      </c>
      <c r="G76" s="10" t="inlineStr">
        <is>
          <t>#23 #83</t>
        </is>
      </c>
      <c r="H76" s="8" t="inlineStr"/>
    </row>
    <row r="77">
      <c r="A77" s="10" t="inlineStr">
        <is>
          <t>OLD-76</t>
        </is>
      </c>
      <c r="B77" s="10" t="inlineStr">
        <is>
          <t>E18</t>
        </is>
      </c>
      <c r="C77" s="8" t="inlineStr">
        <is>
          <t>Add governed API and webhook layer</t>
        </is>
      </c>
      <c r="D77" s="10" t="inlineStr">
        <is>
          <t>P0</t>
        </is>
      </c>
      <c r="E77" s="10" t="inlineStr">
        <is>
          <t>Not Started</t>
        </is>
      </c>
      <c r="F77" s="10" t="inlineStr">
        <is>
          <t>Rewritten</t>
        </is>
      </c>
      <c r="G77" s="10" t="inlineStr">
        <is>
          <t>#195</t>
        </is>
      </c>
      <c r="H77" s="8" t="inlineStr"/>
    </row>
    <row r="78">
      <c r="A78" s="10" t="inlineStr">
        <is>
          <t>OLD-77</t>
        </is>
      </c>
      <c r="B78" s="10" t="inlineStr">
        <is>
          <t>E18</t>
        </is>
      </c>
      <c r="C78" s="8" t="inlineStr">
        <is>
          <t>Add connector registry and integration monitoring</t>
        </is>
      </c>
      <c r="D78" s="10" t="inlineStr">
        <is>
          <t>P1</t>
        </is>
      </c>
      <c r="E78" s="10" t="inlineStr">
        <is>
          <t>Not Started</t>
        </is>
      </c>
      <c r="F78" s="10" t="inlineStr">
        <is>
          <t>Rewritten</t>
        </is>
      </c>
      <c r="G78" s="10" t="inlineStr">
        <is>
          <t>#196</t>
        </is>
      </c>
      <c r="H78" s="8" t="inlineStr"/>
    </row>
    <row r="79">
      <c r="A79" s="10" t="inlineStr">
        <is>
          <t>OLD-78</t>
        </is>
      </c>
      <c r="B79" s="10" t="inlineStr">
        <is>
          <t>E19</t>
        </is>
      </c>
      <c r="C79" s="8" t="inlineStr">
        <is>
          <t>Add SSO/OIDC/SAML support</t>
        </is>
      </c>
      <c r="D79" s="10" t="inlineStr">
        <is>
          <t>P0</t>
        </is>
      </c>
      <c r="E79" s="10" t="inlineStr">
        <is>
          <t>Not Started</t>
        </is>
      </c>
      <c r="F79" s="10" t="inlineStr">
        <is>
          <t>Rewritten</t>
        </is>
      </c>
      <c r="G79" s="10" t="inlineStr">
        <is>
          <t>#190</t>
        </is>
      </c>
      <c r="H79" s="8" t="inlineStr"/>
    </row>
    <row r="80">
      <c r="A80" s="10" t="inlineStr">
        <is>
          <t>OLD-79</t>
        </is>
      </c>
      <c r="B80" s="10" t="inlineStr">
        <is>
          <t>E19</t>
        </is>
      </c>
      <c r="C80" s="8" t="inlineStr">
        <is>
          <t>Add SCIM/LDAP/AD provisioning</t>
        </is>
      </c>
      <c r="D80" s="10" t="inlineStr">
        <is>
          <t>P1</t>
        </is>
      </c>
      <c r="E80" s="10" t="inlineStr">
        <is>
          <t>Not Started</t>
        </is>
      </c>
      <c r="F80" s="10" t="inlineStr">
        <is>
          <t>Rewritten</t>
        </is>
      </c>
      <c r="G80" s="10" t="inlineStr">
        <is>
          <t>#191</t>
        </is>
      </c>
      <c r="H80" s="8" t="inlineStr"/>
    </row>
    <row r="81">
      <c r="A81" s="10" t="inlineStr">
        <is>
          <t>OLD-80</t>
        </is>
      </c>
      <c r="B81" s="10" t="inlineStr">
        <is>
          <t>E19</t>
        </is>
      </c>
      <c r="C81" s="8" t="inlineStr">
        <is>
          <t>Add periodic access review</t>
        </is>
      </c>
      <c r="D81" s="10" t="inlineStr">
        <is>
          <t>P1</t>
        </is>
      </c>
      <c r="E81" s="10" t="inlineStr">
        <is>
          <t>Not Started</t>
        </is>
      </c>
      <c r="F81" s="10" t="inlineStr">
        <is>
          <t>Rewritten</t>
        </is>
      </c>
      <c r="G81" s="10" t="inlineStr">
        <is>
          <t>#192</t>
        </is>
      </c>
      <c r="H81" s="8" t="inlineStr"/>
    </row>
    <row r="82">
      <c r="A82" s="10" t="inlineStr">
        <is>
          <t>OLD-81</t>
        </is>
      </c>
      <c r="B82" s="10" t="inlineStr">
        <is>
          <t>E19</t>
        </is>
      </c>
      <c r="C82" s="8" t="inlineStr">
        <is>
          <t>Add observability stack</t>
        </is>
      </c>
      <c r="D82" s="10" t="inlineStr">
        <is>
          <t>P0</t>
        </is>
      </c>
      <c r="E82" s="10" t="inlineStr">
        <is>
          <t>Not Started</t>
        </is>
      </c>
      <c r="F82" s="10" t="inlineStr">
        <is>
          <t>Rewritten</t>
        </is>
      </c>
      <c r="G82" s="10" t="inlineStr">
        <is>
          <t>#149</t>
        </is>
      </c>
      <c r="H82" s="8" t="inlineStr"/>
    </row>
    <row r="83">
      <c r="A83" s="10" t="inlineStr">
        <is>
          <t>OLD-82</t>
        </is>
      </c>
      <c r="B83" s="10" t="inlineStr">
        <is>
          <t>E19</t>
        </is>
      </c>
      <c r="C83" s="8" t="inlineStr">
        <is>
          <t>Add SIEM/SOC export</t>
        </is>
      </c>
      <c r="D83" s="10" t="inlineStr">
        <is>
          <t>P1</t>
        </is>
      </c>
      <c r="E83" s="10" t="inlineStr">
        <is>
          <t>Not Started</t>
        </is>
      </c>
      <c r="F83" s="10" t="inlineStr">
        <is>
          <t>Rewritten</t>
        </is>
      </c>
      <c r="G83" s="10" t="inlineStr">
        <is>
          <t>#193</t>
        </is>
      </c>
      <c r="H83" s="8" t="inlineStr"/>
    </row>
    <row r="84">
      <c r="A84" s="10" t="inlineStr">
        <is>
          <t>OLD-83</t>
        </is>
      </c>
      <c r="B84" s="10" t="inlineStr">
        <is>
          <t>E19</t>
        </is>
      </c>
      <c r="C84" s="8" t="inlineStr">
        <is>
          <t>Define HA/DR reference architecture</t>
        </is>
      </c>
      <c r="D84" s="10" t="inlineStr">
        <is>
          <t>P0</t>
        </is>
      </c>
      <c r="E84" s="10" t="inlineStr">
        <is>
          <t>Not Started</t>
        </is>
      </c>
      <c r="F84" s="10" t="inlineStr">
        <is>
          <t>Rewritten</t>
        </is>
      </c>
      <c r="G84" s="10" t="inlineStr">
        <is>
          <t>#176</t>
        </is>
      </c>
      <c r="H84" s="8" t="inlineStr"/>
    </row>
    <row r="85">
      <c r="A85" s="10" t="inlineStr">
        <is>
          <t>OLD-84</t>
        </is>
      </c>
      <c r="B85" s="10" t="inlineStr">
        <is>
          <t>E19</t>
        </is>
      </c>
      <c r="C85" s="8" t="inlineStr">
        <is>
          <t>Add data classification and DLP hooks</t>
        </is>
      </c>
      <c r="D85" s="10" t="inlineStr">
        <is>
          <t>P1</t>
        </is>
      </c>
      <c r="E85" s="10" t="inlineStr">
        <is>
          <t>Not Started</t>
        </is>
      </c>
      <c r="F85" s="10" t="inlineStr">
        <is>
          <t>Rewritten</t>
        </is>
      </c>
      <c r="G85" s="10" t="inlineStr">
        <is>
          <t>#189</t>
        </is>
      </c>
      <c r="H85" s="8" t="inlineStr"/>
    </row>
    <row r="86">
      <c r="A86" s="10" t="inlineStr">
        <is>
          <t>OLD-85</t>
        </is>
      </c>
      <c r="B86" s="10" t="inlineStr">
        <is>
          <t>E20</t>
        </is>
      </c>
      <c r="C86" s="8" t="inlineStr">
        <is>
          <t>Add cost, budget and schedule integration</t>
        </is>
      </c>
      <c r="D86" s="10" t="inlineStr">
        <is>
          <t>P1</t>
        </is>
      </c>
      <c r="E86" s="10" t="inlineStr">
        <is>
          <t>Not Started</t>
        </is>
      </c>
      <c r="F86" s="10" t="inlineStr">
        <is>
          <t>Rewritten</t>
        </is>
      </c>
      <c r="G86" s="10" t="inlineStr">
        <is>
          <t>#212</t>
        </is>
      </c>
      <c r="H86" s="8" t="inlineStr"/>
    </row>
    <row r="87">
      <c r="A87" s="10" t="inlineStr">
        <is>
          <t>OLD-86</t>
        </is>
      </c>
      <c r="B87" s="10" t="inlineStr">
        <is>
          <t>E20</t>
        </is>
      </c>
      <c r="C87" s="8" t="inlineStr">
        <is>
          <t>Add implementation playbooks and template packs</t>
        </is>
      </c>
      <c r="D87" s="10" t="inlineStr">
        <is>
          <t>P1</t>
        </is>
      </c>
      <c r="E87" s="10" t="inlineStr">
        <is>
          <t>Not Started</t>
        </is>
      </c>
      <c r="F87" s="10" t="inlineStr">
        <is>
          <t>Split</t>
        </is>
      </c>
      <c r="G87" s="10" t="inlineStr">
        <is>
          <t>#52 #234</t>
        </is>
      </c>
      <c r="H87" s="8" t="inlineStr"/>
    </row>
    <row r="88">
      <c r="A88" s="10" t="inlineStr">
        <is>
          <t>OLD-87</t>
        </is>
      </c>
      <c r="B88" s="10" t="inlineStr">
        <is>
          <t>E21</t>
        </is>
      </c>
      <c r="C88" s="8" t="inlineStr">
        <is>
          <t>Add policy-engine library evaluation for PEMS</t>
        </is>
      </c>
      <c r="D88" s="10" t="inlineStr">
        <is>
          <t>P1</t>
        </is>
      </c>
      <c r="E88" s="10" t="inlineStr">
        <is>
          <t>Not Started</t>
        </is>
      </c>
      <c r="F88" s="10" t="inlineStr">
        <is>
          <t>Split</t>
        </is>
      </c>
      <c r="G88" s="10" t="inlineStr">
        <is>
          <t>#6 #179</t>
        </is>
      </c>
      <c r="H88" s="8" t="inlineStr"/>
    </row>
    <row r="89">
      <c r="A89" s="10" t="inlineStr">
        <is>
          <t>OLD-88</t>
        </is>
      </c>
      <c r="B89" s="10" t="inlineStr">
        <is>
          <t>E21</t>
        </is>
      </c>
      <c r="C89" s="8" t="inlineStr">
        <is>
          <t>Add safe dynamic schema-change workflow</t>
        </is>
      </c>
      <c r="D89" s="10" t="inlineStr">
        <is>
          <t>P0</t>
        </is>
      </c>
      <c r="E89" s="10" t="inlineStr">
        <is>
          <t>Not Started</t>
        </is>
      </c>
      <c r="F89" s="10" t="inlineStr">
        <is>
          <t>Rewritten</t>
        </is>
      </c>
      <c r="G89" s="10" t="inlineStr">
        <is>
          <t>#13</t>
        </is>
      </c>
      <c r="H89" s="8" t="inlineStr"/>
    </row>
    <row r="90">
      <c r="A90" s="10" t="inlineStr">
        <is>
          <t>OLD-89</t>
        </is>
      </c>
      <c r="B90" s="10" t="inlineStr">
        <is>
          <t>E21</t>
        </is>
      </c>
      <c r="C90" s="8" t="inlineStr">
        <is>
          <t>Build universal enterprise data-grid backend contract</t>
        </is>
      </c>
      <c r="D90" s="10" t="inlineStr">
        <is>
          <t>P0</t>
        </is>
      </c>
      <c r="E90" s="10" t="inlineStr">
        <is>
          <t>Not Started</t>
        </is>
      </c>
      <c r="F90" s="10" t="inlineStr">
        <is>
          <t>Merged</t>
        </is>
      </c>
      <c r="G90" s="10" t="inlineStr">
        <is>
          <t>#12</t>
        </is>
      </c>
      <c r="H90" s="8" t="inlineStr"/>
    </row>
    <row r="91">
      <c r="A91" s="10" t="inlineStr">
        <is>
          <t>OLD-90</t>
        </is>
      </c>
      <c r="B91" s="10" t="inlineStr">
        <is>
          <t>E21</t>
        </is>
      </c>
      <c r="C91" s="8" t="inlineStr">
        <is>
          <t>Add virtualized list and thumbnail rendering</t>
        </is>
      </c>
      <c r="D91" s="10" t="inlineStr">
        <is>
          <t>P1</t>
        </is>
      </c>
      <c r="E91" s="10" t="inlineStr">
        <is>
          <t>Not Started</t>
        </is>
      </c>
      <c r="F91" s="10" t="inlineStr">
        <is>
          <t>Merged</t>
        </is>
      </c>
      <c r="G91" s="10" t="inlineStr">
        <is>
          <t>#32</t>
        </is>
      </c>
      <c r="H91" s="8" t="inlineStr"/>
    </row>
    <row r="92">
      <c r="A92" s="10" t="inlineStr">
        <is>
          <t>OLD-91</t>
        </is>
      </c>
      <c r="B92" s="10" t="inlineStr">
        <is>
          <t>E21</t>
        </is>
      </c>
      <c r="C92" s="8" t="inlineStr">
        <is>
          <t>Build server-side export service</t>
        </is>
      </c>
      <c r="D92" s="10" t="inlineStr">
        <is>
          <t>P1</t>
        </is>
      </c>
      <c r="E92" s="10" t="inlineStr">
        <is>
          <t>Not Started</t>
        </is>
      </c>
      <c r="F92" s="10" t="inlineStr">
        <is>
          <t>Rewritten</t>
        </is>
      </c>
      <c r="G92" s="10" t="inlineStr">
        <is>
          <t>#210</t>
        </is>
      </c>
      <c r="H92" s="8" t="inlineStr"/>
    </row>
    <row r="93">
      <c r="A93" s="10" t="inlineStr">
        <is>
          <t>OLD-92</t>
        </is>
      </c>
      <c r="B93" s="10" t="inlineStr">
        <is>
          <t>E21</t>
        </is>
      </c>
      <c r="C93" s="8" t="inlineStr">
        <is>
          <t>Add security dependency modernization review</t>
        </is>
      </c>
      <c r="D93" s="10" t="inlineStr">
        <is>
          <t>P1</t>
        </is>
      </c>
      <c r="E93" s="10" t="inlineStr">
        <is>
          <t>Not Started</t>
        </is>
      </c>
      <c r="F93" s="10" t="inlineStr">
        <is>
          <t>Split</t>
        </is>
      </c>
      <c r="G93" s="10" t="inlineStr">
        <is>
          <t>#6 #185 #187</t>
        </is>
      </c>
      <c r="H93" s="8" t="inlineStr"/>
    </row>
    <row r="94">
      <c r="A94" s="10" t="inlineStr">
        <is>
          <t>OLD-93</t>
        </is>
      </c>
      <c r="B94" s="10" t="inlineStr">
        <is>
          <t>E21</t>
        </is>
      </c>
      <c r="C94" s="8" t="inlineStr">
        <is>
          <t>Build realtime record locking and live update service</t>
        </is>
      </c>
      <c r="D94" s="10" t="inlineStr">
        <is>
          <t>P1</t>
        </is>
      </c>
      <c r="E94" s="10" t="inlineStr">
        <is>
          <t>Not Started</t>
        </is>
      </c>
      <c r="F94" s="10" t="inlineStr">
        <is>
          <t>Rewritten</t>
        </is>
      </c>
      <c r="G94" s="10" t="inlineStr">
        <is>
          <t>#18</t>
        </is>
      </c>
      <c r="H94" s="8" t="inlineStr"/>
    </row>
    <row r="95">
      <c r="A95" s="10" t="inlineStr">
        <is>
          <t>OLD-94</t>
        </is>
      </c>
      <c r="B95" s="10" t="inlineStr">
        <is>
          <t>E21</t>
        </is>
      </c>
      <c r="C95" s="8" t="inlineStr">
        <is>
          <t>Repair and test license-aware install flow</t>
        </is>
      </c>
      <c r="D95" s="10" t="inlineStr">
        <is>
          <t>P0</t>
        </is>
      </c>
      <c r="E95" s="10" t="inlineStr">
        <is>
          <t>Not Started</t>
        </is>
      </c>
      <c r="F95" s="10" t="inlineStr">
        <is>
          <t>Split</t>
        </is>
      </c>
      <c r="G95" s="10" t="inlineStr">
        <is>
          <t>#109 #122</t>
        </is>
      </c>
      <c r="H95" s="8" t="inlineStr"/>
    </row>
    <row r="96">
      <c r="A96" s="10" t="inlineStr">
        <is>
          <t>OLD-95</t>
        </is>
      </c>
      <c r="B96" s="10" t="inlineStr">
        <is>
          <t>E22</t>
        </is>
      </c>
      <c r="C96" s="8" t="inlineStr">
        <is>
          <t>Create PEMS design tokens</t>
        </is>
      </c>
      <c r="D96" s="10" t="inlineStr">
        <is>
          <t>P0</t>
        </is>
      </c>
      <c r="E96" s="10" t="inlineStr">
        <is>
          <t>Not Started</t>
        </is>
      </c>
      <c r="F96" s="10" t="inlineStr">
        <is>
          <t>Rewritten</t>
        </is>
      </c>
      <c r="G96" s="10" t="inlineStr">
        <is>
          <t>#30</t>
        </is>
      </c>
      <c r="H96" s="8" t="inlineStr"/>
    </row>
    <row r="97">
      <c r="A97" s="10" t="inlineStr">
        <is>
          <t>OLD-96</t>
        </is>
      </c>
      <c r="B97" s="10" t="inlineStr">
        <is>
          <t>E22</t>
        </is>
      </c>
      <c r="C97" s="8" t="inlineStr">
        <is>
          <t>Build shared component library</t>
        </is>
      </c>
      <c r="D97" s="10" t="inlineStr">
        <is>
          <t>P0</t>
        </is>
      </c>
      <c r="E97" s="10" t="inlineStr">
        <is>
          <t>Not Started</t>
        </is>
      </c>
      <c r="F97" s="10" t="inlineStr">
        <is>
          <t>Split</t>
        </is>
      </c>
      <c r="G97" s="10" t="inlineStr">
        <is>
          <t>#29 #31</t>
        </is>
      </c>
      <c r="H97" s="8" t="inlineStr"/>
    </row>
    <row r="98">
      <c r="A98" s="10" t="inlineStr">
        <is>
          <t>OLD-97</t>
        </is>
      </c>
      <c r="B98" s="10" t="inlineStr">
        <is>
          <t>E22</t>
        </is>
      </c>
      <c r="C98" s="8" t="inlineStr">
        <is>
          <t>Create enterprise data-grid component</t>
        </is>
      </c>
      <c r="D98" s="10" t="inlineStr">
        <is>
          <t>P0</t>
        </is>
      </c>
      <c r="E98" s="10" t="inlineStr">
        <is>
          <t>Not Started</t>
        </is>
      </c>
      <c r="F98" s="10" t="inlineStr">
        <is>
          <t>Merged</t>
        </is>
      </c>
      <c r="G98" s="10" t="inlineStr">
        <is>
          <t>#32</t>
        </is>
      </c>
      <c r="H98" s="8" t="inlineStr"/>
    </row>
    <row r="99">
      <c r="A99" s="10" t="inlineStr">
        <is>
          <t>OLD-98</t>
        </is>
      </c>
      <c r="B99" s="10" t="inlineStr">
        <is>
          <t>E22</t>
        </is>
      </c>
      <c r="C99" s="8" t="inlineStr">
        <is>
          <t>Create dynamic form component standards</t>
        </is>
      </c>
      <c r="D99" s="10" t="inlineStr">
        <is>
          <t>P0</t>
        </is>
      </c>
      <c r="E99" s="10" t="inlineStr">
        <is>
          <t>Not Started</t>
        </is>
      </c>
      <c r="F99" s="10" t="inlineStr">
        <is>
          <t>Rewritten</t>
        </is>
      </c>
      <c r="G99" s="10" t="inlineStr">
        <is>
          <t>#34</t>
        </is>
      </c>
      <c r="H99" s="8" t="inlineStr"/>
    </row>
    <row r="100">
      <c r="A100" s="10" t="inlineStr">
        <is>
          <t>OLD-99</t>
        </is>
      </c>
      <c r="B100" s="10" t="inlineStr">
        <is>
          <t>E22</t>
        </is>
      </c>
      <c r="C100" s="8" t="inlineStr">
        <is>
          <t>Create workflow/status UI components</t>
        </is>
      </c>
      <c r="D100" s="10" t="inlineStr">
        <is>
          <t>P1</t>
        </is>
      </c>
      <c r="E100" s="10" t="inlineStr">
        <is>
          <t>Not Started</t>
        </is>
      </c>
      <c r="F100" s="10" t="inlineStr">
        <is>
          <t>Rewritten</t>
        </is>
      </c>
      <c r="G100" s="10" t="inlineStr">
        <is>
          <t>#36</t>
        </is>
      </c>
      <c r="H100" s="8" t="inlineStr"/>
    </row>
    <row r="101">
      <c r="A101" s="10" t="inlineStr">
        <is>
          <t>OLD-100</t>
        </is>
      </c>
      <c r="B101" s="10" t="inlineStr">
        <is>
          <t>E22</t>
        </is>
      </c>
      <c r="C101" s="8" t="inlineStr">
        <is>
          <t>Add accessibility QA standard</t>
        </is>
      </c>
      <c r="D101" s="10" t="inlineStr">
        <is>
          <t>P1</t>
        </is>
      </c>
      <c r="E101" s="10" t="inlineStr">
        <is>
          <t>Not Started</t>
        </is>
      </c>
      <c r="F101" s="10" t="inlineStr">
        <is>
          <t>Rewritten</t>
        </is>
      </c>
      <c r="G101" s="10" t="inlineStr">
        <is>
          <t>#38</t>
        </is>
      </c>
      <c r="H101" s="8" t="inlineStr"/>
    </row>
    <row r="102">
      <c r="A102" s="10" t="inlineStr">
        <is>
          <t>OLD-101</t>
        </is>
      </c>
      <c r="B102" s="10" t="inlineStr">
        <is>
          <t>E22</t>
        </is>
      </c>
      <c r="C102" s="8" t="inlineStr">
        <is>
          <t>Add RTL/Persian and localization UI standards</t>
        </is>
      </c>
      <c r="D102" s="10" t="inlineStr">
        <is>
          <t>P1</t>
        </is>
      </c>
      <c r="E102" s="10" t="inlineStr">
        <is>
          <t>Not Started</t>
        </is>
      </c>
      <c r="F102" s="10" t="inlineStr">
        <is>
          <t>Rewritten</t>
        </is>
      </c>
      <c r="G102" s="10" t="inlineStr">
        <is>
          <t>#206</t>
        </is>
      </c>
      <c r="H102" s="8" t="inlineStr"/>
    </row>
    <row r="103">
      <c r="A103" s="10" t="inlineStr">
        <is>
          <t>OLD-102</t>
        </is>
      </c>
      <c r="B103" s="10" t="inlineStr">
        <is>
          <t>E22</t>
        </is>
      </c>
      <c r="C103" s="8" t="inlineStr">
        <is>
          <t>Add mobile and responsive design QA</t>
        </is>
      </c>
      <c r="D103" s="10" t="inlineStr">
        <is>
          <t>P1</t>
        </is>
      </c>
      <c r="E103" s="10" t="inlineStr">
        <is>
          <t>Not Started</t>
        </is>
      </c>
      <c r="F103" s="10" t="inlineStr">
        <is>
          <t>Rewritten</t>
        </is>
      </c>
      <c r="G103" s="10" t="inlineStr">
        <is>
          <t>#39</t>
        </is>
      </c>
      <c r="H103" s="8" t="inlineStr"/>
    </row>
    <row r="104">
      <c r="A104" s="10" t="inlineStr">
        <is>
          <t>OLD-103</t>
        </is>
      </c>
      <c r="B104" s="10" t="inlineStr">
        <is>
          <t>E22</t>
        </is>
      </c>
      <c r="C104" s="8" t="inlineStr">
        <is>
          <t>Create Storybook-style component documentation</t>
        </is>
      </c>
      <c r="D104" s="10" t="inlineStr">
        <is>
          <t>P2</t>
        </is>
      </c>
      <c r="E104" s="10" t="inlineStr">
        <is>
          <t>Not Started</t>
        </is>
      </c>
      <c r="F104" s="10" t="inlineStr">
        <is>
          <t>Rewritten</t>
        </is>
      </c>
      <c r="G104" s="10" t="inlineStr">
        <is>
          <t>#40</t>
        </is>
      </c>
      <c r="H104" s="8" t="inlineStr"/>
    </row>
    <row r="105">
      <c r="A105" s="10" t="inlineStr">
        <is>
          <t>OLD-104</t>
        </is>
      </c>
      <c r="B105" s="10" t="inlineStr">
        <is>
          <t>E22</t>
        </is>
      </c>
      <c r="C105" s="8" t="inlineStr">
        <is>
          <t>Add visual regression testing</t>
        </is>
      </c>
      <c r="D105" s="10" t="inlineStr">
        <is>
          <t>P1</t>
        </is>
      </c>
      <c r="E105" s="10" t="inlineStr">
        <is>
          <t>Not Started</t>
        </is>
      </c>
      <c r="F105" s="10" t="inlineStr">
        <is>
          <t>Rewritten</t>
        </is>
      </c>
      <c r="G105" s="10" t="inlineStr">
        <is>
          <t>#41</t>
        </is>
      </c>
      <c r="H105" s="8" t="inlineStr"/>
    </row>
    <row r="106">
      <c r="A106" s="10" t="inlineStr">
        <is>
          <t>OLD-105</t>
        </is>
      </c>
      <c r="B106" s="10" t="inlineStr">
        <is>
          <t>E23</t>
        </is>
      </c>
      <c r="C106" s="8" t="inlineStr">
        <is>
          <t>Create product configuration center</t>
        </is>
      </c>
      <c r="D106" s="10" t="inlineStr">
        <is>
          <t>P1</t>
        </is>
      </c>
      <c r="E106" s="10" t="inlineStr">
        <is>
          <t>Not Started</t>
        </is>
      </c>
      <c r="F106" s="10" t="inlineStr">
        <is>
          <t>Rewritten</t>
        </is>
      </c>
      <c r="G106" s="10" t="inlineStr">
        <is>
          <t>#63</t>
        </is>
      </c>
      <c r="H106" s="8" t="inlineStr"/>
    </row>
    <row r="107">
      <c r="A107" s="10" t="inlineStr">
        <is>
          <t>OLD-106</t>
        </is>
      </c>
      <c r="B107" s="10" t="inlineStr">
        <is>
          <t>E23</t>
        </is>
      </c>
      <c r="C107" s="8" t="inlineStr">
        <is>
          <t>Add feature flags and release channels</t>
        </is>
      </c>
      <c r="D107" s="10" t="inlineStr">
        <is>
          <t>P1</t>
        </is>
      </c>
      <c r="E107" s="10" t="inlineStr">
        <is>
          <t>Not Started</t>
        </is>
      </c>
      <c r="F107" s="10" t="inlineStr">
        <is>
          <t>Rewritten</t>
        </is>
      </c>
      <c r="G107" s="10" t="inlineStr">
        <is>
          <t>#173</t>
        </is>
      </c>
      <c r="H107" s="8" t="inlineStr"/>
    </row>
    <row r="108">
      <c r="A108" s="10" t="inlineStr">
        <is>
          <t>OLD-107</t>
        </is>
      </c>
      <c r="B108" s="10" t="inlineStr">
        <is>
          <t>E23</t>
        </is>
      </c>
      <c r="C108" s="8" t="inlineStr">
        <is>
          <t>Create SLA and support operations module</t>
        </is>
      </c>
      <c r="D108" s="10" t="inlineStr">
        <is>
          <t>P2</t>
        </is>
      </c>
      <c r="E108" s="10" t="inlineStr">
        <is>
          <t>Not Started</t>
        </is>
      </c>
      <c r="F108" s="10" t="inlineStr">
        <is>
          <t>Split</t>
        </is>
      </c>
      <c r="G108" s="10" t="inlineStr">
        <is>
          <t>#132 #235</t>
        </is>
      </c>
      <c r="H108" s="8" t="inlineStr"/>
    </row>
    <row r="109">
      <c r="A109" s="10" t="inlineStr">
        <is>
          <t>OLD-108</t>
        </is>
      </c>
      <c r="B109" s="10" t="inlineStr">
        <is>
          <t>E24</t>
        </is>
      </c>
      <c r="C109" s="8" t="inlineStr">
        <is>
          <t>Add HR and employee-services coverage</t>
        </is>
      </c>
      <c r="D109" s="10" t="inlineStr">
        <is>
          <t>P1</t>
        </is>
      </c>
      <c r="E109" s="10" t="inlineStr">
        <is>
          <t>Not Started</t>
        </is>
      </c>
      <c r="F109" s="10" t="inlineStr">
        <is>
          <t>Rewritten</t>
        </is>
      </c>
      <c r="G109" s="10" t="inlineStr">
        <is>
          <t>#231</t>
        </is>
      </c>
      <c r="H109" s="8" t="inlineStr"/>
    </row>
    <row r="110">
      <c r="A110" s="10" t="inlineStr">
        <is>
          <t>OLD-109</t>
        </is>
      </c>
      <c r="B110" s="10" t="inlineStr">
        <is>
          <t>E24</t>
        </is>
      </c>
      <c r="C110" s="8" t="inlineStr">
        <is>
          <t>Add engineering and EDMS requirement coverage</t>
        </is>
      </c>
      <c r="D110" s="10" t="inlineStr">
        <is>
          <t>P1</t>
        </is>
      </c>
      <c r="E110" s="10" t="inlineStr">
        <is>
          <t>Partial</t>
        </is>
      </c>
      <c r="F110" s="10" t="inlineStr">
        <is>
          <t>Split</t>
        </is>
      </c>
      <c r="G110" s="10" t="inlineStr">
        <is>
          <t>#89 #91</t>
        </is>
      </c>
      <c r="H110" s="8" t="inlineStr"/>
    </row>
    <row r="111">
      <c r="A111" s="10" t="inlineStr">
        <is>
          <t>OLD-110</t>
        </is>
      </c>
      <c r="B111" s="10" t="inlineStr">
        <is>
          <t>E24</t>
        </is>
      </c>
      <c r="C111" s="8" t="inlineStr">
        <is>
          <t>Add project, change, quality and operations coverage</t>
        </is>
      </c>
      <c r="D111" s="10" t="inlineStr">
        <is>
          <t>P1</t>
        </is>
      </c>
      <c r="E111" s="10" t="inlineStr">
        <is>
          <t>Not Started</t>
        </is>
      </c>
      <c r="F111" s="10" t="inlineStr">
        <is>
          <t>Split</t>
        </is>
      </c>
      <c r="G111" s="10" t="inlineStr">
        <is>
          <t>#52 #82 #88 #232</t>
        </is>
      </c>
      <c r="H111" s="8" t="inlineStr"/>
    </row>
    <row r="112">
      <c r="A112" s="10" t="inlineStr">
        <is>
          <t>OLD-111</t>
        </is>
      </c>
      <c r="B112" s="10" t="inlineStr">
        <is>
          <t>E24</t>
        </is>
      </c>
      <c r="C112" s="8" t="inlineStr">
        <is>
          <t>Add finance, procurement, inventory and CMMS integration coverage</t>
        </is>
      </c>
      <c r="D112" s="10" t="inlineStr">
        <is>
          <t>P1</t>
        </is>
      </c>
      <c r="E112" s="10" t="inlineStr">
        <is>
          <t>Not Started</t>
        </is>
      </c>
      <c r="F112" s="10" t="inlineStr">
        <is>
          <t>Split</t>
        </is>
      </c>
      <c r="G112" s="10" t="inlineStr">
        <is>
          <t>#90 #198 #233</t>
        </is>
      </c>
      <c r="H112" s="8" t="inlineStr"/>
    </row>
    <row r="113">
      <c r="A113" s="10" t="inlineStr">
        <is>
          <t>OLD-112</t>
        </is>
      </c>
      <c r="B113" s="10" t="inlineStr">
        <is>
          <t>E24</t>
        </is>
      </c>
      <c r="C113" s="8" t="inlineStr">
        <is>
          <t>Add shared governance platform coverage</t>
        </is>
      </c>
      <c r="D113" s="10" t="inlineStr">
        <is>
          <t>P0</t>
        </is>
      </c>
      <c r="E113" s="10" t="inlineStr">
        <is>
          <t>Not Started</t>
        </is>
      </c>
      <c r="F113" s="10" t="inlineStr">
        <is>
          <t>Merged</t>
        </is>
      </c>
      <c r="G113" s="10" t="inlineStr">
        <is>
          <t>#198</t>
        </is>
      </c>
      <c r="H113" s="8" t="inlineStr"/>
    </row>
    <row r="114">
      <c r="A114" s="10" t="inlineStr">
        <is>
          <t>OLD-D1</t>
        </is>
      </c>
      <c r="B114" s="10" t="inlineStr">
        <is>
          <t>D01</t>
        </is>
      </c>
      <c r="C114" s="8" t="inlineStr">
        <is>
          <t>Multi-project .NET solution architecture exists</t>
        </is>
      </c>
      <c r="D114" s="10" t="inlineStr">
        <is>
          <t>P0</t>
        </is>
      </c>
      <c r="E114" s="10" t="inlineStr">
        <is>
          <t>Done</t>
        </is>
      </c>
      <c r="F114" s="10" t="inlineStr">
        <is>
          <t>Recorded as Done</t>
        </is>
      </c>
      <c r="G114" s="10" t="inlineStr">
        <is>
          <t>#239</t>
        </is>
      </c>
      <c r="H114" s="8" t="inlineStr"/>
    </row>
    <row r="115">
      <c r="A115" s="10" t="inlineStr">
        <is>
          <t>OLD-D2</t>
        </is>
      </c>
      <c r="B115" s="10" t="inlineStr">
        <is>
          <t>D01</t>
        </is>
      </c>
      <c r="C115" s="8" t="inlineStr">
        <is>
          <t>ASP.NET Identity browser authentication exists</t>
        </is>
      </c>
      <c r="D115" s="10" t="inlineStr">
        <is>
          <t>P0</t>
        </is>
      </c>
      <c r="E115" s="10" t="inlineStr">
        <is>
          <t>Done</t>
        </is>
      </c>
      <c r="F115" s="10" t="inlineStr">
        <is>
          <t>Recorded as Done</t>
        </is>
      </c>
      <c r="G115" s="10" t="inlineStr">
        <is>
          <t>#240</t>
        </is>
      </c>
      <c r="H115" s="8" t="inlineStr"/>
    </row>
    <row r="116">
      <c r="A116" s="10" t="inlineStr">
        <is>
          <t>OLD-D3</t>
        </is>
      </c>
      <c r="B116" s="10" t="inlineStr">
        <is>
          <t>D01</t>
        </is>
      </c>
      <c r="C116" s="8" t="inlineStr">
        <is>
          <t>WebAuthn/FIDO2 registration capability exists</t>
        </is>
      </c>
      <c r="D116" s="10" t="inlineStr">
        <is>
          <t>P1</t>
        </is>
      </c>
      <c r="E116" s="10" t="inlineStr">
        <is>
          <t>Done</t>
        </is>
      </c>
      <c r="F116" s="10" t="inlineStr">
        <is>
          <t>Recorded as Done</t>
        </is>
      </c>
      <c r="G116" s="10" t="inlineStr">
        <is>
          <t>#241</t>
        </is>
      </c>
      <c r="H116" s="8" t="inlineStr"/>
    </row>
    <row r="117">
      <c r="A117" s="10" t="inlineStr">
        <is>
          <t>OLD-D4</t>
        </is>
      </c>
      <c r="B117" s="10" t="inlineStr">
        <is>
          <t>D01</t>
        </is>
      </c>
      <c r="C117" s="8" t="inlineStr">
        <is>
          <t>Global MVC authorization filter exists</t>
        </is>
      </c>
      <c r="D117" s="10" t="inlineStr">
        <is>
          <t>P0</t>
        </is>
      </c>
      <c r="E117" s="10" t="inlineStr">
        <is>
          <t>Done</t>
        </is>
      </c>
      <c r="F117" s="10" t="inlineStr">
        <is>
          <t>Recorded as Done</t>
        </is>
      </c>
      <c r="G117" s="10" t="inlineStr">
        <is>
          <t>#240</t>
        </is>
      </c>
      <c r="H117" s="8" t="inlineStr"/>
    </row>
    <row r="118">
      <c r="A118" s="10" t="inlineStr">
        <is>
          <t>OLD-D5</t>
        </is>
      </c>
      <c r="B118" s="10" t="inlineStr">
        <is>
          <t>D02</t>
        </is>
      </c>
      <c r="C118" s="8" t="inlineStr">
        <is>
          <t>Central access-control contract exists</t>
        </is>
      </c>
      <c r="D118" s="10" t="inlineStr">
        <is>
          <t>P0</t>
        </is>
      </c>
      <c r="E118" s="10" t="inlineStr">
        <is>
          <t>Done</t>
        </is>
      </c>
      <c r="F118" s="10" t="inlineStr">
        <is>
          <t>Recorded as Done</t>
        </is>
      </c>
      <c r="G118" s="10" t="inlineStr">
        <is>
          <t>#242</t>
        </is>
      </c>
      <c r="H118" s="8" t="inlineStr"/>
    </row>
    <row r="119">
      <c r="A119" s="10" t="inlineStr">
        <is>
          <t>OLD-D6</t>
        </is>
      </c>
      <c r="B119" s="10" t="inlineStr">
        <is>
          <t>D02</t>
        </is>
      </c>
      <c r="C119" s="8" t="inlineStr">
        <is>
          <t>Role, permission and scoped assignment model exists</t>
        </is>
      </c>
      <c r="D119" s="10" t="inlineStr">
        <is>
          <t>P0</t>
        </is>
      </c>
      <c r="E119" s="10" t="inlineStr">
        <is>
          <t>Done</t>
        </is>
      </c>
      <c r="F119" s="10" t="inlineStr">
        <is>
          <t>Recorded as Done</t>
        </is>
      </c>
      <c r="G119" s="10" t="inlineStr">
        <is>
          <t>#242</t>
        </is>
      </c>
      <c r="H119" s="8" t="inlineStr"/>
    </row>
    <row r="120">
      <c r="A120" s="10" t="inlineStr">
        <is>
          <t>OLD-D7</t>
        </is>
      </c>
      <c r="B120" s="10" t="inlineStr">
        <is>
          <t>D02</t>
        </is>
      </c>
      <c r="C120" s="8" t="inlineStr">
        <is>
          <t>Segregation-of-duties policy infrastructure exists</t>
        </is>
      </c>
      <c r="D120" s="10" t="inlineStr">
        <is>
          <t>P1</t>
        </is>
      </c>
      <c r="E120" s="10" t="inlineStr">
        <is>
          <t>Done</t>
        </is>
      </c>
      <c r="F120" s="10" t="inlineStr">
        <is>
          <t>Recorded as Done</t>
        </is>
      </c>
      <c r="G120" s="10" t="inlineStr">
        <is>
          <t>#242</t>
        </is>
      </c>
      <c r="H120" s="8" t="inlineStr"/>
    </row>
    <row r="121">
      <c r="A121" s="10" t="inlineStr">
        <is>
          <t>OLD-D8</t>
        </is>
      </c>
      <c r="B121" s="10" t="inlineStr">
        <is>
          <t>D02</t>
        </is>
      </c>
      <c r="C121" s="8" t="inlineStr">
        <is>
          <t>Authorization audit log exists</t>
        </is>
      </c>
      <c r="D121" s="10" t="inlineStr">
        <is>
          <t>P1</t>
        </is>
      </c>
      <c r="E121" s="10" t="inlineStr">
        <is>
          <t>Done</t>
        </is>
      </c>
      <c r="F121" s="10" t="inlineStr">
        <is>
          <t>Recorded as Done</t>
        </is>
      </c>
      <c r="G121" s="10" t="inlineStr">
        <is>
          <t>#242</t>
        </is>
      </c>
      <c r="H121" s="8" t="inlineStr"/>
    </row>
    <row r="122">
      <c r="A122" s="10" t="inlineStr">
        <is>
          <t>OLD-D9</t>
        </is>
      </c>
      <c r="B122" s="10" t="inlineStr">
        <is>
          <t>D03</t>
        </is>
      </c>
      <c r="C122" s="8" t="inlineStr">
        <is>
          <t>Reusable workflow runtime boundary exists</t>
        </is>
      </c>
      <c r="D122" s="10" t="inlineStr">
        <is>
          <t>P0</t>
        </is>
      </c>
      <c r="E122" s="10" t="inlineStr">
        <is>
          <t>Done</t>
        </is>
      </c>
      <c r="F122" s="10" t="inlineStr">
        <is>
          <t>Recorded as Done</t>
        </is>
      </c>
      <c r="G122" s="10" t="inlineStr">
        <is>
          <t>#243</t>
        </is>
      </c>
      <c r="H122" s="8" t="inlineStr"/>
    </row>
    <row r="123">
      <c r="A123" s="10" t="inlineStr">
        <is>
          <t>OLD-D10</t>
        </is>
      </c>
      <c r="B123" s="10" t="inlineStr">
        <is>
          <t>D03</t>
        </is>
      </c>
      <c r="C123" s="8" t="inlineStr">
        <is>
          <t>Workflow metadata entities exist</t>
        </is>
      </c>
      <c r="D123" s="10" t="inlineStr">
        <is>
          <t>P0</t>
        </is>
      </c>
      <c r="E123" s="10" t="inlineStr">
        <is>
          <t>Done</t>
        </is>
      </c>
      <c r="F123" s="10" t="inlineStr">
        <is>
          <t>Recorded as Done</t>
        </is>
      </c>
      <c r="G123" s="10" t="inlineStr">
        <is>
          <t>#243</t>
        </is>
      </c>
      <c r="H123" s="8" t="inlineStr"/>
    </row>
    <row r="124">
      <c r="A124" s="10" t="inlineStr">
        <is>
          <t>OLD-D11</t>
        </is>
      </c>
      <c r="B124" s="10" t="inlineStr">
        <is>
          <t>D03</t>
        </is>
      </c>
      <c r="C124" s="8" t="inlineStr">
        <is>
          <t>Workflow runtime execution exists</t>
        </is>
      </c>
      <c r="D124" s="10" t="inlineStr">
        <is>
          <t>P0</t>
        </is>
      </c>
      <c r="E124" s="10" t="inlineStr">
        <is>
          <t>Done</t>
        </is>
      </c>
      <c r="F124" s="10" t="inlineStr">
        <is>
          <t>Recorded as Done</t>
        </is>
      </c>
      <c r="G124" s="10" t="inlineStr">
        <is>
          <t>#243</t>
        </is>
      </c>
      <c r="H124" s="8" t="inlineStr"/>
    </row>
    <row r="125">
      <c r="A125" s="10" t="inlineStr">
        <is>
          <t>OLD-D12</t>
        </is>
      </c>
      <c r="B125" s="10" t="inlineStr">
        <is>
          <t>D04</t>
        </is>
      </c>
      <c r="C125" s="8" t="inlineStr">
        <is>
          <t>EDMS/VDR module depth exists</t>
        </is>
      </c>
      <c r="D125" s="10" t="inlineStr">
        <is>
          <t>P0</t>
        </is>
      </c>
      <c r="E125" s="10" t="inlineStr">
        <is>
          <t>Done</t>
        </is>
      </c>
      <c r="F125" s="10" t="inlineStr">
        <is>
          <t>Recorded as Done</t>
        </is>
      </c>
      <c r="G125" s="10" t="inlineStr">
        <is>
          <t>#244</t>
        </is>
      </c>
      <c r="H125" s="8" t="inlineStr"/>
    </row>
    <row r="126">
      <c r="A126" s="10" t="inlineStr">
        <is>
          <t>OLD-D13</t>
        </is>
      </c>
      <c r="B126" s="10" t="inlineStr">
        <is>
          <t>D05</t>
        </is>
      </c>
      <c r="C126" s="8" t="inlineStr">
        <is>
          <t>Import center inventory exists</t>
        </is>
      </c>
      <c r="D126" s="10" t="inlineStr">
        <is>
          <t>P1</t>
        </is>
      </c>
      <c r="E126" s="10" t="inlineStr">
        <is>
          <t>Done</t>
        </is>
      </c>
      <c r="F126" s="10" t="inlineStr">
        <is>
          <t>Recorded as Done</t>
        </is>
      </c>
      <c r="G126" s="10" t="inlineStr">
        <is>
          <t>#245</t>
        </is>
      </c>
      <c r="H126" s="8" t="inlineStr"/>
    </row>
    <row r="127">
      <c r="A127" s="10" t="inlineStr">
        <is>
          <t>OLD-D14</t>
        </is>
      </c>
      <c r="B127" s="10" t="inlineStr">
        <is>
          <t>D06</t>
        </is>
      </c>
      <c r="C127" s="8" t="inlineStr">
        <is>
          <t>Relationship exploration service exists</t>
        </is>
      </c>
      <c r="D127" s="10" t="inlineStr">
        <is>
          <t>P1</t>
        </is>
      </c>
      <c r="E127" s="10" t="inlineStr">
        <is>
          <t>Done</t>
        </is>
      </c>
      <c r="F127" s="10" t="inlineStr">
        <is>
          <t>Recorded as Done</t>
        </is>
      </c>
      <c r="G127" s="10" t="inlineStr">
        <is>
          <t>#246</t>
        </is>
      </c>
      <c r="H127" s="8" t="inlineStr"/>
    </row>
    <row r="128">
      <c r="A128" s="10" t="inlineStr">
        <is>
          <t>OLD-D15</t>
        </is>
      </c>
      <c r="B128" s="10" t="inlineStr">
        <is>
          <t>D07</t>
        </is>
      </c>
      <c r="C128" s="8" t="inlineStr">
        <is>
          <t>Docker/on-prem development packaging exists</t>
        </is>
      </c>
      <c r="D128" s="10" t="inlineStr">
        <is>
          <t>P1</t>
        </is>
      </c>
      <c r="E128" s="10" t="inlineStr">
        <is>
          <t>Done</t>
        </is>
      </c>
      <c r="F128" s="10" t="inlineStr">
        <is>
          <t>Recorded as Done</t>
        </is>
      </c>
      <c r="G128" s="10" t="inlineStr">
        <is>
          <t>#247</t>
        </is>
      </c>
      <c r="H128" s="8" t="inlineStr"/>
    </row>
    <row r="129">
      <c r="A129" s="10" t="inlineStr">
        <is>
          <t>OLD-D16</t>
        </is>
      </c>
      <c r="B129" s="10" t="inlineStr">
        <is>
          <t>D08</t>
        </is>
      </c>
      <c r="C129" s="8" t="inlineStr">
        <is>
          <t>Local AI/OCR/search service plumbing exists</t>
        </is>
      </c>
      <c r="D129" s="10" t="inlineStr">
        <is>
          <t>P1</t>
        </is>
      </c>
      <c r="E129" s="10" t="inlineStr">
        <is>
          <t>Done</t>
        </is>
      </c>
      <c r="F129" s="10" t="inlineStr">
        <is>
          <t>Recorded as Done</t>
        </is>
      </c>
      <c r="G129" s="10" t="inlineStr">
        <is>
          <t>#248</t>
        </is>
      </c>
      <c r="H129" s="8" t="inlineStr"/>
    </row>
    <row r="130">
      <c r="A130" s="10" t="inlineStr">
        <is>
          <t>OLD-D17</t>
        </is>
      </c>
      <c r="B130" s="10" t="inlineStr">
        <is>
          <t>D09</t>
        </is>
      </c>
      <c r="C130" s="8" t="inlineStr">
        <is>
          <t>Large automated test inventory exists</t>
        </is>
      </c>
      <c r="D130" s="10" t="inlineStr">
        <is>
          <t>P1</t>
        </is>
      </c>
      <c r="E130" s="10" t="inlineStr">
        <is>
          <t>Done</t>
        </is>
      </c>
      <c r="F130" s="10" t="inlineStr">
        <is>
          <t>Recorded as Done</t>
        </is>
      </c>
      <c r="G130" s="10" t="inlineStr">
        <is>
          <t>#249</t>
        </is>
      </c>
      <c r="H130" s="8" t="inlineStr"/>
    </row>
    <row r="131">
      <c r="A131" s="10" t="inlineStr">
        <is>
          <t>OLD-D18</t>
        </is>
      </c>
      <c r="B131" s="10" t="inlineStr">
        <is>
          <t>D10</t>
        </is>
      </c>
      <c r="C131" s="8" t="inlineStr">
        <is>
          <t>Domain module breadth exists</t>
        </is>
      </c>
      <c r="D131" s="10" t="inlineStr">
        <is>
          <t>P0</t>
        </is>
      </c>
      <c r="E131" s="10" t="inlineStr">
        <is>
          <t>Done</t>
        </is>
      </c>
      <c r="F131" s="10" t="inlineStr">
        <is>
          <t>Recorded as Done</t>
        </is>
      </c>
      <c r="G131" s="10" t="inlineStr">
        <is>
          <t>#250</t>
        </is>
      </c>
      <c r="H131" s="8" t="inlineStr"/>
    </row>
  </sheetData>
  <autoFilter ref="A1:H1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3"/>
  <sheetViews>
    <sheetView showGridLines="0"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4" t="inlineStr">
        <is>
          <t>Automatic summary (formulas over the Backlog sheet)</t>
        </is>
      </c>
    </row>
    <row r="3">
      <c r="A3" s="13" t="inlineStr">
        <is>
          <t>Total tasks</t>
        </is>
      </c>
      <c r="B3" s="12">
        <f>COUNTA(Backlog!$D$2:$D$350)</f>
        <v/>
      </c>
      <c r="C3" s="12" t="n"/>
      <c r="D3" s="12" t="n"/>
      <c r="E3" s="12" t="n"/>
      <c r="F3" s="12" t="n"/>
      <c r="G3" s="12" t="n"/>
      <c r="H3" s="12" t="n"/>
    </row>
    <row r="4">
      <c r="A4" s="13" t="inlineStr">
        <is>
          <t>Owner tasks (Doer = User)</t>
        </is>
      </c>
      <c r="B4" s="12">
        <f>COUNTIF(Backlog!$B$2:$B$350,"User")</f>
        <v/>
      </c>
      <c r="C4" s="12" t="n"/>
      <c r="D4" s="12" t="n"/>
      <c r="E4" s="12" t="n"/>
      <c r="F4" s="12" t="n"/>
      <c r="G4" s="12" t="n"/>
      <c r="H4" s="12" t="n"/>
    </row>
    <row r="5">
      <c r="B5" s="12" t="n"/>
      <c r="C5" s="12" t="n"/>
      <c r="D5" s="12" t="n"/>
      <c r="E5" s="12" t="n"/>
      <c r="F5" s="12" t="n"/>
      <c r="G5" s="12" t="n"/>
      <c r="H5" s="12" t="n"/>
    </row>
    <row r="6">
      <c r="A6" s="6" t="inlineStr">
        <is>
          <t>Status x priority</t>
        </is>
      </c>
      <c r="B6" s="12" t="n"/>
      <c r="C6" s="12" t="n"/>
      <c r="D6" s="12" t="n"/>
      <c r="E6" s="12" t="n"/>
      <c r="F6" s="12" t="n"/>
      <c r="G6" s="12" t="n"/>
      <c r="H6" s="12" t="n"/>
    </row>
    <row r="7">
      <c r="A7" s="9" t="inlineStr">
        <is>
          <t>Status</t>
        </is>
      </c>
      <c r="B7" s="9" t="inlineStr">
        <is>
          <t>P0</t>
        </is>
      </c>
      <c r="C7" s="9" t="inlineStr">
        <is>
          <t>P1</t>
        </is>
      </c>
      <c r="D7" s="9" t="inlineStr">
        <is>
          <t>P2</t>
        </is>
      </c>
      <c r="E7" s="9" t="inlineStr">
        <is>
          <t>P3</t>
        </is>
      </c>
      <c r="F7" s="9" t="inlineStr">
        <is>
          <t>Total</t>
        </is>
      </c>
      <c r="G7" s="12" t="n"/>
      <c r="H7" s="12" t="n"/>
    </row>
    <row r="8">
      <c r="A8" s="5" t="inlineStr">
        <is>
          <t>Not Started</t>
        </is>
      </c>
      <c r="B8" s="12">
        <f>COUNTIFS(Backlog!$F$2:$F$350,$A8,Backlog!$G$2:$G$350,"P0")</f>
        <v/>
      </c>
      <c r="C8" s="12">
        <f>COUNTIFS(Backlog!$F$2:$F$350,$A8,Backlog!$G$2:$G$350,"P1")</f>
        <v/>
      </c>
      <c r="D8" s="12">
        <f>COUNTIFS(Backlog!$F$2:$F$350,$A8,Backlog!$G$2:$G$350,"P2")</f>
        <v/>
      </c>
      <c r="E8" s="12">
        <f>COUNTIFS(Backlog!$F$2:$F$350,$A8,Backlog!$G$2:$G$350,"P3")</f>
        <v/>
      </c>
      <c r="F8" s="12">
        <f>SUM(B8:E8)</f>
        <v/>
      </c>
      <c r="G8" s="12" t="n"/>
      <c r="H8" s="12" t="n"/>
    </row>
    <row r="9">
      <c r="A9" s="5" t="inlineStr">
        <is>
          <t>In Progress</t>
        </is>
      </c>
      <c r="B9" s="12">
        <f>COUNTIFS(Backlog!$F$2:$F$350,$A9,Backlog!$G$2:$G$350,"P0")</f>
        <v/>
      </c>
      <c r="C9" s="12">
        <f>COUNTIFS(Backlog!$F$2:$F$350,$A9,Backlog!$G$2:$G$350,"P1")</f>
        <v/>
      </c>
      <c r="D9" s="12">
        <f>COUNTIFS(Backlog!$F$2:$F$350,$A9,Backlog!$G$2:$G$350,"P2")</f>
        <v/>
      </c>
      <c r="E9" s="12">
        <f>COUNTIFS(Backlog!$F$2:$F$350,$A9,Backlog!$G$2:$G$350,"P3")</f>
        <v/>
      </c>
      <c r="F9" s="12">
        <f>SUM(B9:E9)</f>
        <v/>
      </c>
      <c r="G9" s="12" t="n"/>
      <c r="H9" s="12" t="n"/>
    </row>
    <row r="10">
      <c r="A10" s="5" t="inlineStr">
        <is>
          <t>Partial</t>
        </is>
      </c>
      <c r="B10" s="12">
        <f>COUNTIFS(Backlog!$F$2:$F$350,$A10,Backlog!$G$2:$G$350,"P0")</f>
        <v/>
      </c>
      <c r="C10" s="12">
        <f>COUNTIFS(Backlog!$F$2:$F$350,$A10,Backlog!$G$2:$G$350,"P1")</f>
        <v/>
      </c>
      <c r="D10" s="12">
        <f>COUNTIFS(Backlog!$F$2:$F$350,$A10,Backlog!$G$2:$G$350,"P2")</f>
        <v/>
      </c>
      <c r="E10" s="12">
        <f>COUNTIFS(Backlog!$F$2:$F$350,$A10,Backlog!$G$2:$G$350,"P3")</f>
        <v/>
      </c>
      <c r="F10" s="12">
        <f>SUM(B10:E10)</f>
        <v/>
      </c>
      <c r="G10" s="12" t="n"/>
      <c r="H10" s="12" t="n"/>
    </row>
    <row r="11">
      <c r="A11" s="5" t="inlineStr">
        <is>
          <t>Done</t>
        </is>
      </c>
      <c r="B11" s="12">
        <f>COUNTIFS(Backlog!$F$2:$F$350,$A11,Backlog!$G$2:$G$350,"P0")</f>
        <v/>
      </c>
      <c r="C11" s="12">
        <f>COUNTIFS(Backlog!$F$2:$F$350,$A11,Backlog!$G$2:$G$350,"P1")</f>
        <v/>
      </c>
      <c r="D11" s="12">
        <f>COUNTIFS(Backlog!$F$2:$F$350,$A11,Backlog!$G$2:$G$350,"P2")</f>
        <v/>
      </c>
      <c r="E11" s="12">
        <f>COUNTIFS(Backlog!$F$2:$F$350,$A11,Backlog!$G$2:$G$350,"P3")</f>
        <v/>
      </c>
      <c r="F11" s="12">
        <f>SUM(B11:E11)</f>
        <v/>
      </c>
      <c r="G11" s="12" t="n"/>
      <c r="H11" s="12" t="n"/>
    </row>
    <row r="12">
      <c r="A12" s="5" t="inlineStr">
        <is>
          <t>Hold</t>
        </is>
      </c>
      <c r="B12" s="12">
        <f>COUNTIFS(Backlog!$F$2:$F$350,$A12,Backlog!$G$2:$G$350,"P0")</f>
        <v/>
      </c>
      <c r="C12" s="12">
        <f>COUNTIFS(Backlog!$F$2:$F$350,$A12,Backlog!$G$2:$G$350,"P1")</f>
        <v/>
      </c>
      <c r="D12" s="12">
        <f>COUNTIFS(Backlog!$F$2:$F$350,$A12,Backlog!$G$2:$G$350,"P2")</f>
        <v/>
      </c>
      <c r="E12" s="12">
        <f>COUNTIFS(Backlog!$F$2:$F$350,$A12,Backlog!$G$2:$G$350,"P3")</f>
        <v/>
      </c>
      <c r="F12" s="12">
        <f>SUM(B12:E12)</f>
        <v/>
      </c>
      <c r="G12" s="12" t="n"/>
      <c r="H12" s="12" t="n"/>
    </row>
    <row r="13">
      <c r="A13" s="5" t="inlineStr">
        <is>
          <t>Later</t>
        </is>
      </c>
      <c r="B13" s="12">
        <f>COUNTIFS(Backlog!$F$2:$F$350,$A13,Backlog!$G$2:$G$350,"P0")</f>
        <v/>
      </c>
      <c r="C13" s="12">
        <f>COUNTIFS(Backlog!$F$2:$F$350,$A13,Backlog!$G$2:$G$350,"P1")</f>
        <v/>
      </c>
      <c r="D13" s="12">
        <f>COUNTIFS(Backlog!$F$2:$F$350,$A13,Backlog!$G$2:$G$350,"P2")</f>
        <v/>
      </c>
      <c r="E13" s="12">
        <f>COUNTIFS(Backlog!$F$2:$F$350,$A13,Backlog!$G$2:$G$350,"P3")</f>
        <v/>
      </c>
      <c r="F13" s="12">
        <f>SUM(B13:E13)</f>
        <v/>
      </c>
      <c r="G13" s="12" t="n"/>
      <c r="H13" s="12" t="n"/>
    </row>
    <row r="14">
      <c r="A14" s="5" t="inlineStr">
        <is>
          <t>Cancelled</t>
        </is>
      </c>
      <c r="B14" s="12">
        <f>COUNTIFS(Backlog!$F$2:$F$350,$A14,Backlog!$G$2:$G$350,"P0")</f>
        <v/>
      </c>
      <c r="C14" s="12">
        <f>COUNTIFS(Backlog!$F$2:$F$350,$A14,Backlog!$G$2:$G$350,"P1")</f>
        <v/>
      </c>
      <c r="D14" s="12">
        <f>COUNTIFS(Backlog!$F$2:$F$350,$A14,Backlog!$G$2:$G$350,"P2")</f>
        <v/>
      </c>
      <c r="E14" s="12">
        <f>COUNTIFS(Backlog!$F$2:$F$350,$A14,Backlog!$G$2:$G$350,"P3")</f>
        <v/>
      </c>
      <c r="F14" s="12">
        <f>SUM(B14:E14)</f>
        <v/>
      </c>
      <c r="G14" s="12" t="n"/>
      <c r="H14" s="12" t="n"/>
    </row>
    <row r="15">
      <c r="A15" s="5" t="inlineStr">
        <is>
          <t>Obsolete</t>
        </is>
      </c>
      <c r="B15" s="12">
        <f>COUNTIFS(Backlog!$F$2:$F$350,$A15,Backlog!$G$2:$G$350,"P0")</f>
        <v/>
      </c>
      <c r="C15" s="12">
        <f>COUNTIFS(Backlog!$F$2:$F$350,$A15,Backlog!$G$2:$G$350,"P1")</f>
        <v/>
      </c>
      <c r="D15" s="12">
        <f>COUNTIFS(Backlog!$F$2:$F$350,$A15,Backlog!$G$2:$G$350,"P2")</f>
        <v/>
      </c>
      <c r="E15" s="12">
        <f>COUNTIFS(Backlog!$F$2:$F$350,$A15,Backlog!$G$2:$G$350,"P3")</f>
        <v/>
      </c>
      <c r="F15" s="12">
        <f>SUM(B15:E15)</f>
        <v/>
      </c>
      <c r="G15" s="12" t="n"/>
      <c r="H15" s="12" t="n"/>
    </row>
    <row r="16">
      <c r="A16" s="13" t="inlineStr">
        <is>
          <t>Total</t>
        </is>
      </c>
      <c r="B16" s="14">
        <f>SUM(B8:B15)</f>
        <v/>
      </c>
      <c r="C16" s="14">
        <f>SUM(C8:C15)</f>
        <v/>
      </c>
      <c r="D16" s="14">
        <f>SUM(D8:D15)</f>
        <v/>
      </c>
      <c r="E16" s="14">
        <f>SUM(E8:E15)</f>
        <v/>
      </c>
      <c r="F16" s="14">
        <f>SUM(F8:F15)</f>
        <v/>
      </c>
      <c r="G16" s="12" t="n"/>
      <c r="H16" s="12" t="n"/>
    </row>
    <row r="17">
      <c r="B17" s="12" t="n"/>
      <c r="C17" s="12" t="n"/>
      <c r="D17" s="12" t="n"/>
      <c r="E17" s="12" t="n"/>
      <c r="F17" s="12" t="n"/>
      <c r="G17" s="12" t="n"/>
      <c r="H17" s="12" t="n"/>
    </row>
    <row r="18">
      <c r="A18" s="6" t="inlineStr">
        <is>
          <t>Area x priority (remaining = not Done/Later/Cancelled/Obsolete)</t>
        </is>
      </c>
      <c r="B18" s="12" t="n"/>
      <c r="C18" s="12" t="n"/>
      <c r="D18" s="12" t="n"/>
      <c r="E18" s="12" t="n"/>
      <c r="F18" s="12" t="n"/>
      <c r="G18" s="12" t="n"/>
      <c r="H18" s="12" t="n"/>
    </row>
    <row r="19">
      <c r="A19" s="9" t="inlineStr">
        <is>
          <t>Area</t>
        </is>
      </c>
      <c r="B19" s="9" t="inlineStr">
        <is>
          <t>Total</t>
        </is>
      </c>
      <c r="C19" s="9" t="inlineStr">
        <is>
          <t>P0</t>
        </is>
      </c>
      <c r="D19" s="9" t="inlineStr">
        <is>
          <t>P1</t>
        </is>
      </c>
      <c r="E19" s="9" t="inlineStr">
        <is>
          <t>P2</t>
        </is>
      </c>
      <c r="F19" s="9" t="inlineStr">
        <is>
          <t>P3</t>
        </is>
      </c>
      <c r="G19" s="9" t="inlineStr">
        <is>
          <t>Remaining</t>
        </is>
      </c>
      <c r="H19" s="9" t="inlineStr">
        <is>
          <t>Done</t>
        </is>
      </c>
    </row>
    <row r="20">
      <c r="A20" s="5" t="inlineStr">
        <is>
          <t>Foundation, Architecture Decisions &amp; Baseline</t>
        </is>
      </c>
      <c r="B20" s="12">
        <f>COUNTIF(Backlog!$C$2:$C$350,$A20)</f>
        <v/>
      </c>
      <c r="C20" s="12">
        <f>COUNTIFS(Backlog!$C$2:$C$350,$A20,Backlog!$G$2:$G$350,"P0")</f>
        <v/>
      </c>
      <c r="D20" s="12">
        <f>COUNTIFS(Backlog!$C$2:$C$350,$A20,Backlog!$G$2:$G$350,"P1")</f>
        <v/>
      </c>
      <c r="E20" s="12">
        <f>COUNTIFS(Backlog!$C$2:$C$350,$A20,Backlog!$G$2:$G$350,"P2")</f>
        <v/>
      </c>
      <c r="F20" s="12">
        <f>COUNTIFS(Backlog!$C$2:$C$350,$A20,Backlog!$G$2:$G$350,"P3")</f>
        <v/>
      </c>
      <c r="G20" s="12">
        <f>B20-H20-COUNTIFS(Backlog!$C$2:$C$350,$A20,Backlog!$F$2:$F$350,"Cancelled")-COUNTIFS(Backlog!$C$2:$C$350,$A20,Backlog!$F$2:$F$350,"Obsolete")-COUNTIFS(Backlog!$C$2:$C$350,$A20,Backlog!$F$2:$F$350,"Later")</f>
        <v/>
      </c>
      <c r="H20" s="12">
        <f>COUNTIFS(Backlog!$C$2:$C$350,$A20,Backlog!$F$2:$F$350,"Done")</f>
        <v/>
      </c>
    </row>
    <row r="21">
      <c r="A21" s="5" t="inlineStr">
        <is>
          <t>Metadata Core &amp; Dynamic Platform</t>
        </is>
      </c>
      <c r="B21" s="12">
        <f>COUNTIF(Backlog!$C$2:$C$350,$A21)</f>
        <v/>
      </c>
      <c r="C21" s="12">
        <f>COUNTIFS(Backlog!$C$2:$C$350,$A21,Backlog!$G$2:$G$350,"P0")</f>
        <v/>
      </c>
      <c r="D21" s="12">
        <f>COUNTIFS(Backlog!$C$2:$C$350,$A21,Backlog!$G$2:$G$350,"P1")</f>
        <v/>
      </c>
      <c r="E21" s="12">
        <f>COUNTIFS(Backlog!$C$2:$C$350,$A21,Backlog!$G$2:$G$350,"P2")</f>
        <v/>
      </c>
      <c r="F21" s="12">
        <f>COUNTIFS(Backlog!$C$2:$C$350,$A21,Backlog!$G$2:$G$350,"P3")</f>
        <v/>
      </c>
      <c r="G21" s="12">
        <f>B21-H21-COUNTIFS(Backlog!$C$2:$C$350,$A21,Backlog!$F$2:$F$350,"Cancelled")-COUNTIFS(Backlog!$C$2:$C$350,$A21,Backlog!$F$2:$F$350,"Obsolete")-COUNTIFS(Backlog!$C$2:$C$350,$A21,Backlog!$F$2:$F$350,"Later")</f>
        <v/>
      </c>
      <c r="H21" s="12">
        <f>COUNTIFS(Backlog!$C$2:$C$350,$A21,Backlog!$F$2:$F$350,"Done")</f>
        <v/>
      </c>
    </row>
    <row r="22">
      <c r="A22" s="5" t="inlineStr">
        <is>
          <t>Component Library &amp; Design System</t>
        </is>
      </c>
      <c r="B22" s="12">
        <f>COUNTIF(Backlog!$C$2:$C$350,$A22)</f>
        <v/>
      </c>
      <c r="C22" s="12">
        <f>COUNTIFS(Backlog!$C$2:$C$350,$A22,Backlog!$G$2:$G$350,"P0")</f>
        <v/>
      </c>
      <c r="D22" s="12">
        <f>COUNTIFS(Backlog!$C$2:$C$350,$A22,Backlog!$G$2:$G$350,"P1")</f>
        <v/>
      </c>
      <c r="E22" s="12">
        <f>COUNTIFS(Backlog!$C$2:$C$350,$A22,Backlog!$G$2:$G$350,"P2")</f>
        <v/>
      </c>
      <c r="F22" s="12">
        <f>COUNTIFS(Backlog!$C$2:$C$350,$A22,Backlog!$G$2:$G$350,"P3")</f>
        <v/>
      </c>
      <c r="G22" s="12">
        <f>B22-H22-COUNTIFS(Backlog!$C$2:$C$350,$A22,Backlog!$F$2:$F$350,"Cancelled")-COUNTIFS(Backlog!$C$2:$C$350,$A22,Backlog!$F$2:$F$350,"Obsolete")-COUNTIFS(Backlog!$C$2:$C$350,$A22,Backlog!$F$2:$F$350,"Later")</f>
        <v/>
      </c>
      <c r="H22" s="12">
        <f>COUNTIFS(Backlog!$C$2:$C$350,$A22,Backlog!$F$2:$F$350,"Done")</f>
        <v/>
      </c>
    </row>
    <row r="23">
      <c r="A23" s="5" t="inlineStr">
        <is>
          <t>Dynamic Form Builder</t>
        </is>
      </c>
      <c r="B23" s="12">
        <f>COUNTIF(Backlog!$C$2:$C$350,$A23)</f>
        <v/>
      </c>
      <c r="C23" s="12">
        <f>COUNTIFS(Backlog!$C$2:$C$350,$A23,Backlog!$G$2:$G$350,"P0")</f>
        <v/>
      </c>
      <c r="D23" s="12">
        <f>COUNTIFS(Backlog!$C$2:$C$350,$A23,Backlog!$G$2:$G$350,"P1")</f>
        <v/>
      </c>
      <c r="E23" s="12">
        <f>COUNTIFS(Backlog!$C$2:$C$350,$A23,Backlog!$G$2:$G$350,"P2")</f>
        <v/>
      </c>
      <c r="F23" s="12">
        <f>COUNTIFS(Backlog!$C$2:$C$350,$A23,Backlog!$G$2:$G$350,"P3")</f>
        <v/>
      </c>
      <c r="G23" s="12">
        <f>B23-H23-COUNTIFS(Backlog!$C$2:$C$350,$A23,Backlog!$F$2:$F$350,"Cancelled")-COUNTIFS(Backlog!$C$2:$C$350,$A23,Backlog!$F$2:$F$350,"Obsolete")-COUNTIFS(Backlog!$C$2:$C$350,$A23,Backlog!$F$2:$F$350,"Later")</f>
        <v/>
      </c>
      <c r="H23" s="12">
        <f>COUNTIFS(Backlog!$C$2:$C$350,$A23,Backlog!$F$2:$F$350,"Done")</f>
        <v/>
      </c>
    </row>
    <row r="24">
      <c r="A24" s="5" t="inlineStr">
        <is>
          <t>Dynamic Module Builder</t>
        </is>
      </c>
      <c r="B24" s="12">
        <f>COUNTIF(Backlog!$C$2:$C$350,$A24)</f>
        <v/>
      </c>
      <c r="C24" s="12">
        <f>COUNTIFS(Backlog!$C$2:$C$350,$A24,Backlog!$G$2:$G$350,"P0")</f>
        <v/>
      </c>
      <c r="D24" s="12">
        <f>COUNTIFS(Backlog!$C$2:$C$350,$A24,Backlog!$G$2:$G$350,"P1")</f>
        <v/>
      </c>
      <c r="E24" s="12">
        <f>COUNTIFS(Backlog!$C$2:$C$350,$A24,Backlog!$G$2:$G$350,"P2")</f>
        <v/>
      </c>
      <c r="F24" s="12">
        <f>COUNTIFS(Backlog!$C$2:$C$350,$A24,Backlog!$G$2:$G$350,"P3")</f>
        <v/>
      </c>
      <c r="G24" s="12">
        <f>B24-H24-COUNTIFS(Backlog!$C$2:$C$350,$A24,Backlog!$F$2:$F$350,"Cancelled")-COUNTIFS(Backlog!$C$2:$C$350,$A24,Backlog!$F$2:$F$350,"Obsolete")-COUNTIFS(Backlog!$C$2:$C$350,$A24,Backlog!$F$2:$F$350,"Later")</f>
        <v/>
      </c>
      <c r="H24" s="12">
        <f>COUNTIFS(Backlog!$C$2:$C$350,$A24,Backlog!$F$2:$F$350,"Done")</f>
        <v/>
      </c>
    </row>
    <row r="25">
      <c r="A25" s="5" t="inlineStr">
        <is>
          <t>Workflow Studio &amp; BPMS</t>
        </is>
      </c>
      <c r="B25" s="12">
        <f>COUNTIF(Backlog!$C$2:$C$350,$A25)</f>
        <v/>
      </c>
      <c r="C25" s="12">
        <f>COUNTIFS(Backlog!$C$2:$C$350,$A25,Backlog!$G$2:$G$350,"P0")</f>
        <v/>
      </c>
      <c r="D25" s="12">
        <f>COUNTIFS(Backlog!$C$2:$C$350,$A25,Backlog!$G$2:$G$350,"P1")</f>
        <v/>
      </c>
      <c r="E25" s="12">
        <f>COUNTIFS(Backlog!$C$2:$C$350,$A25,Backlog!$G$2:$G$350,"P2")</f>
        <v/>
      </c>
      <c r="F25" s="12">
        <f>COUNTIFS(Backlog!$C$2:$C$350,$A25,Backlog!$G$2:$G$350,"P3")</f>
        <v/>
      </c>
      <c r="G25" s="12">
        <f>B25-H25-COUNTIFS(Backlog!$C$2:$C$350,$A25,Backlog!$F$2:$F$350,"Cancelled")-COUNTIFS(Backlog!$C$2:$C$350,$A25,Backlog!$F$2:$F$350,"Obsolete")-COUNTIFS(Backlog!$C$2:$C$350,$A25,Backlog!$F$2:$F$350,"Later")</f>
        <v/>
      </c>
      <c r="H25" s="12">
        <f>COUNTIFS(Backlog!$C$2:$C$350,$A25,Backlog!$F$2:$F$350,"Done")</f>
        <v/>
      </c>
    </row>
    <row r="26">
      <c r="A26" s="5" t="inlineStr">
        <is>
          <t>Static-to-Dynamic Module Migration</t>
        </is>
      </c>
      <c r="B26" s="12">
        <f>COUNTIF(Backlog!$C$2:$C$350,$A26)</f>
        <v/>
      </c>
      <c r="C26" s="12">
        <f>COUNTIFS(Backlog!$C$2:$C$350,$A26,Backlog!$G$2:$G$350,"P0")</f>
        <v/>
      </c>
      <c r="D26" s="12">
        <f>COUNTIFS(Backlog!$C$2:$C$350,$A26,Backlog!$G$2:$G$350,"P1")</f>
        <v/>
      </c>
      <c r="E26" s="12">
        <f>COUNTIFS(Backlog!$C$2:$C$350,$A26,Backlog!$G$2:$G$350,"P2")</f>
        <v/>
      </c>
      <c r="F26" s="12">
        <f>COUNTIFS(Backlog!$C$2:$C$350,$A26,Backlog!$G$2:$G$350,"P3")</f>
        <v/>
      </c>
      <c r="G26" s="12">
        <f>B26-H26-COUNTIFS(Backlog!$C$2:$C$350,$A26,Backlog!$F$2:$F$350,"Cancelled")-COUNTIFS(Backlog!$C$2:$C$350,$A26,Backlog!$F$2:$F$350,"Obsolete")-COUNTIFS(Backlog!$C$2:$C$350,$A26,Backlog!$F$2:$F$350,"Later")</f>
        <v/>
      </c>
      <c r="H26" s="12">
        <f>COUNTIFS(Backlog!$C$2:$C$350,$A26,Backlog!$F$2:$F$350,"Done")</f>
        <v/>
      </c>
    </row>
    <row r="27">
      <c r="A27" s="5" t="inlineStr">
        <is>
          <t>Licensing &amp; Protection</t>
        </is>
      </c>
      <c r="B27" s="12">
        <f>COUNTIF(Backlog!$C$2:$C$350,$A27)</f>
        <v/>
      </c>
      <c r="C27" s="12">
        <f>COUNTIFS(Backlog!$C$2:$C$350,$A27,Backlog!$G$2:$G$350,"P0")</f>
        <v/>
      </c>
      <c r="D27" s="12">
        <f>COUNTIFS(Backlog!$C$2:$C$350,$A27,Backlog!$G$2:$G$350,"P1")</f>
        <v/>
      </c>
      <c r="E27" s="12">
        <f>COUNTIFS(Backlog!$C$2:$C$350,$A27,Backlog!$G$2:$G$350,"P2")</f>
        <v/>
      </c>
      <c r="F27" s="12">
        <f>COUNTIFS(Backlog!$C$2:$C$350,$A27,Backlog!$G$2:$G$350,"P3")</f>
        <v/>
      </c>
      <c r="G27" s="12">
        <f>B27-H27-COUNTIFS(Backlog!$C$2:$C$350,$A27,Backlog!$F$2:$F$350,"Cancelled")-COUNTIFS(Backlog!$C$2:$C$350,$A27,Backlog!$F$2:$F$350,"Obsolete")-COUNTIFS(Backlog!$C$2:$C$350,$A27,Backlog!$F$2:$F$350,"Later")</f>
        <v/>
      </c>
      <c r="H27" s="12">
        <f>COUNTIFS(Backlog!$C$2:$C$350,$A27,Backlog!$F$2:$F$350,"Done")</f>
        <v/>
      </c>
    </row>
    <row r="28">
      <c r="A28" s="5" t="inlineStr">
        <is>
          <t>Company, Brand &amp; Commercial Packaging</t>
        </is>
      </c>
      <c r="B28" s="12">
        <f>COUNTIF(Backlog!$C$2:$C$350,$A28)</f>
        <v/>
      </c>
      <c r="C28" s="12">
        <f>COUNTIFS(Backlog!$C$2:$C$350,$A28,Backlog!$G$2:$G$350,"P0")</f>
        <v/>
      </c>
      <c r="D28" s="12">
        <f>COUNTIFS(Backlog!$C$2:$C$350,$A28,Backlog!$G$2:$G$350,"P1")</f>
        <v/>
      </c>
      <c r="E28" s="12">
        <f>COUNTIFS(Backlog!$C$2:$C$350,$A28,Backlog!$G$2:$G$350,"P2")</f>
        <v/>
      </c>
      <c r="F28" s="12">
        <f>COUNTIFS(Backlog!$C$2:$C$350,$A28,Backlog!$G$2:$G$350,"P3")</f>
        <v/>
      </c>
      <c r="G28" s="12">
        <f>B28-H28-COUNTIFS(Backlog!$C$2:$C$350,$A28,Backlog!$F$2:$F$350,"Cancelled")-COUNTIFS(Backlog!$C$2:$C$350,$A28,Backlog!$F$2:$F$350,"Obsolete")-COUNTIFS(Backlog!$C$2:$C$350,$A28,Backlog!$F$2:$F$350,"Later")</f>
        <v/>
      </c>
      <c r="H28" s="12">
        <f>COUNTIFS(Backlog!$C$2:$C$350,$A28,Backlog!$F$2:$F$350,"Done")</f>
        <v/>
      </c>
    </row>
    <row r="29">
      <c r="A29" s="5" t="inlineStr">
        <is>
          <t>Online Demo</t>
        </is>
      </c>
      <c r="B29" s="12">
        <f>COUNTIF(Backlog!$C$2:$C$350,$A29)</f>
        <v/>
      </c>
      <c r="C29" s="12">
        <f>COUNTIFS(Backlog!$C$2:$C$350,$A29,Backlog!$G$2:$G$350,"P0")</f>
        <v/>
      </c>
      <c r="D29" s="12">
        <f>COUNTIFS(Backlog!$C$2:$C$350,$A29,Backlog!$G$2:$G$350,"P1")</f>
        <v/>
      </c>
      <c r="E29" s="12">
        <f>COUNTIFS(Backlog!$C$2:$C$350,$A29,Backlog!$G$2:$G$350,"P2")</f>
        <v/>
      </c>
      <c r="F29" s="12">
        <f>COUNTIFS(Backlog!$C$2:$C$350,$A29,Backlog!$G$2:$G$350,"P3")</f>
        <v/>
      </c>
      <c r="G29" s="12">
        <f>B29-H29-COUNTIFS(Backlog!$C$2:$C$350,$A29,Backlog!$F$2:$F$350,"Cancelled")-COUNTIFS(Backlog!$C$2:$C$350,$A29,Backlog!$F$2:$F$350,"Obsolete")-COUNTIFS(Backlog!$C$2:$C$350,$A29,Backlog!$F$2:$F$350,"Later")</f>
        <v/>
      </c>
      <c r="H29" s="12">
        <f>COUNTIFS(Backlog!$C$2:$C$350,$A29,Backlog!$F$2:$F$350,"Done")</f>
        <v/>
      </c>
    </row>
    <row r="30">
      <c r="A30" s="5" t="inlineStr">
        <is>
          <t>Commercial Website</t>
        </is>
      </c>
      <c r="B30" s="12">
        <f>COUNTIF(Backlog!$C$2:$C$350,$A30)</f>
        <v/>
      </c>
      <c r="C30" s="12">
        <f>COUNTIFS(Backlog!$C$2:$C$350,$A30,Backlog!$G$2:$G$350,"P0")</f>
        <v/>
      </c>
      <c r="D30" s="12">
        <f>COUNTIFS(Backlog!$C$2:$C$350,$A30,Backlog!$G$2:$G$350,"P1")</f>
        <v/>
      </c>
      <c r="E30" s="12">
        <f>COUNTIFS(Backlog!$C$2:$C$350,$A30,Backlog!$G$2:$G$350,"P2")</f>
        <v/>
      </c>
      <c r="F30" s="12">
        <f>COUNTIFS(Backlog!$C$2:$C$350,$A30,Backlog!$G$2:$G$350,"P3")</f>
        <v/>
      </c>
      <c r="G30" s="12">
        <f>B30-H30-COUNTIFS(Backlog!$C$2:$C$350,$A30,Backlog!$F$2:$F$350,"Cancelled")-COUNTIFS(Backlog!$C$2:$C$350,$A30,Backlog!$F$2:$F$350,"Obsolete")-COUNTIFS(Backlog!$C$2:$C$350,$A30,Backlog!$F$2:$F$350,"Later")</f>
        <v/>
      </c>
      <c r="H30" s="12">
        <f>COUNTIFS(Backlog!$C$2:$C$350,$A30,Backlog!$F$2:$F$350,"Done")</f>
        <v/>
      </c>
    </row>
    <row r="31">
      <c r="A31" s="5" t="inlineStr">
        <is>
          <t>Installation, Deployment &amp; Updates</t>
        </is>
      </c>
      <c r="B31" s="12">
        <f>COUNTIF(Backlog!$C$2:$C$350,$A31)</f>
        <v/>
      </c>
      <c r="C31" s="12">
        <f>COUNTIFS(Backlog!$C$2:$C$350,$A31,Backlog!$G$2:$G$350,"P0")</f>
        <v/>
      </c>
      <c r="D31" s="12">
        <f>COUNTIFS(Backlog!$C$2:$C$350,$A31,Backlog!$G$2:$G$350,"P1")</f>
        <v/>
      </c>
      <c r="E31" s="12">
        <f>COUNTIFS(Backlog!$C$2:$C$350,$A31,Backlog!$G$2:$G$350,"P2")</f>
        <v/>
      </c>
      <c r="F31" s="12">
        <f>COUNTIFS(Backlog!$C$2:$C$350,$A31,Backlog!$G$2:$G$350,"P3")</f>
        <v/>
      </c>
      <c r="G31" s="12">
        <f>B31-H31-COUNTIFS(Backlog!$C$2:$C$350,$A31,Backlog!$F$2:$F$350,"Cancelled")-COUNTIFS(Backlog!$C$2:$C$350,$A31,Backlog!$F$2:$F$350,"Obsolete")-COUNTIFS(Backlog!$C$2:$C$350,$A31,Backlog!$F$2:$F$350,"Later")</f>
        <v/>
      </c>
      <c r="H31" s="12">
        <f>COUNTIFS(Backlog!$C$2:$C$350,$A31,Backlog!$F$2:$F$350,"Done")</f>
        <v/>
      </c>
    </row>
    <row r="32">
      <c r="A32" s="5" t="inlineStr">
        <is>
          <t>Access, RLS, Sessions &amp; Security</t>
        </is>
      </c>
      <c r="B32" s="12">
        <f>COUNTIF(Backlog!$C$2:$C$350,$A32)</f>
        <v/>
      </c>
      <c r="C32" s="12">
        <f>COUNTIFS(Backlog!$C$2:$C$350,$A32,Backlog!$G$2:$G$350,"P0")</f>
        <v/>
      </c>
      <c r="D32" s="12">
        <f>COUNTIFS(Backlog!$C$2:$C$350,$A32,Backlog!$G$2:$G$350,"P1")</f>
        <v/>
      </c>
      <c r="E32" s="12">
        <f>COUNTIFS(Backlog!$C$2:$C$350,$A32,Backlog!$G$2:$G$350,"P2")</f>
        <v/>
      </c>
      <c r="F32" s="12">
        <f>COUNTIFS(Backlog!$C$2:$C$350,$A32,Backlog!$G$2:$G$350,"P3")</f>
        <v/>
      </c>
      <c r="G32" s="12">
        <f>B32-H32-COUNTIFS(Backlog!$C$2:$C$350,$A32,Backlog!$F$2:$F$350,"Cancelled")-COUNTIFS(Backlog!$C$2:$C$350,$A32,Backlog!$F$2:$F$350,"Obsolete")-COUNTIFS(Backlog!$C$2:$C$350,$A32,Backlog!$F$2:$F$350,"Later")</f>
        <v/>
      </c>
      <c r="H32" s="12">
        <f>COUNTIFS(Backlog!$C$2:$C$350,$A32,Backlog!$F$2:$F$350,"Done")</f>
        <v/>
      </c>
    </row>
    <row r="33">
      <c r="A33" s="5" t="inlineStr">
        <is>
          <t>Integration, Events &amp; API</t>
        </is>
      </c>
      <c r="B33" s="12">
        <f>COUNTIF(Backlog!$C$2:$C$350,$A33)</f>
        <v/>
      </c>
      <c r="C33" s="12">
        <f>COUNTIFS(Backlog!$C$2:$C$350,$A33,Backlog!$G$2:$G$350,"P0")</f>
        <v/>
      </c>
      <c r="D33" s="12">
        <f>COUNTIFS(Backlog!$C$2:$C$350,$A33,Backlog!$G$2:$G$350,"P1")</f>
        <v/>
      </c>
      <c r="E33" s="12">
        <f>COUNTIFS(Backlog!$C$2:$C$350,$A33,Backlog!$G$2:$G$350,"P2")</f>
        <v/>
      </c>
      <c r="F33" s="12">
        <f>COUNTIFS(Backlog!$C$2:$C$350,$A33,Backlog!$G$2:$G$350,"P3")</f>
        <v/>
      </c>
      <c r="G33" s="12">
        <f>B33-H33-COUNTIFS(Backlog!$C$2:$C$350,$A33,Backlog!$F$2:$F$350,"Cancelled")-COUNTIFS(Backlog!$C$2:$C$350,$A33,Backlog!$F$2:$F$350,"Obsolete")-COUNTIFS(Backlog!$C$2:$C$350,$A33,Backlog!$F$2:$F$350,"Later")</f>
        <v/>
      </c>
      <c r="H33" s="12">
        <f>COUNTIFS(Backlog!$C$2:$C$350,$A33,Backlog!$F$2:$F$350,"Done")</f>
        <v/>
      </c>
    </row>
    <row r="34">
      <c r="A34" s="5" t="inlineStr">
        <is>
          <t>Quality, Testing &amp; Performance</t>
        </is>
      </c>
      <c r="B34" s="12">
        <f>COUNTIF(Backlog!$C$2:$C$350,$A34)</f>
        <v/>
      </c>
      <c r="C34" s="12">
        <f>COUNTIFS(Backlog!$C$2:$C$350,$A34,Backlog!$G$2:$G$350,"P0")</f>
        <v/>
      </c>
      <c r="D34" s="12">
        <f>COUNTIFS(Backlog!$C$2:$C$350,$A34,Backlog!$G$2:$G$350,"P1")</f>
        <v/>
      </c>
      <c r="E34" s="12">
        <f>COUNTIFS(Backlog!$C$2:$C$350,$A34,Backlog!$G$2:$G$350,"P2")</f>
        <v/>
      </c>
      <c r="F34" s="12">
        <f>COUNTIFS(Backlog!$C$2:$C$350,$A34,Backlog!$G$2:$G$350,"P3")</f>
        <v/>
      </c>
      <c r="G34" s="12">
        <f>B34-H34-COUNTIFS(Backlog!$C$2:$C$350,$A34,Backlog!$F$2:$F$350,"Cancelled")-COUNTIFS(Backlog!$C$2:$C$350,$A34,Backlog!$F$2:$F$350,"Obsolete")-COUNTIFS(Backlog!$C$2:$C$350,$A34,Backlog!$F$2:$F$350,"Later")</f>
        <v/>
      </c>
      <c r="H34" s="12">
        <f>COUNTIFS(Backlog!$C$2:$C$350,$A34,Backlog!$F$2:$F$350,"Done")</f>
        <v/>
      </c>
    </row>
    <row r="35">
      <c r="A35" s="5" t="inlineStr">
        <is>
          <t>Persian Localization, RTL &amp; Jalali Calendar</t>
        </is>
      </c>
      <c r="B35" s="12">
        <f>COUNTIF(Backlog!$C$2:$C$350,$A35)</f>
        <v/>
      </c>
      <c r="C35" s="12">
        <f>COUNTIFS(Backlog!$C$2:$C$350,$A35,Backlog!$G$2:$G$350,"P0")</f>
        <v/>
      </c>
      <c r="D35" s="12">
        <f>COUNTIFS(Backlog!$C$2:$C$350,$A35,Backlog!$G$2:$G$350,"P1")</f>
        <v/>
      </c>
      <c r="E35" s="12">
        <f>COUNTIFS(Backlog!$C$2:$C$350,$A35,Backlog!$G$2:$G$350,"P2")</f>
        <v/>
      </c>
      <c r="F35" s="12">
        <f>COUNTIFS(Backlog!$C$2:$C$350,$A35,Backlog!$G$2:$G$350,"P3")</f>
        <v/>
      </c>
      <c r="G35" s="12">
        <f>B35-H35-COUNTIFS(Backlog!$C$2:$C$350,$A35,Backlog!$F$2:$F$350,"Cancelled")-COUNTIFS(Backlog!$C$2:$C$350,$A35,Backlog!$F$2:$F$350,"Obsolete")-COUNTIFS(Backlog!$C$2:$C$350,$A35,Backlog!$F$2:$F$350,"Later")</f>
        <v/>
      </c>
      <c r="H35" s="12">
        <f>COUNTIFS(Backlog!$C$2:$C$350,$A35,Backlog!$F$2:$F$350,"Done")</f>
        <v/>
      </c>
    </row>
    <row r="36">
      <c r="A36" s="5" t="inlineStr">
        <is>
          <t>Reporting, Dashboards &amp; Export</t>
        </is>
      </c>
      <c r="B36" s="12">
        <f>COUNTIF(Backlog!$C$2:$C$350,$A36)</f>
        <v/>
      </c>
      <c r="C36" s="12">
        <f>COUNTIFS(Backlog!$C$2:$C$350,$A36,Backlog!$G$2:$G$350,"P0")</f>
        <v/>
      </c>
      <c r="D36" s="12">
        <f>COUNTIFS(Backlog!$C$2:$C$350,$A36,Backlog!$G$2:$G$350,"P1")</f>
        <v/>
      </c>
      <c r="E36" s="12">
        <f>COUNTIFS(Backlog!$C$2:$C$350,$A36,Backlog!$G$2:$G$350,"P2")</f>
        <v/>
      </c>
      <c r="F36" s="12">
        <f>COUNTIFS(Backlog!$C$2:$C$350,$A36,Backlog!$G$2:$G$350,"P3")</f>
        <v/>
      </c>
      <c r="G36" s="12">
        <f>B36-H36-COUNTIFS(Backlog!$C$2:$C$350,$A36,Backlog!$F$2:$F$350,"Cancelled")-COUNTIFS(Backlog!$C$2:$C$350,$A36,Backlog!$F$2:$F$350,"Obsolete")-COUNTIFS(Backlog!$C$2:$C$350,$A36,Backlog!$F$2:$F$350,"Later")</f>
        <v/>
      </c>
      <c r="H36" s="12">
        <f>COUNTIFS(Backlog!$C$2:$C$350,$A36,Backlog!$F$2:$F$350,"Done")</f>
        <v/>
      </c>
    </row>
    <row r="37">
      <c r="A37" s="5" t="inlineStr">
        <is>
          <t>Artificial Intelligence</t>
        </is>
      </c>
      <c r="B37" s="12">
        <f>COUNTIF(Backlog!$C$2:$C$350,$A37)</f>
        <v/>
      </c>
      <c r="C37" s="12">
        <f>COUNTIFS(Backlog!$C$2:$C$350,$A37,Backlog!$G$2:$G$350,"P0")</f>
        <v/>
      </c>
      <c r="D37" s="12">
        <f>COUNTIFS(Backlog!$C$2:$C$350,$A37,Backlog!$G$2:$G$350,"P1")</f>
        <v/>
      </c>
      <c r="E37" s="12">
        <f>COUNTIFS(Backlog!$C$2:$C$350,$A37,Backlog!$G$2:$G$350,"P2")</f>
        <v/>
      </c>
      <c r="F37" s="12">
        <f>COUNTIFS(Backlog!$C$2:$C$350,$A37,Backlog!$G$2:$G$350,"P3")</f>
        <v/>
      </c>
      <c r="G37" s="12">
        <f>B37-H37-COUNTIFS(Backlog!$C$2:$C$350,$A37,Backlog!$F$2:$F$350,"Cancelled")-COUNTIFS(Backlog!$C$2:$C$350,$A37,Backlog!$F$2:$F$350,"Obsolete")-COUNTIFS(Backlog!$C$2:$C$350,$A37,Backlog!$F$2:$F$350,"Later")</f>
        <v/>
      </c>
      <c r="H37" s="12">
        <f>COUNTIFS(Backlog!$C$2:$C$350,$A37,Backlog!$F$2:$F$350,"Done")</f>
        <v/>
      </c>
    </row>
    <row r="38">
      <c r="A38" s="5" t="inlineStr">
        <is>
          <t>Domain: Engineering, EDMS/VDR &amp; Records</t>
        </is>
      </c>
      <c r="B38" s="12">
        <f>COUNTIF(Backlog!$C$2:$C$350,$A38)</f>
        <v/>
      </c>
      <c r="C38" s="12">
        <f>COUNTIFS(Backlog!$C$2:$C$350,$A38,Backlog!$G$2:$G$350,"P0")</f>
        <v/>
      </c>
      <c r="D38" s="12">
        <f>COUNTIFS(Backlog!$C$2:$C$350,$A38,Backlog!$G$2:$G$350,"P1")</f>
        <v/>
      </c>
      <c r="E38" s="12">
        <f>COUNTIFS(Backlog!$C$2:$C$350,$A38,Backlog!$G$2:$G$350,"P2")</f>
        <v/>
      </c>
      <c r="F38" s="12">
        <f>COUNTIFS(Backlog!$C$2:$C$350,$A38,Backlog!$G$2:$G$350,"P3")</f>
        <v/>
      </c>
      <c r="G38" s="12">
        <f>B38-H38-COUNTIFS(Backlog!$C$2:$C$350,$A38,Backlog!$F$2:$F$350,"Cancelled")-COUNTIFS(Backlog!$C$2:$C$350,$A38,Backlog!$F$2:$F$350,"Obsolete")-COUNTIFS(Backlog!$C$2:$C$350,$A38,Backlog!$F$2:$F$350,"Later")</f>
        <v/>
      </c>
      <c r="H38" s="12">
        <f>COUNTIFS(Backlog!$C$2:$C$350,$A38,Backlog!$F$2:$F$350,"Done")</f>
        <v/>
      </c>
    </row>
    <row r="39">
      <c r="A39" s="5" t="inlineStr">
        <is>
          <t>Domain: CMMS/EAM &amp; Field Operations</t>
        </is>
      </c>
      <c r="B39" s="12">
        <f>COUNTIF(Backlog!$C$2:$C$350,$A39)</f>
        <v/>
      </c>
      <c r="C39" s="12">
        <f>COUNTIFS(Backlog!$C$2:$C$350,$A39,Backlog!$G$2:$G$350,"P0")</f>
        <v/>
      </c>
      <c r="D39" s="12">
        <f>COUNTIFS(Backlog!$C$2:$C$350,$A39,Backlog!$G$2:$G$350,"P1")</f>
        <v/>
      </c>
      <c r="E39" s="12">
        <f>COUNTIFS(Backlog!$C$2:$C$350,$A39,Backlog!$G$2:$G$350,"P2")</f>
        <v/>
      </c>
      <c r="F39" s="12">
        <f>COUNTIFS(Backlog!$C$2:$C$350,$A39,Backlog!$G$2:$G$350,"P3")</f>
        <v/>
      </c>
      <c r="G39" s="12">
        <f>B39-H39-COUNTIFS(Backlog!$C$2:$C$350,$A39,Backlog!$F$2:$F$350,"Cancelled")-COUNTIFS(Backlog!$C$2:$C$350,$A39,Backlog!$F$2:$F$350,"Obsolete")-COUNTIFS(Backlog!$C$2:$C$350,$A39,Backlog!$F$2:$F$350,"Later")</f>
        <v/>
      </c>
      <c r="H39" s="12">
        <f>COUNTIFS(Backlog!$C$2:$C$350,$A39,Backlog!$F$2:$F$350,"Done")</f>
        <v/>
      </c>
    </row>
    <row r="40">
      <c r="A40" s="5" t="inlineStr">
        <is>
          <t>Domain: HR, Projects, Finance &amp; Procurement</t>
        </is>
      </c>
      <c r="B40" s="12">
        <f>COUNTIF(Backlog!$C$2:$C$350,$A40)</f>
        <v/>
      </c>
      <c r="C40" s="12">
        <f>COUNTIFS(Backlog!$C$2:$C$350,$A40,Backlog!$G$2:$G$350,"P0")</f>
        <v/>
      </c>
      <c r="D40" s="12">
        <f>COUNTIFS(Backlog!$C$2:$C$350,$A40,Backlog!$G$2:$G$350,"P1")</f>
        <v/>
      </c>
      <c r="E40" s="12">
        <f>COUNTIFS(Backlog!$C$2:$C$350,$A40,Backlog!$G$2:$G$350,"P2")</f>
        <v/>
      </c>
      <c r="F40" s="12">
        <f>COUNTIFS(Backlog!$C$2:$C$350,$A40,Backlog!$G$2:$G$350,"P3")</f>
        <v/>
      </c>
      <c r="G40" s="12">
        <f>B40-H40-COUNTIFS(Backlog!$C$2:$C$350,$A40,Backlog!$F$2:$F$350,"Cancelled")-COUNTIFS(Backlog!$C$2:$C$350,$A40,Backlog!$F$2:$F$350,"Obsolete")-COUNTIFS(Backlog!$C$2:$C$350,$A40,Backlog!$F$2:$F$350,"Later")</f>
        <v/>
      </c>
      <c r="H40" s="12">
        <f>COUNTIFS(Backlog!$C$2:$C$350,$A40,Backlog!$F$2:$F$350,"Done")</f>
        <v/>
      </c>
    </row>
    <row r="41">
      <c r="A41" s="5" t="inlineStr">
        <is>
          <t>Support, Operations &amp; Documentation</t>
        </is>
      </c>
      <c r="B41" s="12">
        <f>COUNTIF(Backlog!$C$2:$C$350,$A41)</f>
        <v/>
      </c>
      <c r="C41" s="12">
        <f>COUNTIFS(Backlog!$C$2:$C$350,$A41,Backlog!$G$2:$G$350,"P0")</f>
        <v/>
      </c>
      <c r="D41" s="12">
        <f>COUNTIFS(Backlog!$C$2:$C$350,$A41,Backlog!$G$2:$G$350,"P1")</f>
        <v/>
      </c>
      <c r="E41" s="12">
        <f>COUNTIFS(Backlog!$C$2:$C$350,$A41,Backlog!$G$2:$G$350,"P2")</f>
        <v/>
      </c>
      <c r="F41" s="12">
        <f>COUNTIFS(Backlog!$C$2:$C$350,$A41,Backlog!$G$2:$G$350,"P3")</f>
        <v/>
      </c>
      <c r="G41" s="12">
        <f>B41-H41-COUNTIFS(Backlog!$C$2:$C$350,$A41,Backlog!$F$2:$F$350,"Cancelled")-COUNTIFS(Backlog!$C$2:$C$350,$A41,Backlog!$F$2:$F$350,"Obsolete")-COUNTIFS(Backlog!$C$2:$C$350,$A41,Backlog!$F$2:$F$350,"Later")</f>
        <v/>
      </c>
      <c r="H41" s="12">
        <f>COUNTIFS(Backlog!$C$2:$C$350,$A41,Backlog!$F$2:$F$350,"Done")</f>
        <v/>
      </c>
    </row>
    <row r="42">
      <c r="A42" s="5" t="inlineStr">
        <is>
          <t>Existing PEMS Capabilities (estimated from code)</t>
        </is>
      </c>
      <c r="B42" s="12">
        <f>COUNTIF(Backlog!$C$2:$C$350,$A42)</f>
        <v/>
      </c>
      <c r="C42" s="12">
        <f>COUNTIFS(Backlog!$C$2:$C$350,$A42,Backlog!$G$2:$G$350,"P0")</f>
        <v/>
      </c>
      <c r="D42" s="12">
        <f>COUNTIFS(Backlog!$C$2:$C$350,$A42,Backlog!$G$2:$G$350,"P1")</f>
        <v/>
      </c>
      <c r="E42" s="12">
        <f>COUNTIFS(Backlog!$C$2:$C$350,$A42,Backlog!$G$2:$G$350,"P2")</f>
        <v/>
      </c>
      <c r="F42" s="12">
        <f>COUNTIFS(Backlog!$C$2:$C$350,$A42,Backlog!$G$2:$G$350,"P3")</f>
        <v/>
      </c>
      <c r="G42" s="12">
        <f>B42-H42-COUNTIFS(Backlog!$C$2:$C$350,$A42,Backlog!$F$2:$F$350,"Cancelled")-COUNTIFS(Backlog!$C$2:$C$350,$A42,Backlog!$F$2:$F$350,"Obsolete")-COUNTIFS(Backlog!$C$2:$C$350,$A42,Backlog!$F$2:$F$350,"Later")</f>
        <v/>
      </c>
      <c r="H42" s="12">
        <f>COUNTIFS(Backlog!$C$2:$C$350,$A42,Backlog!$F$2:$F$350,"Done")</f>
        <v/>
      </c>
    </row>
    <row r="43">
      <c r="A43" s="5" t="inlineStr">
        <is>
          <t>DevOps, Source Control &amp; Release Management</t>
        </is>
      </c>
      <c r="B43" s="12">
        <f>COUNTIF(Backlog!$C$2:$C$350,$A43)</f>
        <v/>
      </c>
      <c r="C43" s="12">
        <f>COUNTIFS(Backlog!$C$2:$C$350,$A43,Backlog!$G$2:$G$350,"P0")</f>
        <v/>
      </c>
      <c r="D43" s="12">
        <f>COUNTIFS(Backlog!$C$2:$C$350,$A43,Backlog!$G$2:$G$350,"P1")</f>
        <v/>
      </c>
      <c r="E43" s="12">
        <f>COUNTIFS(Backlog!$C$2:$C$350,$A43,Backlog!$G$2:$G$350,"P2")</f>
        <v/>
      </c>
      <c r="F43" s="12">
        <f>COUNTIFS(Backlog!$C$2:$C$350,$A43,Backlog!$G$2:$G$350,"P3")</f>
        <v/>
      </c>
      <c r="G43" s="12">
        <f>B43-H43-COUNTIFS(Backlog!$C$2:$C$350,$A43,Backlog!$F$2:$F$350,"Cancelled")-COUNTIFS(Backlog!$C$2:$C$350,$A43,Backlog!$F$2:$F$350,"Obsolete")-COUNTIFS(Backlog!$C$2:$C$350,$A43,Backlog!$F$2:$F$350,"Later")</f>
        <v/>
      </c>
      <c r="H43" s="12">
        <f>COUNTIFS(Backlog!$C$2:$C$350,$A43,Backlog!$F$2:$F$350,"Done")</f>
        <v/>
      </c>
    </row>
    <row r="44">
      <c r="A44" s="5" t="inlineStr">
        <is>
          <t>Customer Version &amp; Deployment Management</t>
        </is>
      </c>
      <c r="B44" s="12">
        <f>COUNTIF(Backlog!$C$2:$C$350,$A44)</f>
        <v/>
      </c>
      <c r="C44" s="12">
        <f>COUNTIFS(Backlog!$C$2:$C$350,$A44,Backlog!$G$2:$G$350,"P0")</f>
        <v/>
      </c>
      <c r="D44" s="12">
        <f>COUNTIFS(Backlog!$C$2:$C$350,$A44,Backlog!$G$2:$G$350,"P1")</f>
        <v/>
      </c>
      <c r="E44" s="12">
        <f>COUNTIFS(Backlog!$C$2:$C$350,$A44,Backlog!$G$2:$G$350,"P2")</f>
        <v/>
      </c>
      <c r="F44" s="12">
        <f>COUNTIFS(Backlog!$C$2:$C$350,$A44,Backlog!$G$2:$G$350,"P3")</f>
        <v/>
      </c>
      <c r="G44" s="12">
        <f>B44-H44-COUNTIFS(Backlog!$C$2:$C$350,$A44,Backlog!$F$2:$F$350,"Cancelled")-COUNTIFS(Backlog!$C$2:$C$350,$A44,Backlog!$F$2:$F$350,"Obsolete")-COUNTIFS(Backlog!$C$2:$C$350,$A44,Backlog!$F$2:$F$350,"Later")</f>
        <v/>
      </c>
      <c r="H44" s="12">
        <f>COUNTIFS(Backlog!$C$2:$C$350,$A44,Backlog!$F$2:$F$350,"Done")</f>
        <v/>
      </c>
    </row>
    <row r="45">
      <c r="A45" s="5" t="inlineStr">
        <is>
          <t>Supportability Matrix &amp; Module Versioning</t>
        </is>
      </c>
      <c r="B45" s="12">
        <f>COUNTIF(Backlog!$C$2:$C$350,$A45)</f>
        <v/>
      </c>
      <c r="C45" s="12">
        <f>COUNTIFS(Backlog!$C$2:$C$350,$A45,Backlog!$G$2:$G$350,"P0")</f>
        <v/>
      </c>
      <c r="D45" s="12">
        <f>COUNTIFS(Backlog!$C$2:$C$350,$A45,Backlog!$G$2:$G$350,"P1")</f>
        <v/>
      </c>
      <c r="E45" s="12">
        <f>COUNTIFS(Backlog!$C$2:$C$350,$A45,Backlog!$G$2:$G$350,"P2")</f>
        <v/>
      </c>
      <c r="F45" s="12">
        <f>COUNTIFS(Backlog!$C$2:$C$350,$A45,Backlog!$G$2:$G$350,"P3")</f>
        <v/>
      </c>
      <c r="G45" s="12">
        <f>B45-H45-COUNTIFS(Backlog!$C$2:$C$350,$A45,Backlog!$F$2:$F$350,"Cancelled")-COUNTIFS(Backlog!$C$2:$C$350,$A45,Backlog!$F$2:$F$350,"Obsolete")-COUNTIFS(Backlog!$C$2:$C$350,$A45,Backlog!$F$2:$F$350,"Later")</f>
        <v/>
      </c>
      <c r="H45" s="12">
        <f>COUNTIFS(Backlog!$C$2:$C$350,$A45,Backlog!$F$2:$F$350,"Done")</f>
        <v/>
      </c>
    </row>
    <row r="46">
      <c r="A46" s="5" t="inlineStr">
        <is>
          <t>Main Host: Landing &amp; Demo Deployment</t>
        </is>
      </c>
      <c r="B46" s="12">
        <f>COUNTIF(Backlog!$C$2:$C$350,$A46)</f>
        <v/>
      </c>
      <c r="C46" s="12">
        <f>COUNTIFS(Backlog!$C$2:$C$350,$A46,Backlog!$G$2:$G$350,"P0")</f>
        <v/>
      </c>
      <c r="D46" s="12">
        <f>COUNTIFS(Backlog!$C$2:$C$350,$A46,Backlog!$G$2:$G$350,"P1")</f>
        <v/>
      </c>
      <c r="E46" s="12">
        <f>COUNTIFS(Backlog!$C$2:$C$350,$A46,Backlog!$G$2:$G$350,"P2")</f>
        <v/>
      </c>
      <c r="F46" s="12">
        <f>COUNTIFS(Backlog!$C$2:$C$350,$A46,Backlog!$G$2:$G$350,"P3")</f>
        <v/>
      </c>
      <c r="G46" s="12">
        <f>B46-H46-COUNTIFS(Backlog!$C$2:$C$350,$A46,Backlog!$F$2:$F$350,"Cancelled")-COUNTIFS(Backlog!$C$2:$C$350,$A46,Backlog!$F$2:$F$350,"Obsolete")-COUNTIFS(Backlog!$C$2:$C$350,$A46,Backlog!$F$2:$F$350,"Later")</f>
        <v/>
      </c>
      <c r="H46" s="12">
        <f>COUNTIFS(Backlog!$C$2:$C$350,$A46,Backlog!$F$2:$F$350,"Done")</f>
        <v/>
      </c>
    </row>
    <row r="47">
      <c r="B47" s="12" t="n"/>
      <c r="C47" s="12" t="n"/>
      <c r="D47" s="12" t="n"/>
      <c r="E47" s="12" t="n"/>
      <c r="F47" s="12" t="n"/>
      <c r="G47" s="12" t="n"/>
      <c r="H47" s="12" t="n"/>
    </row>
    <row r="48">
      <c r="A48" s="6" t="inlineStr">
        <is>
          <t>Group (related tasks decided and planned together)</t>
        </is>
      </c>
      <c r="B48" s="12" t="n"/>
      <c r="C48" s="12" t="n"/>
      <c r="D48" s="12" t="n"/>
      <c r="E48" s="12" t="n"/>
      <c r="F48" s="12" t="n"/>
      <c r="G48" s="12" t="n"/>
      <c r="H48" s="12" t="n"/>
    </row>
    <row r="49">
      <c r="A49" s="9" t="inlineStr">
        <is>
          <t>Group</t>
        </is>
      </c>
      <c r="B49" s="9" t="inlineStr">
        <is>
          <t>Total</t>
        </is>
      </c>
      <c r="C49" s="9" t="inlineStr">
        <is>
          <t>Done</t>
        </is>
      </c>
      <c r="D49" s="9" t="inlineStr">
        <is>
          <t>Later</t>
        </is>
      </c>
      <c r="E49" s="9" t="inlineStr">
        <is>
          <t>Remaining</t>
        </is>
      </c>
      <c r="F49" s="9" t="inlineStr">
        <is>
          <t>Confirmed by PM</t>
        </is>
      </c>
      <c r="G49" s="12" t="n"/>
      <c r="H49" s="12" t="n"/>
    </row>
    <row r="50">
      <c r="A50" s="5" t="inlineStr">
        <is>
          <t>Foundation &amp; decisions</t>
        </is>
      </c>
      <c r="B50" s="12">
        <f>COUNTIF(Backlog!$R$2:$R$350,$A50)</f>
        <v/>
      </c>
      <c r="C50" s="12">
        <f>COUNTIFS(Backlog!$R$2:$R$350,$A50,Backlog!$F$2:$F$350,"Done")</f>
        <v/>
      </c>
      <c r="D50" s="12">
        <f>COUNTIFS(Backlog!$R$2:$R$350,$A50,Backlog!$F$2:$F$350,"Later")</f>
        <v/>
      </c>
      <c r="E50" s="12">
        <f>B50-C50-D50-COUNTIFS(Backlog!$R$2:$R$350,$A50,Backlog!$F$2:$F$350,"Cancelled")-COUNTIFS(Backlog!$R$2:$R$350,$A50,Backlog!$F$2:$F$350,"Obsolete")</f>
        <v/>
      </c>
      <c r="F50" s="12">
        <f>COUNTIFS(Backlog!$R$2:$R$350,$A50,Backlog!$S$2:$S$350,"Yes")</f>
        <v/>
      </c>
      <c r="G50" s="12" t="n"/>
      <c r="H50" s="12" t="n"/>
    </row>
    <row r="51">
      <c r="A51" s="5" t="inlineStr">
        <is>
          <t>Dynamic data core</t>
        </is>
      </c>
      <c r="B51" s="12">
        <f>COUNTIF(Backlog!$R$2:$R$350,$A51)</f>
        <v/>
      </c>
      <c r="C51" s="12">
        <f>COUNTIFS(Backlog!$R$2:$R$350,$A51,Backlog!$F$2:$F$350,"Done")</f>
        <v/>
      </c>
      <c r="D51" s="12">
        <f>COUNTIFS(Backlog!$R$2:$R$350,$A51,Backlog!$F$2:$F$350,"Later")</f>
        <v/>
      </c>
      <c r="E51" s="12">
        <f>B51-C51-D51-COUNTIFS(Backlog!$R$2:$R$350,$A51,Backlog!$F$2:$F$350,"Cancelled")-COUNTIFS(Backlog!$R$2:$R$350,$A51,Backlog!$F$2:$F$350,"Obsolete")</f>
        <v/>
      </c>
      <c r="F51" s="12">
        <f>COUNTIFS(Backlog!$R$2:$R$350,$A51,Backlog!$S$2:$S$350,"Yes")</f>
        <v/>
      </c>
      <c r="G51" s="12" t="n"/>
      <c r="H51" s="12" t="n"/>
    </row>
    <row r="52">
      <c r="A52" s="5" t="inlineStr">
        <is>
          <t>UI component library</t>
        </is>
      </c>
      <c r="B52" s="12">
        <f>COUNTIF(Backlog!$R$2:$R$350,$A52)</f>
        <v/>
      </c>
      <c r="C52" s="12">
        <f>COUNTIFS(Backlog!$R$2:$R$350,$A52,Backlog!$F$2:$F$350,"Done")</f>
        <v/>
      </c>
      <c r="D52" s="12">
        <f>COUNTIFS(Backlog!$R$2:$R$350,$A52,Backlog!$F$2:$F$350,"Later")</f>
        <v/>
      </c>
      <c r="E52" s="12">
        <f>B52-C52-D52-COUNTIFS(Backlog!$R$2:$R$350,$A52,Backlog!$F$2:$F$350,"Cancelled")-COUNTIFS(Backlog!$R$2:$R$350,$A52,Backlog!$F$2:$F$350,"Obsolete")</f>
        <v/>
      </c>
      <c r="F52" s="12">
        <f>COUNTIFS(Backlog!$R$2:$R$350,$A52,Backlog!$S$2:$S$350,"Yes")</f>
        <v/>
      </c>
      <c r="G52" s="12" t="n"/>
      <c r="H52" s="12" t="n"/>
    </row>
    <row r="53">
      <c r="A53" s="5" t="inlineStr">
        <is>
          <t>Form builder</t>
        </is>
      </c>
      <c r="B53" s="12">
        <f>COUNTIF(Backlog!$R$2:$R$350,$A53)</f>
        <v/>
      </c>
      <c r="C53" s="12">
        <f>COUNTIFS(Backlog!$R$2:$R$350,$A53,Backlog!$F$2:$F$350,"Done")</f>
        <v/>
      </c>
      <c r="D53" s="12">
        <f>COUNTIFS(Backlog!$R$2:$R$350,$A53,Backlog!$F$2:$F$350,"Later")</f>
        <v/>
      </c>
      <c r="E53" s="12">
        <f>B53-C53-D53-COUNTIFS(Backlog!$R$2:$R$350,$A53,Backlog!$F$2:$F$350,"Cancelled")-COUNTIFS(Backlog!$R$2:$R$350,$A53,Backlog!$F$2:$F$350,"Obsolete")</f>
        <v/>
      </c>
      <c r="F53" s="12">
        <f>COUNTIFS(Backlog!$R$2:$R$350,$A53,Backlog!$S$2:$S$350,"Yes")</f>
        <v/>
      </c>
      <c r="G53" s="12" t="n"/>
      <c r="H53" s="12" t="n"/>
    </row>
    <row r="54">
      <c r="A54" s="5" t="inlineStr">
        <is>
          <t>Module builder</t>
        </is>
      </c>
      <c r="B54" s="12">
        <f>COUNTIF(Backlog!$R$2:$R$350,$A54)</f>
        <v/>
      </c>
      <c r="C54" s="12">
        <f>COUNTIFS(Backlog!$R$2:$R$350,$A54,Backlog!$F$2:$F$350,"Done")</f>
        <v/>
      </c>
      <c r="D54" s="12">
        <f>COUNTIFS(Backlog!$R$2:$R$350,$A54,Backlog!$F$2:$F$350,"Later")</f>
        <v/>
      </c>
      <c r="E54" s="12">
        <f>B54-C54-D54-COUNTIFS(Backlog!$R$2:$R$350,$A54,Backlog!$F$2:$F$350,"Cancelled")-COUNTIFS(Backlog!$R$2:$R$350,$A54,Backlog!$F$2:$F$350,"Obsolete")</f>
        <v/>
      </c>
      <c r="F54" s="12">
        <f>COUNTIFS(Backlog!$R$2:$R$350,$A54,Backlog!$S$2:$S$350,"Yes")</f>
        <v/>
      </c>
      <c r="G54" s="12" t="n"/>
      <c r="H54" s="12" t="n"/>
    </row>
    <row r="55">
      <c r="A55" s="5" t="inlineStr">
        <is>
          <t>Workflow studio &amp; BPMS</t>
        </is>
      </c>
      <c r="B55" s="12">
        <f>COUNTIF(Backlog!$R$2:$R$350,$A55)</f>
        <v/>
      </c>
      <c r="C55" s="12">
        <f>COUNTIFS(Backlog!$R$2:$R$350,$A55,Backlog!$F$2:$F$350,"Done")</f>
        <v/>
      </c>
      <c r="D55" s="12">
        <f>COUNTIFS(Backlog!$R$2:$R$350,$A55,Backlog!$F$2:$F$350,"Later")</f>
        <v/>
      </c>
      <c r="E55" s="12">
        <f>B55-C55-D55-COUNTIFS(Backlog!$R$2:$R$350,$A55,Backlog!$F$2:$F$350,"Cancelled")-COUNTIFS(Backlog!$R$2:$R$350,$A55,Backlog!$F$2:$F$350,"Obsolete")</f>
        <v/>
      </c>
      <c r="F55" s="12">
        <f>COUNTIFS(Backlog!$R$2:$R$350,$A55,Backlog!$S$2:$S$350,"Yes")</f>
        <v/>
      </c>
      <c r="G55" s="12" t="n"/>
      <c r="H55" s="12" t="n"/>
    </row>
    <row r="56">
      <c r="A56" s="5" t="inlineStr">
        <is>
          <t>Static-to-dynamic migration</t>
        </is>
      </c>
      <c r="B56" s="12">
        <f>COUNTIF(Backlog!$R$2:$R$350,$A56)</f>
        <v/>
      </c>
      <c r="C56" s="12">
        <f>COUNTIFS(Backlog!$R$2:$R$350,$A56,Backlog!$F$2:$F$350,"Done")</f>
        <v/>
      </c>
      <c r="D56" s="12">
        <f>COUNTIFS(Backlog!$R$2:$R$350,$A56,Backlog!$F$2:$F$350,"Later")</f>
        <v/>
      </c>
      <c r="E56" s="12">
        <f>B56-C56-D56-COUNTIFS(Backlog!$R$2:$R$350,$A56,Backlog!$F$2:$F$350,"Cancelled")-COUNTIFS(Backlog!$R$2:$R$350,$A56,Backlog!$F$2:$F$350,"Obsolete")</f>
        <v/>
      </c>
      <c r="F56" s="12">
        <f>COUNTIFS(Backlog!$R$2:$R$350,$A56,Backlog!$S$2:$S$350,"Yes")</f>
        <v/>
      </c>
      <c r="G56" s="12" t="n"/>
      <c r="H56" s="12" t="n"/>
    </row>
    <row r="57">
      <c r="A57" s="5" t="inlineStr">
        <is>
          <t>Licensing chain</t>
        </is>
      </c>
      <c r="B57" s="12">
        <f>COUNTIF(Backlog!$R$2:$R$350,$A57)</f>
        <v/>
      </c>
      <c r="C57" s="12">
        <f>COUNTIFS(Backlog!$R$2:$R$350,$A57,Backlog!$F$2:$F$350,"Done")</f>
        <v/>
      </c>
      <c r="D57" s="12">
        <f>COUNTIFS(Backlog!$R$2:$R$350,$A57,Backlog!$F$2:$F$350,"Later")</f>
        <v/>
      </c>
      <c r="E57" s="12">
        <f>B57-C57-D57-COUNTIFS(Backlog!$R$2:$R$350,$A57,Backlog!$F$2:$F$350,"Cancelled")-COUNTIFS(Backlog!$R$2:$R$350,$A57,Backlog!$F$2:$F$350,"Obsolete")</f>
        <v/>
      </c>
      <c r="F57" s="12">
        <f>COUNTIFS(Backlog!$R$2:$R$350,$A57,Backlog!$S$2:$S$350,"Yes")</f>
        <v/>
      </c>
      <c r="G57" s="12" t="n"/>
      <c r="H57" s="12" t="n"/>
    </row>
    <row r="58">
      <c r="A58" s="5" t="inlineStr">
        <is>
          <t>Company, brand &amp; legal</t>
        </is>
      </c>
      <c r="B58" s="12">
        <f>COUNTIF(Backlog!$R$2:$R$350,$A58)</f>
        <v/>
      </c>
      <c r="C58" s="12">
        <f>COUNTIFS(Backlog!$R$2:$R$350,$A58,Backlog!$F$2:$F$350,"Done")</f>
        <v/>
      </c>
      <c r="D58" s="12">
        <f>COUNTIFS(Backlog!$R$2:$R$350,$A58,Backlog!$F$2:$F$350,"Later")</f>
        <v/>
      </c>
      <c r="E58" s="12">
        <f>B58-C58-D58-COUNTIFS(Backlog!$R$2:$R$350,$A58,Backlog!$F$2:$F$350,"Cancelled")-COUNTIFS(Backlog!$R$2:$R$350,$A58,Backlog!$F$2:$F$350,"Obsolete")</f>
        <v/>
      </c>
      <c r="F58" s="12">
        <f>COUNTIFS(Backlog!$R$2:$R$350,$A58,Backlog!$S$2:$S$350,"Yes")</f>
        <v/>
      </c>
      <c r="G58" s="12" t="n"/>
      <c r="H58" s="12" t="n"/>
    </row>
    <row r="59">
      <c r="A59" s="5" t="inlineStr">
        <is>
          <t>Online demo</t>
        </is>
      </c>
      <c r="B59" s="12">
        <f>COUNTIF(Backlog!$R$2:$R$350,$A59)</f>
        <v/>
      </c>
      <c r="C59" s="12">
        <f>COUNTIFS(Backlog!$R$2:$R$350,$A59,Backlog!$F$2:$F$350,"Done")</f>
        <v/>
      </c>
      <c r="D59" s="12">
        <f>COUNTIFS(Backlog!$R$2:$R$350,$A59,Backlog!$F$2:$F$350,"Later")</f>
        <v/>
      </c>
      <c r="E59" s="12">
        <f>B59-C59-D59-COUNTIFS(Backlog!$R$2:$R$350,$A59,Backlog!$F$2:$F$350,"Cancelled")-COUNTIFS(Backlog!$R$2:$R$350,$A59,Backlog!$F$2:$F$350,"Obsolete")</f>
        <v/>
      </c>
      <c r="F59" s="12">
        <f>COUNTIFS(Backlog!$R$2:$R$350,$A59,Backlog!$S$2:$S$350,"Yes")</f>
        <v/>
      </c>
      <c r="G59" s="12" t="n"/>
      <c r="H59" s="12" t="n"/>
    </row>
    <row r="60">
      <c r="A60" s="5" t="inlineStr">
        <is>
          <t>Commercial website</t>
        </is>
      </c>
      <c r="B60" s="12">
        <f>COUNTIF(Backlog!$R$2:$R$350,$A60)</f>
        <v/>
      </c>
      <c r="C60" s="12">
        <f>COUNTIFS(Backlog!$R$2:$R$350,$A60,Backlog!$F$2:$F$350,"Done")</f>
        <v/>
      </c>
      <c r="D60" s="12">
        <f>COUNTIFS(Backlog!$R$2:$R$350,$A60,Backlog!$F$2:$F$350,"Later")</f>
        <v/>
      </c>
      <c r="E60" s="12">
        <f>B60-C60-D60-COUNTIFS(Backlog!$R$2:$R$350,$A60,Backlog!$F$2:$F$350,"Cancelled")-COUNTIFS(Backlog!$R$2:$R$350,$A60,Backlog!$F$2:$F$350,"Obsolete")</f>
        <v/>
      </c>
      <c r="F60" s="12">
        <f>COUNTIFS(Backlog!$R$2:$R$350,$A60,Backlog!$S$2:$S$350,"Yes")</f>
        <v/>
      </c>
      <c r="G60" s="12" t="n"/>
      <c r="H60" s="12" t="n"/>
    </row>
    <row r="61">
      <c r="A61" s="5" t="inlineStr">
        <is>
          <t>Install &amp; update</t>
        </is>
      </c>
      <c r="B61" s="12">
        <f>COUNTIF(Backlog!$R$2:$R$350,$A61)</f>
        <v/>
      </c>
      <c r="C61" s="12">
        <f>COUNTIFS(Backlog!$R$2:$R$350,$A61,Backlog!$F$2:$F$350,"Done")</f>
        <v/>
      </c>
      <c r="D61" s="12">
        <f>COUNTIFS(Backlog!$R$2:$R$350,$A61,Backlog!$F$2:$F$350,"Later")</f>
        <v/>
      </c>
      <c r="E61" s="12">
        <f>B61-C61-D61-COUNTIFS(Backlog!$R$2:$R$350,$A61,Backlog!$F$2:$F$350,"Cancelled")-COUNTIFS(Backlog!$R$2:$R$350,$A61,Backlog!$F$2:$F$350,"Obsolete")</f>
        <v/>
      </c>
      <c r="F61" s="12">
        <f>COUNTIFS(Backlog!$R$2:$R$350,$A61,Backlog!$S$2:$S$350,"Yes")</f>
        <v/>
      </c>
      <c r="G61" s="12" t="n"/>
      <c r="H61" s="12" t="n"/>
    </row>
    <row r="62">
      <c r="A62" s="5" t="inlineStr">
        <is>
          <t>Security &amp; access</t>
        </is>
      </c>
      <c r="B62" s="12">
        <f>COUNTIF(Backlog!$R$2:$R$350,$A62)</f>
        <v/>
      </c>
      <c r="C62" s="12">
        <f>COUNTIFS(Backlog!$R$2:$R$350,$A62,Backlog!$F$2:$F$350,"Done")</f>
        <v/>
      </c>
      <c r="D62" s="12">
        <f>COUNTIFS(Backlog!$R$2:$R$350,$A62,Backlog!$F$2:$F$350,"Later")</f>
        <v/>
      </c>
      <c r="E62" s="12">
        <f>B62-C62-D62-COUNTIFS(Backlog!$R$2:$R$350,$A62,Backlog!$F$2:$F$350,"Cancelled")-COUNTIFS(Backlog!$R$2:$R$350,$A62,Backlog!$F$2:$F$350,"Obsolete")</f>
        <v/>
      </c>
      <c r="F62" s="12">
        <f>COUNTIFS(Backlog!$R$2:$R$350,$A62,Backlog!$S$2:$S$350,"Yes")</f>
        <v/>
      </c>
      <c r="G62" s="12" t="n"/>
      <c r="H62" s="12" t="n"/>
    </row>
    <row r="63">
      <c r="A63" s="5" t="inlineStr">
        <is>
          <t>Integration &amp; API</t>
        </is>
      </c>
      <c r="B63" s="12">
        <f>COUNTIF(Backlog!$R$2:$R$350,$A63)</f>
        <v/>
      </c>
      <c r="C63" s="12">
        <f>COUNTIFS(Backlog!$R$2:$R$350,$A63,Backlog!$F$2:$F$350,"Done")</f>
        <v/>
      </c>
      <c r="D63" s="12">
        <f>COUNTIFS(Backlog!$R$2:$R$350,$A63,Backlog!$F$2:$F$350,"Later")</f>
        <v/>
      </c>
      <c r="E63" s="12">
        <f>B63-C63-D63-COUNTIFS(Backlog!$R$2:$R$350,$A63,Backlog!$F$2:$F$350,"Cancelled")-COUNTIFS(Backlog!$R$2:$R$350,$A63,Backlog!$F$2:$F$350,"Obsolete")</f>
        <v/>
      </c>
      <c r="F63" s="12">
        <f>COUNTIFS(Backlog!$R$2:$R$350,$A63,Backlog!$S$2:$S$350,"Yes")</f>
        <v/>
      </c>
      <c r="G63" s="12" t="n"/>
      <c r="H63" s="12" t="n"/>
    </row>
    <row r="64">
      <c r="A64" s="5" t="inlineStr">
        <is>
          <t>Quality &amp; performance</t>
        </is>
      </c>
      <c r="B64" s="12">
        <f>COUNTIF(Backlog!$R$2:$R$350,$A64)</f>
        <v/>
      </c>
      <c r="C64" s="12">
        <f>COUNTIFS(Backlog!$R$2:$R$350,$A64,Backlog!$F$2:$F$350,"Done")</f>
        <v/>
      </c>
      <c r="D64" s="12">
        <f>COUNTIFS(Backlog!$R$2:$R$350,$A64,Backlog!$F$2:$F$350,"Later")</f>
        <v/>
      </c>
      <c r="E64" s="12">
        <f>B64-C64-D64-COUNTIFS(Backlog!$R$2:$R$350,$A64,Backlog!$F$2:$F$350,"Cancelled")-COUNTIFS(Backlog!$R$2:$R$350,$A64,Backlog!$F$2:$F$350,"Obsolete")</f>
        <v/>
      </c>
      <c r="F64" s="12">
        <f>COUNTIFS(Backlog!$R$2:$R$350,$A64,Backlog!$S$2:$S$350,"Yes")</f>
        <v/>
      </c>
      <c r="G64" s="12" t="n"/>
      <c r="H64" s="12" t="n"/>
    </row>
    <row r="65">
      <c r="A65" s="5" t="inlineStr">
        <is>
          <t>Persian localization</t>
        </is>
      </c>
      <c r="B65" s="12">
        <f>COUNTIF(Backlog!$R$2:$R$350,$A65)</f>
        <v/>
      </c>
      <c r="C65" s="12">
        <f>COUNTIFS(Backlog!$R$2:$R$350,$A65,Backlog!$F$2:$F$350,"Done")</f>
        <v/>
      </c>
      <c r="D65" s="12">
        <f>COUNTIFS(Backlog!$R$2:$R$350,$A65,Backlog!$F$2:$F$350,"Later")</f>
        <v/>
      </c>
      <c r="E65" s="12">
        <f>B65-C65-D65-COUNTIFS(Backlog!$R$2:$R$350,$A65,Backlog!$F$2:$F$350,"Cancelled")-COUNTIFS(Backlog!$R$2:$R$350,$A65,Backlog!$F$2:$F$350,"Obsolete")</f>
        <v/>
      </c>
      <c r="F65" s="12">
        <f>COUNTIFS(Backlog!$R$2:$R$350,$A65,Backlog!$S$2:$S$350,"Yes")</f>
        <v/>
      </c>
      <c r="G65" s="12" t="n"/>
      <c r="H65" s="12" t="n"/>
    </row>
    <row r="66">
      <c r="A66" s="5" t="inlineStr">
        <is>
          <t>Reporting</t>
        </is>
      </c>
      <c r="B66" s="12">
        <f>COUNTIF(Backlog!$R$2:$R$350,$A66)</f>
        <v/>
      </c>
      <c r="C66" s="12">
        <f>COUNTIFS(Backlog!$R$2:$R$350,$A66,Backlog!$F$2:$F$350,"Done")</f>
        <v/>
      </c>
      <c r="D66" s="12">
        <f>COUNTIFS(Backlog!$R$2:$R$350,$A66,Backlog!$F$2:$F$350,"Later")</f>
        <v/>
      </c>
      <c r="E66" s="12">
        <f>B66-C66-D66-COUNTIFS(Backlog!$R$2:$R$350,$A66,Backlog!$F$2:$F$350,"Cancelled")-COUNTIFS(Backlog!$R$2:$R$350,$A66,Backlog!$F$2:$F$350,"Obsolete")</f>
        <v/>
      </c>
      <c r="F66" s="12">
        <f>COUNTIFS(Backlog!$R$2:$R$350,$A66,Backlog!$S$2:$S$350,"Yes")</f>
        <v/>
      </c>
      <c r="G66" s="12" t="n"/>
      <c r="H66" s="12" t="n"/>
    </row>
    <row r="67">
      <c r="A67" s="5" t="inlineStr">
        <is>
          <t>AI</t>
        </is>
      </c>
      <c r="B67" s="12">
        <f>COUNTIF(Backlog!$R$2:$R$350,$A67)</f>
        <v/>
      </c>
      <c r="C67" s="12">
        <f>COUNTIFS(Backlog!$R$2:$R$350,$A67,Backlog!$F$2:$F$350,"Done")</f>
        <v/>
      </c>
      <c r="D67" s="12">
        <f>COUNTIFS(Backlog!$R$2:$R$350,$A67,Backlog!$F$2:$F$350,"Later")</f>
        <v/>
      </c>
      <c r="E67" s="12">
        <f>B67-C67-D67-COUNTIFS(Backlog!$R$2:$R$350,$A67,Backlog!$F$2:$F$350,"Cancelled")-COUNTIFS(Backlog!$R$2:$R$350,$A67,Backlog!$F$2:$F$350,"Obsolete")</f>
        <v/>
      </c>
      <c r="F67" s="12">
        <f>COUNTIFS(Backlog!$R$2:$R$350,$A67,Backlog!$S$2:$S$350,"Yes")</f>
        <v/>
      </c>
      <c r="G67" s="12" t="n"/>
      <c r="H67" s="12" t="n"/>
    </row>
    <row r="68">
      <c r="A68" s="5" t="inlineStr">
        <is>
          <t>Domain modules</t>
        </is>
      </c>
      <c r="B68" s="12">
        <f>COUNTIF(Backlog!$R$2:$R$350,$A68)</f>
        <v/>
      </c>
      <c r="C68" s="12">
        <f>COUNTIFS(Backlog!$R$2:$R$350,$A68,Backlog!$F$2:$F$350,"Done")</f>
        <v/>
      </c>
      <c r="D68" s="12">
        <f>COUNTIFS(Backlog!$R$2:$R$350,$A68,Backlog!$F$2:$F$350,"Later")</f>
        <v/>
      </c>
      <c r="E68" s="12">
        <f>B68-C68-D68-COUNTIFS(Backlog!$R$2:$R$350,$A68,Backlog!$F$2:$F$350,"Cancelled")-COUNTIFS(Backlog!$R$2:$R$350,$A68,Backlog!$F$2:$F$350,"Obsolete")</f>
        <v/>
      </c>
      <c r="F68" s="12">
        <f>COUNTIFS(Backlog!$R$2:$R$350,$A68,Backlog!$S$2:$S$350,"Yes")</f>
        <v/>
      </c>
      <c r="G68" s="12" t="n"/>
      <c r="H68" s="12" t="n"/>
    </row>
    <row r="69">
      <c r="A69" s="5" t="inlineStr">
        <is>
          <t>Support &amp; documentation</t>
        </is>
      </c>
      <c r="B69" s="12">
        <f>COUNTIF(Backlog!$R$2:$R$350,$A69)</f>
        <v/>
      </c>
      <c r="C69" s="12">
        <f>COUNTIFS(Backlog!$R$2:$R$350,$A69,Backlog!$F$2:$F$350,"Done")</f>
        <v/>
      </c>
      <c r="D69" s="12">
        <f>COUNTIFS(Backlog!$R$2:$R$350,$A69,Backlog!$F$2:$F$350,"Later")</f>
        <v/>
      </c>
      <c r="E69" s="12">
        <f>B69-C69-D69-COUNTIFS(Backlog!$R$2:$R$350,$A69,Backlog!$F$2:$F$350,"Cancelled")-COUNTIFS(Backlog!$R$2:$R$350,$A69,Backlog!$F$2:$F$350,"Obsolete")</f>
        <v/>
      </c>
      <c r="F69" s="12">
        <f>COUNTIFS(Backlog!$R$2:$R$350,$A69,Backlog!$S$2:$S$350,"Yes")</f>
        <v/>
      </c>
      <c r="G69" s="12" t="n"/>
      <c r="H69" s="12" t="n"/>
    </row>
    <row r="70">
      <c r="A70" s="5" t="inlineStr">
        <is>
          <t>Existing capabilities</t>
        </is>
      </c>
      <c r="B70" s="12">
        <f>COUNTIF(Backlog!$R$2:$R$350,$A70)</f>
        <v/>
      </c>
      <c r="C70" s="12">
        <f>COUNTIFS(Backlog!$R$2:$R$350,$A70,Backlog!$F$2:$F$350,"Done")</f>
        <v/>
      </c>
      <c r="D70" s="12">
        <f>COUNTIFS(Backlog!$R$2:$R$350,$A70,Backlog!$F$2:$F$350,"Later")</f>
        <v/>
      </c>
      <c r="E70" s="12">
        <f>B70-C70-D70-COUNTIFS(Backlog!$R$2:$R$350,$A70,Backlog!$F$2:$F$350,"Cancelled")-COUNTIFS(Backlog!$R$2:$R$350,$A70,Backlog!$F$2:$F$350,"Obsolete")</f>
        <v/>
      </c>
      <c r="F70" s="12">
        <f>COUNTIFS(Backlog!$R$2:$R$350,$A70,Backlog!$S$2:$S$350,"Yes")</f>
        <v/>
      </c>
      <c r="G70" s="12" t="n"/>
      <c r="H70" s="12" t="n"/>
    </row>
    <row r="71">
      <c r="A71" s="5" t="inlineStr">
        <is>
          <t>DevOps &amp; release</t>
        </is>
      </c>
      <c r="B71" s="12">
        <f>COUNTIF(Backlog!$R$2:$R$350,$A71)</f>
        <v/>
      </c>
      <c r="C71" s="12">
        <f>COUNTIFS(Backlog!$R$2:$R$350,$A71,Backlog!$F$2:$F$350,"Done")</f>
        <v/>
      </c>
      <c r="D71" s="12">
        <f>COUNTIFS(Backlog!$R$2:$R$350,$A71,Backlog!$F$2:$F$350,"Later")</f>
        <v/>
      </c>
      <c r="E71" s="12">
        <f>B71-C71-D71-COUNTIFS(Backlog!$R$2:$R$350,$A71,Backlog!$F$2:$F$350,"Cancelled")-COUNTIFS(Backlog!$R$2:$R$350,$A71,Backlog!$F$2:$F$350,"Obsolete")</f>
        <v/>
      </c>
      <c r="F71" s="12">
        <f>COUNTIFS(Backlog!$R$2:$R$350,$A71,Backlog!$S$2:$S$350,"Yes")</f>
        <v/>
      </c>
      <c r="G71" s="12" t="n"/>
      <c r="H71" s="12" t="n"/>
    </row>
    <row r="72">
      <c r="A72" s="5" t="inlineStr">
        <is>
          <t>Customer &amp; module versions</t>
        </is>
      </c>
      <c r="B72" s="12">
        <f>COUNTIF(Backlog!$R$2:$R$350,$A72)</f>
        <v/>
      </c>
      <c r="C72" s="12">
        <f>COUNTIFS(Backlog!$R$2:$R$350,$A72,Backlog!$F$2:$F$350,"Done")</f>
        <v/>
      </c>
      <c r="D72" s="12">
        <f>COUNTIFS(Backlog!$R$2:$R$350,$A72,Backlog!$F$2:$F$350,"Later")</f>
        <v/>
      </c>
      <c r="E72" s="12">
        <f>B72-C72-D72-COUNTIFS(Backlog!$R$2:$R$350,$A72,Backlog!$F$2:$F$350,"Cancelled")-COUNTIFS(Backlog!$R$2:$R$350,$A72,Backlog!$F$2:$F$350,"Obsolete")</f>
        <v/>
      </c>
      <c r="F72" s="12">
        <f>COUNTIFS(Backlog!$R$2:$R$350,$A72,Backlog!$S$2:$S$350,"Yes")</f>
        <v/>
      </c>
      <c r="G72" s="12" t="n"/>
      <c r="H72" s="12" t="n"/>
    </row>
    <row r="73">
      <c r="A73" s="5" t="inlineStr">
        <is>
          <t>Main host: landing &amp; demo deployment</t>
        </is>
      </c>
      <c r="B73" s="12">
        <f>COUNTIF(Backlog!$R$2:$R$350,$A73)</f>
        <v/>
      </c>
      <c r="C73" s="12">
        <f>COUNTIFS(Backlog!$R$2:$R$350,$A73,Backlog!$F$2:$F$350,"Done")</f>
        <v/>
      </c>
      <c r="D73" s="12">
        <f>COUNTIFS(Backlog!$R$2:$R$350,$A73,Backlog!$F$2:$F$350,"Later")</f>
        <v/>
      </c>
      <c r="E73" s="12">
        <f>B73-C73-D73-COUNTIFS(Backlog!$R$2:$R$350,$A73,Backlog!$F$2:$F$350,"Cancelled")-COUNTIFS(Backlog!$R$2:$R$350,$A73,Backlog!$F$2:$F$350,"Obsolete")</f>
        <v/>
      </c>
      <c r="F73" s="12">
        <f>COUNTIFS(Backlog!$R$2:$R$350,$A73,Backlog!$S$2:$S$350,"Yes")</f>
        <v/>
      </c>
      <c r="G73" s="12" t="n"/>
      <c r="H73" s="12" t="n"/>
    </row>
    <row r="74">
      <c r="B74" s="12" t="n"/>
      <c r="C74" s="12" t="n"/>
      <c r="D74" s="12" t="n"/>
      <c r="E74" s="12" t="n"/>
      <c r="F74" s="12" t="n"/>
      <c r="G74" s="12" t="n"/>
      <c r="H74" s="12" t="n"/>
    </row>
    <row r="75">
      <c r="A75" s="13" t="inlineStr">
        <is>
          <t>Confirmed by PM (all rows)</t>
        </is>
      </c>
      <c r="B75" s="12">
        <f>COUNTIF(Backlog!$S$2:$S$350,"Yes")</f>
        <v/>
      </c>
      <c r="C75" s="12" t="n"/>
      <c r="D75" s="12" t="n"/>
      <c r="E75" s="12" t="n"/>
      <c r="F75" s="12" t="n"/>
      <c r="G75" s="12" t="n"/>
      <c r="H75" s="12" t="n"/>
    </row>
    <row r="76">
      <c r="A76" s="13" t="inlineStr">
        <is>
          <t>P0 rows confirmed by PM</t>
        </is>
      </c>
      <c r="B76" s="12">
        <f>COUNTIFS(Backlog!$S$2:$S$350,"Yes",Backlog!$G$2:$G$350,"P0")</f>
        <v/>
      </c>
      <c r="C76" s="12" t="n"/>
      <c r="D76" s="12" t="n"/>
      <c r="E76" s="12" t="n"/>
      <c r="F76" s="12" t="n"/>
      <c r="G76" s="12" t="n"/>
      <c r="H76" s="12" t="n"/>
    </row>
    <row r="77">
      <c r="A77" s="13" t="inlineStr">
        <is>
          <t>Open P0 rows not yet confirmed by PM</t>
        </is>
      </c>
      <c r="B77" s="12">
        <f>COUNTIFS(Backlog!$S$2:$S$350,"No",Backlog!$G$2:$G$350,"P0",Backlog!$F$2:$F$350,"&lt;&gt;Done",Backlog!$F$2:$F$350,"&lt;&gt;Later",Backlog!$F$2:$F$350,"&lt;&gt;Cancelled",Backlog!$F$2:$F$350,"&lt;&gt;Obsolete")</f>
        <v/>
      </c>
      <c r="C77" s="12" t="n"/>
      <c r="D77" s="12" t="n"/>
      <c r="E77" s="12" t="n"/>
      <c r="F77" s="12" t="n"/>
      <c r="G77" s="12" t="n"/>
      <c r="H77" s="12" t="n"/>
    </row>
    <row r="78">
      <c r="A78" s="13" t="inlineStr">
        <is>
          <t>Rows on Hold</t>
        </is>
      </c>
      <c r="B78" s="12">
        <f>COUNTIF(Backlog!$F$2:$F$350,"Hold")</f>
        <v/>
      </c>
      <c r="C78" s="12" t="n"/>
      <c r="D78" s="12" t="n"/>
      <c r="E78" s="12" t="n"/>
      <c r="F78" s="12" t="n"/>
      <c r="G78" s="12" t="n"/>
      <c r="H78" s="12" t="n"/>
    </row>
    <row r="79">
      <c r="B79" s="12" t="n"/>
      <c r="C79" s="12" t="n"/>
      <c r="D79" s="12" t="n"/>
      <c r="E79" s="12" t="n"/>
      <c r="F79" s="12" t="n"/>
      <c r="G79" s="12" t="n"/>
      <c r="H79" s="12" t="n"/>
    </row>
    <row r="80">
      <c r="A80" s="13" t="inlineStr">
        <is>
          <t>Remaining P0 tasks (not Done/Later/Cancelled/Obsolete)</t>
        </is>
      </c>
      <c r="B80" s="12">
        <f>COUNTIFS(Backlog!$G$2:$G$350,"P0",Backlog!$F$2:$F$350,"&lt;&gt;Done",Backlog!$F$2:$F$350,"&lt;&gt;Cancelled",Backlog!$F$2:$F$350,"&lt;&gt;Obsolete",Backlog!$F$2:$F$350,"&lt;&gt;Later")</f>
        <v/>
      </c>
      <c r="C80" s="12" t="n"/>
      <c r="D80" s="12" t="n"/>
      <c r="E80" s="12" t="n"/>
      <c r="F80" s="12" t="n"/>
      <c r="G80" s="12" t="n"/>
      <c r="H80" s="12" t="n"/>
    </row>
    <row r="81">
      <c r="A81" s="13" t="inlineStr">
        <is>
          <t>Remaining 'Sales blocker' tasks</t>
        </is>
      </c>
      <c r="B81" s="12">
        <f>COUNTIFS(Backlog!$N$2:$N$350,"Sales blocker",Backlog!$F$2:$F$350,"&lt;&gt;Done")</f>
        <v/>
      </c>
      <c r="C81" s="12" t="n"/>
      <c r="D81" s="12" t="n"/>
      <c r="E81" s="12" t="n"/>
      <c r="F81" s="12" t="n"/>
      <c r="G81" s="12" t="n"/>
      <c r="H81" s="12" t="n"/>
    </row>
    <row r="82">
      <c r="A82" s="13" t="inlineStr">
        <is>
          <t>Open decisions (Decision Needed)</t>
        </is>
      </c>
      <c r="B82" s="12">
        <f>COUNTIFS(Backlog!$E$2:$E$350,"Decision Needed",Backlog!$F$2:$F$350,"&lt;&gt;Done")</f>
        <v/>
      </c>
      <c r="C82" s="12" t="n"/>
      <c r="D82" s="12" t="n"/>
      <c r="E82" s="12" t="n"/>
      <c r="F82" s="12" t="n"/>
      <c r="G82" s="12" t="n"/>
      <c r="H82" s="12" t="n"/>
    </row>
    <row r="83">
      <c r="B83" s="12" t="n"/>
      <c r="C83" s="12" t="n"/>
      <c r="D83" s="12" t="n"/>
      <c r="E83" s="12" t="n"/>
      <c r="F83" s="12" t="n"/>
      <c r="G83" s="12" t="n"/>
      <c r="H83"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2026-10-18T19:07:06Z</dcterms:created>
  <dcterms:modified xmlns:dcterms="http://purl.org/dc/terms/" xmlns:xsi="http://www.w3.org/2001/XMLSchema-instance" xsi:type="dcterms:W3CDTF">2026-10-28T09:19:07Z</dcterms:modified>
</cp:coreProperties>
</file>